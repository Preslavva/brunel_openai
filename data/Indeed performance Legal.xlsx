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brunelcorporate-my.sharepoint.com/personal/friso_visser_brunel_net/Documents/"/>
    </mc:Choice>
  </mc:AlternateContent>
  <xr:revisionPtr revIDLastSave="0" documentId="8_{5333CEBC-AC6B-4CB9-BEEC-7EC6B3EE0457}" xr6:coauthVersionLast="47" xr6:coauthVersionMax="47" xr10:uidLastSave="{00000000-0000-0000-0000-000000000000}"/>
  <bookViews>
    <workbookView xWindow="-12585" yWindow="-16320" windowWidth="29040" windowHeight="15720" firstSheet="2" activeTab="2" xr2:uid="{00000000-000D-0000-FFFF-FFFF00000000}"/>
  </bookViews>
  <sheets>
    <sheet name="Exported Data" sheetId="1" r:id="rId1"/>
    <sheet name="Blad1" sheetId="2" r:id="rId2"/>
    <sheet name="Blad2" sheetId="3" r:id="rId3"/>
    <sheet name="Blad3" sheetId="4" r:id="rId4"/>
  </sheets>
  <definedNames>
    <definedName name="_xlnm._FilterDatabase" localSheetId="3" hidden="1">Blad3!$B$1:$C$89</definedName>
    <definedName name="_xlnm._FilterDatabase" localSheetId="0" hidden="1">'Exported Data'!$A$1:$J$780</definedName>
  </definedNames>
  <calcPr calcId="191028"/>
  <pivotCaches>
    <pivotCache cacheId="178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3" l="1"/>
  <c r="M22" i="3"/>
  <c r="M30" i="3"/>
  <c r="M12" i="3"/>
  <c r="M18" i="3"/>
  <c r="M4" i="3"/>
  <c r="M16" i="3"/>
  <c r="M10" i="3"/>
  <c r="M20" i="3"/>
  <c r="M23" i="3"/>
  <c r="M13" i="3"/>
  <c r="M29" i="3"/>
  <c r="M17" i="3"/>
  <c r="M21" i="3"/>
  <c r="M31" i="3"/>
  <c r="M7" i="3"/>
  <c r="M11" i="3"/>
  <c r="M26" i="3"/>
  <c r="M14" i="3"/>
  <c r="M3" i="3"/>
  <c r="M8" i="3"/>
  <c r="M24" i="3"/>
  <c r="M2" i="3"/>
  <c r="M5" i="3"/>
  <c r="M25" i="3"/>
  <c r="M27" i="3"/>
  <c r="M9" i="3"/>
  <c r="M19" i="3"/>
  <c r="M6" i="3"/>
  <c r="M15" i="3"/>
  <c r="L32" i="3" l="1"/>
  <c r="L33" i="3"/>
  <c r="L34" i="3"/>
  <c r="L35" i="3"/>
  <c r="L15" i="3"/>
  <c r="L6" i="3"/>
  <c r="L19" i="3"/>
  <c r="L36" i="3"/>
  <c r="L37" i="3"/>
  <c r="L9" i="3"/>
  <c r="L27" i="3"/>
  <c r="L25" i="3"/>
  <c r="L38" i="3"/>
  <c r="L39" i="3"/>
  <c r="L40" i="3"/>
  <c r="L5" i="3"/>
  <c r="L2" i="3"/>
  <c r="L41" i="3"/>
  <c r="L42" i="3"/>
  <c r="L43" i="3"/>
  <c r="L44" i="3"/>
  <c r="L45" i="3"/>
  <c r="L46" i="3"/>
  <c r="L24" i="3"/>
  <c r="L8" i="3"/>
  <c r="L47" i="3"/>
  <c r="L48" i="3"/>
  <c r="L49" i="3"/>
  <c r="L3" i="3"/>
  <c r="L50" i="3"/>
  <c r="L51" i="3"/>
  <c r="L14" i="3"/>
  <c r="L52" i="3"/>
  <c r="L53" i="3"/>
  <c r="L26" i="3"/>
  <c r="L54" i="3"/>
  <c r="L11" i="3"/>
  <c r="L7" i="3"/>
  <c r="L55" i="3"/>
  <c r="L56" i="3"/>
  <c r="L57" i="3"/>
  <c r="L31" i="3"/>
  <c r="L58" i="3"/>
  <c r="L59" i="3"/>
  <c r="L21" i="3"/>
  <c r="L17" i="3"/>
  <c r="L60" i="3"/>
  <c r="L61" i="3"/>
  <c r="L62" i="3"/>
  <c r="L29" i="3"/>
  <c r="L63" i="3"/>
  <c r="L13" i="3"/>
  <c r="L64" i="3"/>
  <c r="L65" i="3"/>
  <c r="L23" i="3"/>
  <c r="L20" i="3"/>
  <c r="L10" i="3"/>
  <c r="L66" i="3"/>
  <c r="L67" i="3"/>
  <c r="L16" i="3"/>
  <c r="L68" i="3"/>
  <c r="L69" i="3"/>
  <c r="L70" i="3"/>
  <c r="L71" i="3"/>
  <c r="L72" i="3"/>
  <c r="L73" i="3"/>
  <c r="L74" i="3"/>
  <c r="L4" i="3"/>
  <c r="L75" i="3"/>
  <c r="L76" i="3"/>
  <c r="L77" i="3"/>
  <c r="L78" i="3"/>
  <c r="L79" i="3"/>
  <c r="L80" i="3"/>
  <c r="L81" i="3"/>
  <c r="L82" i="3"/>
  <c r="L83" i="3"/>
  <c r="L84" i="3"/>
  <c r="L18" i="3"/>
  <c r="L12" i="3"/>
  <c r="L85" i="3"/>
  <c r="L86" i="3"/>
  <c r="L30" i="3"/>
  <c r="L87" i="3"/>
  <c r="L88" i="3"/>
  <c r="L89" i="3"/>
  <c r="L90" i="3"/>
  <c r="L91" i="3"/>
  <c r="L92" i="3"/>
  <c r="L22" i="3"/>
  <c r="L93" i="3"/>
  <c r="L94" i="3"/>
  <c r="L95" i="3"/>
  <c r="L96" i="3"/>
  <c r="L28" i="3"/>
  <c r="L97" i="3"/>
  <c r="L98" i="3"/>
  <c r="L99" i="3"/>
  <c r="J100" i="3"/>
</calcChain>
</file>

<file path=xl/sharedStrings.xml><?xml version="1.0" encoding="utf-8"?>
<sst xmlns="http://schemas.openxmlformats.org/spreadsheetml/2006/main" count="1101" uniqueCount="157">
  <si>
    <t>Job post</t>
  </si>
  <si>
    <t>Aantal vacatures</t>
  </si>
  <si>
    <t>Impressions (sponsored)</t>
  </si>
  <si>
    <t>Click through rate (sponsored)</t>
  </si>
  <si>
    <t>Clicks (sponsored)</t>
  </si>
  <si>
    <t>Started applications (sponsored)</t>
  </si>
  <si>
    <t>Application start rate (sponsored)</t>
  </si>
  <si>
    <t>Cost per click</t>
  </si>
  <si>
    <t>Cost per started application</t>
  </si>
  <si>
    <t>Total cost</t>
  </si>
  <si>
    <t>Arbeidsrecht junior hbo Tilburg</t>
  </si>
  <si>
    <t>Arbeidsrecht medior hbo Tilburg</t>
  </si>
  <si>
    <t>Jurist Handhaving</t>
  </si>
  <si>
    <t>Junior Jurist Bezwaar &amp; Beroep</t>
  </si>
  <si>
    <t>Junior Jurist APV &amp; Bijzondere Wetten</t>
  </si>
  <si>
    <t>Junior Jurist Beroep Rijksoverheid</t>
  </si>
  <si>
    <t>Junior Jurist Bestuursrecht</t>
  </si>
  <si>
    <t>Junior Jurist Bestuursrecht Rijksoverheid</t>
  </si>
  <si>
    <t>Junior jurist Bezwaar &amp; Beroep Rijksoverheid</t>
  </si>
  <si>
    <t>Junior Jurist Bouwrecht</t>
  </si>
  <si>
    <t>Junior Jurist Contractenrecht</t>
  </si>
  <si>
    <t>Junior Jurist Handhaving</t>
  </si>
  <si>
    <t>Junior Jurist Letselschade</t>
  </si>
  <si>
    <t>Junior Jurist Milieu</t>
  </si>
  <si>
    <t>Junior Jurist Omgevingsrecht</t>
  </si>
  <si>
    <t>Junior Jurist Privacy</t>
  </si>
  <si>
    <t>Junior Jurist Rechtsbijstand</t>
  </si>
  <si>
    <t>Junior jurist Rijksoverheid</t>
  </si>
  <si>
    <t>Junior Jurist Ruimtelijke Ordening</t>
  </si>
  <si>
    <t>Junior Jurist Sociaal Domein</t>
  </si>
  <si>
    <t>Junior Jurist Subsidierecht</t>
  </si>
  <si>
    <t>Junior jurist Vastgoed &amp; Grondzaken</t>
  </si>
  <si>
    <t>Junior Jurist Vergunningen</t>
  </si>
  <si>
    <t>Junior Jurist Woo</t>
  </si>
  <si>
    <t>Junior Jurist Woo bij de Rijksoverheid</t>
  </si>
  <si>
    <t>Junior Privacy Jurist</t>
  </si>
  <si>
    <t>Juridisch Planoloog HBO</t>
  </si>
  <si>
    <t>Juridisch Planoloog WO</t>
  </si>
  <si>
    <t>Juridisch Vergunningverlener HBO</t>
  </si>
  <si>
    <t>Juridisch Vergunningverlener HBO Junior</t>
  </si>
  <si>
    <t>Juridisch Vergunningverlener WO</t>
  </si>
  <si>
    <t>Juridisch Vergunningverlener WO Junior</t>
  </si>
  <si>
    <t>Jurist Arbeidsrecht</t>
  </si>
  <si>
    <t>Jurist Beleid en Regelgeving</t>
  </si>
  <si>
    <t>Jurist Beroep</t>
  </si>
  <si>
    <t>Jurist Bestuursrecht</t>
  </si>
  <si>
    <t>Jurist Bestuursrecht Rijksoverheid</t>
  </si>
  <si>
    <t>Junior Jurist Bezwaar &amp; Beroep Rijksoverheid</t>
  </si>
  <si>
    <t>Jurist Bezwaar &amp; Beroep</t>
  </si>
  <si>
    <t>Jurist Bezwaar &amp; Beroep Omgevingsrecht HBO Medior</t>
  </si>
  <si>
    <t>Jurist Bezwaar &amp; Beroep Rijksoverheid</t>
  </si>
  <si>
    <t>Jurist Bezwaar &amp; Beroep Senior WO</t>
  </si>
  <si>
    <t>Medior Bezwaarjurist</t>
  </si>
  <si>
    <t>Jurist Bouwrecht</t>
  </si>
  <si>
    <t>Jurist Contractenrecht</t>
  </si>
  <si>
    <t>Jurist Erfpacht</t>
  </si>
  <si>
    <t>Jurist Grondzaken</t>
  </si>
  <si>
    <t>Jurist Letselschade</t>
  </si>
  <si>
    <t>Jurist Letselschade medior</t>
  </si>
  <si>
    <t>Jurist Milieu</t>
  </si>
  <si>
    <t>Jurist Omgevingsrecht</t>
  </si>
  <si>
    <t>Jurist Privacy</t>
  </si>
  <si>
    <t>Medior Jurist Rechtsbijstand</t>
  </si>
  <si>
    <t>Senior Jurist Rechtsbijstand</t>
  </si>
  <si>
    <t>Jurist Ruimtelijke Ordening</t>
  </si>
  <si>
    <t>Jurist Sociaal Domein</t>
  </si>
  <si>
    <t>Jurist Vastgoed &amp; Grondzaken</t>
  </si>
  <si>
    <t>Jurist Vergunningen</t>
  </si>
  <si>
    <t>Jurist Woo</t>
  </si>
  <si>
    <t>Jurist Woo bij de Rijksoverheid</t>
  </si>
  <si>
    <t>Legal Counsel</t>
  </si>
  <si>
    <t>Letselschadebehandelaar</t>
  </si>
  <si>
    <t>Manager Juridische Zaken</t>
  </si>
  <si>
    <t>Manager juridische zaken</t>
  </si>
  <si>
    <t>Medior Jurist Bezwaar &amp; Beroep</t>
  </si>
  <si>
    <t>Medior Jurist APV &amp; Bijzondere Wetten</t>
  </si>
  <si>
    <t>Medior Jurist Beroep</t>
  </si>
  <si>
    <t>Medior Jurist Bestuursrecht</t>
  </si>
  <si>
    <t>Medior jurist Bezwaar &amp; Beroep Rijksoverheid</t>
  </si>
  <si>
    <t>Senior Bezwaarjurist</t>
  </si>
  <si>
    <t>Medior Jurist Subsidierecht</t>
  </si>
  <si>
    <t>Paralegal</t>
  </si>
  <si>
    <t>Senior Jurist Bezwaar &amp; Beroep</t>
  </si>
  <si>
    <t>Senior Jurist Handhaving</t>
  </si>
  <si>
    <t>Senior Juridisch Planoloog HBO</t>
  </si>
  <si>
    <t>Senior Juridisch Planoloog WO</t>
  </si>
  <si>
    <t>Senior Juridisch Vergunningverlener HBO</t>
  </si>
  <si>
    <t>Senior Jurist APV &amp; Bijzondere Wetten</t>
  </si>
  <si>
    <t>Senior Jurist Arbeidsrecht</t>
  </si>
  <si>
    <t>Senior Jurist Beroep</t>
  </si>
  <si>
    <t>Senior Jurist Bestuur</t>
  </si>
  <si>
    <t>Senior Jurist Bestuursrecht</t>
  </si>
  <si>
    <t>Senior Jurist Bestuursrecht Rijksoverheid</t>
  </si>
  <si>
    <t>Senior Jurist Bezwaar &amp; Beroep Rijksoverheid</t>
  </si>
  <si>
    <t>Senior Jurist Bezwaar Rijksoverheid</t>
  </si>
  <si>
    <t>Senior Jurist Bouwrecht</t>
  </si>
  <si>
    <t>Senior Jurist Contractenrecht</t>
  </si>
  <si>
    <t>Senior jurist contractenrecht Rijksoverheid</t>
  </si>
  <si>
    <t>Senior Jurist Letselschade</t>
  </si>
  <si>
    <t>Senior Jurist Milieu</t>
  </si>
  <si>
    <t>Senior Jurist Omgevingsrecht</t>
  </si>
  <si>
    <t>Senior Jurist Privacy</t>
  </si>
  <si>
    <t>Senior Jurist Ruimtelijke Ordening</t>
  </si>
  <si>
    <t>Senior Jurist Sociaal Domein</t>
  </si>
  <si>
    <t>Senior jurist Vastgoed &amp; Grondzaken</t>
  </si>
  <si>
    <t>Senior Jurist Vastgoed &amp; Grondzaken</t>
  </si>
  <si>
    <t>Senior Jurist Vergunningen</t>
  </si>
  <si>
    <t>Senior Jurist WOO</t>
  </si>
  <si>
    <t>Senior Jurist Woo - Rijksoverheid</t>
  </si>
  <si>
    <t>Senior Legal Counsel</t>
  </si>
  <si>
    <t>Senior Paralegal</t>
  </si>
  <si>
    <t>Rijlabels</t>
  </si>
  <si>
    <t>Som van Aantal vacatures</t>
  </si>
  <si>
    <t>Som van Impressions (sponsored)</t>
  </si>
  <si>
    <t>Som van Clicks (sponsored)</t>
  </si>
  <si>
    <t>Gemiddelde van Click through rate (sponsored)</t>
  </si>
  <si>
    <t>Gemiddelde van Cost per click</t>
  </si>
  <si>
    <t>Som van Started applications (sponsored)</t>
  </si>
  <si>
    <t>Gemiddelde van Application start rate (sponsored)</t>
  </si>
  <si>
    <t>Gemiddelde van Cost per started application</t>
  </si>
  <si>
    <t>Som van Total cost</t>
  </si>
  <si>
    <t>Eindtotaal</t>
  </si>
  <si>
    <t>Vacature</t>
  </si>
  <si>
    <t>Som van Impressions</t>
  </si>
  <si>
    <t>Som van Clicks</t>
  </si>
  <si>
    <t>Gemiddelde van Click through rate</t>
  </si>
  <si>
    <t>Som van Started applications</t>
  </si>
  <si>
    <t>Gemiddelde van Application start rate</t>
  </si>
  <si>
    <t>Total Cost</t>
  </si>
  <si>
    <t>Conversies</t>
  </si>
  <si>
    <t>Conversie per vacature</t>
  </si>
  <si>
    <t>CPA Totaal</t>
  </si>
  <si>
    <t>Totaal</t>
  </si>
  <si>
    <t>Job A</t>
  </si>
  <si>
    <t>Conversie</t>
  </si>
  <si>
    <t>Junior Juridisch Vergunningverlener</t>
  </si>
  <si>
    <t>Junior Jurist Arbeidsrecht</t>
  </si>
  <si>
    <t>Junior Jurist Bezwaar</t>
  </si>
  <si>
    <t xml:space="preserve">Junior Jurist Bezwaar &amp; Beroep Omgevingsrecht </t>
  </si>
  <si>
    <t>Junior Jurist Woo Rijksoverheid</t>
  </si>
  <si>
    <t>Juridisch Planoloog</t>
  </si>
  <si>
    <t>Juridisch Vergunningverlener</t>
  </si>
  <si>
    <t>Jurist APV &amp; Bijzondere Wetten</t>
  </si>
  <si>
    <t>Jurist Bezwaar</t>
  </si>
  <si>
    <t>Jurist Bezwaar &amp; Beroep Omgevingsrecht</t>
  </si>
  <si>
    <t>Jurist Rechtsbijstand</t>
  </si>
  <si>
    <t>Jurist Subsidierecht</t>
  </si>
  <si>
    <t>Privacy Jurist</t>
  </si>
  <si>
    <t>Senior Handhavingsjurist</t>
  </si>
  <si>
    <t>Senior Juridisch Planoloog</t>
  </si>
  <si>
    <t>Senior Juridisch Vergunningverlener</t>
  </si>
  <si>
    <t>Senior Jurist Bezwaar</t>
  </si>
  <si>
    <t>Senior Jurist Bezwaar &amp; Beroep Omgevingsrecht</t>
  </si>
  <si>
    <t>Senior Jurist contractenrecht Rijksoverheid</t>
  </si>
  <si>
    <t>Senior Jurist Woo</t>
  </si>
  <si>
    <t>Senior Jurist Woo bij de Rijksoverheid</t>
  </si>
  <si>
    <t>Senior Privacy Jurist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</si>
</sst>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€&quot;\ #,##0.00;[Red]&quot;€&quot;\ \-#,##0.00"/>
    <numFmt numFmtId="44" formatCode="_ &quot;€&quot;\ * #,##0.00_ ;_ &quot;€&quot;\ * \-#,##0.00_ ;_ &quot;€&quot;\ * &quot;-&quot;??_ ;_ @_ "/>
  </numFmts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10" fontId="0" fillId="0" borderId="0" xfId="0" applyNumberFormat="1"/>
    <xf numFmtId="9" fontId="0" fillId="0" borderId="0" xfId="2" applyFont="1"/>
    <xf numFmtId="9" fontId="2" fillId="0" borderId="0" xfId="2" applyFont="1"/>
    <xf numFmtId="10" fontId="0" fillId="0" borderId="0" xfId="2" applyNumberFormat="1" applyFont="1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44" fontId="0" fillId="0" borderId="0" xfId="1" applyFont="1"/>
    <xf numFmtId="44" fontId="2" fillId="0" borderId="0" xfId="1" applyFont="1"/>
    <xf numFmtId="10" fontId="1" fillId="0" borderId="0" xfId="2" applyNumberFormat="1" applyFont="1"/>
    <xf numFmtId="44" fontId="1" fillId="0" borderId="0" xfId="1" applyFont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1" fontId="2" fillId="0" borderId="0" xfId="0" applyNumberFormat="1" applyFont="1"/>
    <xf numFmtId="11" fontId="0" fillId="0" borderId="0" xfId="0" applyNumberFormat="1"/>
    <xf numFmtId="2" fontId="0" fillId="0" borderId="0" xfId="0" applyNumberFormat="1"/>
    <xf numFmtId="0" fontId="0" fillId="4" borderId="0" xfId="0" applyFill="1" applyAlignment="1">
      <alignment horizontal="left"/>
    </xf>
  </cellXfs>
  <cellStyles count="3">
    <cellStyle name="Відсотковий" xfId="2" builtinId="5"/>
    <cellStyle name="Грошовий" xfId="1" builtinId="4"/>
    <cellStyle name="Звичайний" xfId="0" builtinId="0"/>
  </cellStyles>
  <dxfs count="16">
    <dxf>
      <numFmt numFmtId="12" formatCode="&quot;€&quot;\ #,##0.00;[Red]&quot;€&quot;\ \-#,##0.00"/>
    </dxf>
    <dxf>
      <numFmt numFmtId="2" formatCode="0.00"/>
    </dxf>
    <dxf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numFmt numFmtId="12" formatCode="&quot;€&quot;\ #,##0.00;[Red]&quot;€&quot;\ \-#,##0.00"/>
    </dxf>
    <dxf>
      <numFmt numFmtId="12" formatCode="&quot;€&quot;\ #,##0.00;[Red]&quot;€&quot;\ 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iso  Visser" refreshedDate="45889.709208217595" createdVersion="8" refreshedVersion="8" minRefreshableVersion="3" recordCount="779" xr:uid="{F21ACD35-2885-4A85-826D-F563CE5686CC}">
  <cacheSource type="worksheet">
    <worksheetSource ref="A1:J780" sheet="Exported Data"/>
  </cacheSource>
  <cacheFields count="10">
    <cacheField name="Job post" numFmtId="0">
      <sharedItems count="156">
        <s v="Arbeidsrecht junior hbo Tilburg"/>
        <s v="Arbeidsrecht medior hbo Tilburg"/>
        <s v="Jurist Handhaving"/>
        <s v="Junior Jurist Bezwaar &amp; Beroep"/>
        <s v="Junior Jurist APV &amp; Bijzondere Wetten"/>
        <s v="Junior Jurist Beroep Rijksoverheid"/>
        <s v="Junior Jurist Bestuursrecht"/>
        <s v="Junior Jurist Bestuursrecht Rijksoverheid"/>
        <s v="Junior jurist Bezwaar &amp; Beroep Rijksoverheid"/>
        <s v="Junior Jurist Bouwrecht"/>
        <s v="Junior Jurist Contractenrecht"/>
        <s v="Junior Jurist Handhaving"/>
        <s v="Junior Jurist Letselschade"/>
        <s v="Junior Jurist Milieu"/>
        <s v="Junior Jurist Omgevingsrecht"/>
        <s v="Junior Jurist Privacy"/>
        <s v="Junior Jurist Rechtsbijstand"/>
        <s v="Junior jurist Rijksoverheid"/>
        <s v="Junior Jurist Ruimtelijke Ordening"/>
        <s v="Junior Jurist Sociaal Domein"/>
        <s v="Junior Jurist Subsidierecht"/>
        <s v="Junior jurist Vastgoed &amp; Grondzaken"/>
        <s v="Junior Jurist Vergunningen"/>
        <s v="Junior Jurist Woo"/>
        <s v="Junior Jurist Woo bij de Rijksoverheid"/>
        <s v="Junior Privacy Jurist"/>
        <s v="Juridisch Planoloog HBO"/>
        <s v="Juridisch Planoloog WO"/>
        <s v="Juridisch Vergunningverlener HBO"/>
        <s v="Juridisch Vergunningverlener HBO Junior"/>
        <s v="Juridisch Vergunningverlener WO"/>
        <s v="Juridisch Vergunningverlener WO Junior"/>
        <s v="Jurist Arbeidsrecht"/>
        <s v="Jurist Beleid en Regelgeving"/>
        <s v="Jurist Beroep"/>
        <s v="Jurist Bestuursrecht"/>
        <s v="Jurist Bestuursrecht Rijksoverheid"/>
        <s v="Jurist Bezwaar &amp; Beroep"/>
        <s v="Jurist Bezwaar &amp; Beroep Omgevingsrecht HBO Medior"/>
        <s v="Jurist Bezwaar &amp; Beroep Rijksoverheid"/>
        <s v="Jurist Bezwaar &amp; Beroep Senior WO"/>
        <s v="Medior Bezwaarjurist"/>
        <s v="Jurist Bouwrecht"/>
        <s v="Jurist Contractenrecht"/>
        <s v="Jurist Erfpacht"/>
        <s v="Jurist Grondzaken"/>
        <s v="Jurist Letselschade"/>
        <s v="Jurist Letselschade medior"/>
        <s v="Jurist Milieu"/>
        <s v="Jurist Omgevingsrecht"/>
        <s v="Jurist Privacy"/>
        <s v="Medior Jurist Rechtsbijstand"/>
        <s v="Senior Jurist Rechtsbijstand"/>
        <s v="Jurist Ruimtelijke Ordening"/>
        <s v="Jurist Sociaal Domein"/>
        <s v="Jurist Vastgoed &amp; Grondzaken"/>
        <s v="Jurist Vergunningen"/>
        <s v="Jurist Woo"/>
        <s v="Jurist Woo bij de Rijksoverheid"/>
        <s v="Legal Counsel"/>
        <s v="Letselschadebehandelaar"/>
        <s v="Manager Juridische Zaken"/>
        <s v="Medior Jurist Bezwaar &amp; Beroep"/>
        <s v="Medior Jurist APV &amp; Bijzondere Wetten"/>
        <s v="Medior Jurist Beroep"/>
        <s v="Medior Jurist Bestuursrecht"/>
        <s v="Medior jurist Bezwaar &amp; Beroep Rijksoverheid"/>
        <s v="Senior Bezwaarjurist"/>
        <s v="Medior Jurist Subsidierecht"/>
        <s v="Paralegal"/>
        <s v="Senior Jurist Bezwaar &amp; Beroep"/>
        <s v="Senior Jurist Handhaving"/>
        <s v="Senior Juridisch Planoloog HBO"/>
        <s v="Senior Juridisch Planoloog WO"/>
        <s v="Senior Juridisch Vergunningverlener HBO"/>
        <s v="Senior Jurist APV &amp; Bijzondere Wetten"/>
        <s v="Senior Jurist Arbeidsrecht"/>
        <s v="Senior Jurist Beroep"/>
        <s v="Senior Jurist Bestuur"/>
        <s v="Senior Jurist Bestuursrecht"/>
        <s v="Senior Jurist Bestuursrecht Rijksoverheid"/>
        <s v="Senior Jurist Bezwaar &amp; Beroep Rijksoverheid"/>
        <s v="Senior Jurist Bezwaar Rijksoverheid"/>
        <s v="Senior Jurist Bouwrecht"/>
        <s v="Senior Jurist Contractenrecht"/>
        <s v="Senior jurist contractenrecht Rijksoverheid"/>
        <s v="Senior Jurist Letselschade"/>
        <s v="Senior Jurist Milieu"/>
        <s v="Senior Jurist Omgevingsrecht"/>
        <s v="Senior Jurist Privacy"/>
        <s v="Senior Jurist Ruimtelijke Ordening"/>
        <s v="Senior Jurist Sociaal Domein"/>
        <s v="Senior jurist Vastgoed &amp; Grondzaken"/>
        <s v="Senior Jurist Vergunningen"/>
        <s v="Senior Jurist WOO"/>
        <s v="Senior Jurist Woo - Rijksoverheid"/>
        <s v="Senior Legal Counsel"/>
        <s v="Senior Paralegal"/>
        <s v="Handhavingsjurist" u="1"/>
        <s v="Junior Bezwaarjurist" u="1"/>
        <s v="Jurist Bezwaar &amp; Beroep Omgevingsrecht HBO Senior" u="1"/>
        <s v="Jurist Bezwaar &amp; Beroep Omgevingsrecht WO Junior" u="1"/>
        <s v="Jurist Bezwaar &amp; Beroep Omgevingswet HBO Junior" u="1"/>
        <s v="Jurist Rechtsbijstand (Junior)" u="1"/>
        <s v="Jurist Rechtsbijstand (medior)" u="1"/>
        <s v="Jurist Rechtsbijstand (senior)" u="1"/>
        <s v="Medior Jurist Contractenrecht" u="1"/>
        <s v="Medior Jurist Woo - Rijksoverheid" u="1"/>
        <s v="Medior Privacy Jurist" u="1"/>
        <s v="Senior Handhavingsjurist HBO" u="1"/>
        <s v="Senior Handhavingsjurist WO" u="1"/>
        <s v="Senior Privacy Jurist" u="1"/>
        <s v="Handhavingsjurist HBO" u="1"/>
        <s v="Handhavingsjurist WO" u="1"/>
        <s v="Junior Bezwaarjurist - Den Haag" u="1"/>
        <s v="Junior Bezwaarjurist - Utrecht" u="1"/>
        <s v="Junior Bezwaarjurist - Utrecht - Wo" u="1"/>
        <s v="Junior Jurist Bestuursrecht in Utrecht" u="1"/>
        <s v="Junior Jurist Bezwaar" u="1"/>
        <s v="Junior jurist Bezwaar &amp; Beroep Rijkoverheid" u="1"/>
        <s v="Junior Jurist Bezwaar Amsterdam" u="1"/>
        <s v="Junior Jurist Bezwaar en Beroep" u="1"/>
        <s v="Junior Jurist RO" u="1"/>
        <s v="Junior Jurist Woo - Rijksoverheid" u="1"/>
        <s v="Junior Privacy Jurist HBO" u="1"/>
        <s v="Junior Privacy Jurist Utrecht" u="1"/>
        <s v="Jurist Arbeidsrecht junior hbo Utrecht" u="1"/>
        <s v="Jurist Bezwaar" u="1"/>
        <s v="Jurist Bezwaar &amp; Beroep Medior WO" u="1"/>
        <s v="Jurist Bezwaar en Beroep" u="1"/>
        <s v="Jurist Letselschade (medior) - HBO - Utrecht" u="1"/>
        <s v="Jurist Wet open overheid" u="1"/>
        <s v="Medior Bezwaarjurist - Den Haag" u="1"/>
        <s v="Medior Bezwaarjurist - Utrecht" u="1"/>
        <s v="Medior Jurist Bestuursrecht - Rijksoverheid" u="1"/>
        <s v="Medior Jurist Bestuursrecht in Amsterdam" u="1"/>
        <s v="Medior Jurist Bestuursrecht in Utrecht" u="1"/>
        <s v="Medior Jurist Bezwaar en Beroep" u="1"/>
        <s v="Medior Privacy Jurist Den Haag" u="1"/>
        <s v="Medior Privacy Jurist Utrecht" u="1"/>
        <s v="Senior Bezwaarjurist - Den Haag" u="1"/>
        <s v="Senior Bezwaarjurist - Utrecht" u="1"/>
        <s v="Senior Jurist Bestuursrecht - Rijksoverheid" u="1"/>
        <s v="Senior Jurist Bezwaar Den Haag" u="1"/>
        <s v="Senior Jurist Bezwaar en Beroep" u="1"/>
        <s v="Senior Jurist Bezwaar Utrecht" u="1"/>
        <s v="Senior Jurist Wet open overheid" u="1"/>
        <s v="Senior Jurist Woo bij de Rijksoverheid" u="1"/>
        <s v="Senior Privacy Jurist Utrecht" u="1"/>
        <s v="WO Junior Jurist Omgevingsrecht" u="1"/>
        <s v="wo manager juridische zaken" u="1"/>
        <s v="Senior Jurist Bestuursrecht bij de Rijksoverheid in Den Haag" u="1"/>
        <s v="Jurist Vastgoed-Grondzaken" u="1"/>
        <s v="Senior Jurist Bestuursrecht bij de Rijksoverheid in Utrecht" u="1"/>
        <s v="Junior Privacy Jurist Den Haag" u="1"/>
        <s v="Senior Jurist Woo in Utrecht" u="1"/>
      </sharedItems>
    </cacheField>
    <cacheField name="Aantal vacatures" numFmtId="0">
      <sharedItems containsSemiMixedTypes="0" containsString="0" containsNumber="1" containsInteger="1" minValue="1" maxValue="1"/>
    </cacheField>
    <cacheField name="Impressions (sponsored)" numFmtId="0">
      <sharedItems containsSemiMixedTypes="0" containsString="0" containsNumber="1" containsInteger="1" minValue="0" maxValue="632"/>
    </cacheField>
    <cacheField name="Click through rate (sponsored)" numFmtId="9">
      <sharedItems containsSemiMixedTypes="0" containsString="0" containsNumber="1" minValue="0" maxValue="0.2"/>
    </cacheField>
    <cacheField name="Clicks (sponsored)" numFmtId="0">
      <sharedItems containsSemiMixedTypes="0" containsString="0" containsNumber="1" containsInteger="1" minValue="0" maxValue="54"/>
    </cacheField>
    <cacheField name="Started applications (sponsored)" numFmtId="0">
      <sharedItems containsSemiMixedTypes="0" containsString="0" containsNumber="1" containsInteger="1" minValue="0" maxValue="6"/>
    </cacheField>
    <cacheField name="Application start rate (sponsored)" numFmtId="9">
      <sharedItems containsSemiMixedTypes="0" containsString="0" containsNumber="1" minValue="0" maxValue="37.5"/>
    </cacheField>
    <cacheField name="Cost per click" numFmtId="44">
      <sharedItems containsSemiMixedTypes="0" containsString="0" containsNumber="1" minValue="0" maxValue="11.99"/>
    </cacheField>
    <cacheField name="Cost per started application" numFmtId="44">
      <sharedItems containsSemiMixedTypes="0" containsString="0" containsNumber="1" minValue="0" maxValue="35.97"/>
    </cacheField>
    <cacheField name="Total cost" numFmtId="8">
      <sharedItems containsSemiMixedTypes="0" containsString="0" containsNumber="1" minValue="0" maxValue="84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9">
  <r>
    <x v="0"/>
    <n v="1"/>
    <n v="0"/>
    <n v="0"/>
    <n v="0"/>
    <n v="0"/>
    <n v="0"/>
    <n v="0"/>
    <n v="0"/>
    <n v="0"/>
  </r>
  <r>
    <x v="0"/>
    <n v="1"/>
    <n v="64"/>
    <n v="0.125"/>
    <n v="8"/>
    <n v="2"/>
    <n v="25"/>
    <n v="0.46"/>
    <n v="1.83"/>
    <n v="3.66"/>
  </r>
  <r>
    <x v="1"/>
    <n v="1"/>
    <n v="0"/>
    <n v="0"/>
    <n v="0"/>
    <n v="0"/>
    <n v="0"/>
    <n v="0"/>
    <n v="0"/>
    <n v="0"/>
  </r>
  <r>
    <x v="1"/>
    <n v="1"/>
    <n v="54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4"/>
    <n v="1"/>
    <n v="0"/>
    <n v="0"/>
    <n v="0"/>
    <n v="0"/>
    <n v="0"/>
    <n v="0"/>
    <n v="0"/>
    <n v="0"/>
  </r>
  <r>
    <x v="5"/>
    <n v="1"/>
    <n v="272"/>
    <n v="4.7800000000000002E-2"/>
    <n v="13"/>
    <n v="3"/>
    <n v="0.2"/>
    <n v="2.0299999999999998"/>
    <n v="8.81"/>
    <n v="26.44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</r>
  <r>
    <x v="6"/>
    <n v="1"/>
    <n v="135"/>
    <n v="7.4099999999999999E-2"/>
    <n v="10"/>
    <n v="1"/>
    <n v="1E-3"/>
    <n v="1.1000000000000001"/>
    <n v="10.95"/>
    <n v="10.95"/>
  </r>
  <r>
    <x v="6"/>
    <n v="1"/>
    <n v="144"/>
    <n v="8.3299999999999999E-2"/>
    <n v="12"/>
    <n v="2"/>
    <n v="7.139999999999999E-4"/>
    <n v="1.79"/>
    <n v="10.73"/>
    <n v="21.45"/>
  </r>
  <r>
    <x v="6"/>
    <n v="1"/>
    <n v="260"/>
    <n v="6.54E-2"/>
    <n v="17"/>
    <n v="3"/>
    <n v="7.3200000000000001E-2"/>
    <n v="0.95"/>
    <n v="5.36"/>
    <n v="16.079999999999998"/>
  </r>
  <r>
    <x v="6"/>
    <n v="1"/>
    <n v="284"/>
    <n v="5.28E-2"/>
    <n v="15"/>
    <n v="1"/>
    <n v="6.67"/>
    <n v="0.28999999999999998"/>
    <n v="4.33"/>
    <n v="4.33"/>
  </r>
  <r>
    <x v="6"/>
    <n v="1"/>
    <n v="377"/>
    <n v="6.9000000000000006E-2"/>
    <n v="26"/>
    <n v="3"/>
    <n v="11.54"/>
    <n v="1.37"/>
    <n v="11.85"/>
    <n v="35.54"/>
  </r>
  <r>
    <x v="6"/>
    <n v="1"/>
    <n v="205"/>
    <n v="2.9300000000000003E-2"/>
    <n v="6"/>
    <n v="2"/>
    <n v="7.4099999999999999E-2"/>
    <n v="3.65"/>
    <n v="10.94"/>
    <n v="21.87"/>
  </r>
  <r>
    <x v="7"/>
    <n v="1"/>
    <n v="307"/>
    <n v="6.5099999999999991E-2"/>
    <n v="20"/>
    <n v="1"/>
    <n v="5"/>
    <n v="0.17"/>
    <n v="3.34"/>
    <n v="3.34"/>
  </r>
  <r>
    <x v="7"/>
    <n v="1"/>
    <n v="331"/>
    <n v="4.2300000000000004E-2"/>
    <n v="14"/>
    <n v="2"/>
    <n v="14.29"/>
    <n v="1.87"/>
    <n v="13.12"/>
    <n v="26.23"/>
  </r>
  <r>
    <x v="7"/>
    <n v="1"/>
    <n v="334"/>
    <n v="7.4900000000000008E-2"/>
    <n v="25"/>
    <n v="2"/>
    <n v="8"/>
    <n v="0.14000000000000001"/>
    <n v="1.77"/>
    <n v="3.53"/>
  </r>
  <r>
    <x v="7"/>
    <n v="1"/>
    <n v="367"/>
    <n v="5.1799999999999999E-2"/>
    <n v="19"/>
    <n v="5"/>
    <n v="26.32"/>
    <n v="4.45"/>
    <n v="16.899999999999999"/>
    <n v="84.48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271"/>
    <n v="5.1699999999999996E-2"/>
    <n v="14"/>
    <n v="1"/>
    <n v="0.1429"/>
    <n v="0"/>
    <n v="0"/>
    <n v="0"/>
  </r>
  <r>
    <x v="3"/>
    <n v="1"/>
    <n v="280"/>
    <n v="4.6399999999999997E-2"/>
    <n v="13"/>
    <n v="3"/>
    <n v="23.08"/>
    <n v="1.4"/>
    <n v="6.05"/>
    <n v="18.149999999999999"/>
  </r>
  <r>
    <x v="3"/>
    <n v="1"/>
    <n v="287"/>
    <n v="4.53E-2"/>
    <n v="13"/>
    <n v="0"/>
    <n v="0"/>
    <n v="0"/>
    <n v="0"/>
    <n v="0"/>
  </r>
  <r>
    <x v="3"/>
    <n v="1"/>
    <n v="308"/>
    <n v="6.4899999999999999E-2"/>
    <n v="20"/>
    <n v="3"/>
    <n v="15"/>
    <n v="0.65"/>
    <n v="4.3"/>
    <n v="12.9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208"/>
    <n v="0.1106"/>
    <n v="23"/>
    <n v="4"/>
    <n v="0.1"/>
    <n v="0.32"/>
    <n v="1.86"/>
    <n v="7.45"/>
  </r>
  <r>
    <x v="3"/>
    <n v="1"/>
    <n v="284"/>
    <n v="7.7499999999999999E-2"/>
    <n v="22"/>
    <n v="1"/>
    <n v="4.55"/>
    <n v="0.11"/>
    <n v="2.4900000000000002"/>
    <n v="2.4900000000000002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3"/>
    <n v="1"/>
    <n v="0"/>
    <n v="0"/>
    <n v="0"/>
    <n v="0"/>
    <n v="0"/>
    <n v="0"/>
    <n v="0"/>
    <n v="0"/>
  </r>
  <r>
    <x v="8"/>
    <n v="1"/>
    <n v="0"/>
    <n v="0"/>
    <n v="0"/>
    <n v="0"/>
    <n v="0"/>
    <n v="0"/>
    <n v="0"/>
    <n v="0"/>
  </r>
  <r>
    <x v="8"/>
    <n v="1"/>
    <n v="0"/>
    <n v="0"/>
    <n v="0"/>
    <n v="0"/>
    <n v="0"/>
    <n v="0"/>
    <n v="0"/>
    <n v="0"/>
  </r>
  <r>
    <x v="8"/>
    <n v="1"/>
    <n v="0"/>
    <n v="0"/>
    <n v="0"/>
    <n v="0"/>
    <n v="0"/>
    <n v="0"/>
    <n v="0"/>
    <n v="0"/>
  </r>
  <r>
    <x v="9"/>
    <n v="1"/>
    <n v="0"/>
    <n v="0"/>
    <n v="0"/>
    <n v="0"/>
    <n v="0"/>
    <n v="0"/>
    <n v="0"/>
    <n v="0"/>
  </r>
  <r>
    <x v="9"/>
    <n v="1"/>
    <n v="0"/>
    <n v="0"/>
    <n v="0"/>
    <n v="0"/>
    <n v="0"/>
    <n v="0"/>
    <n v="0"/>
    <n v="0"/>
  </r>
  <r>
    <x v="9"/>
    <n v="1"/>
    <n v="0"/>
    <n v="0"/>
    <n v="0"/>
    <n v="0"/>
    <n v="0"/>
    <n v="0"/>
    <n v="0"/>
    <n v="0"/>
  </r>
  <r>
    <x v="9"/>
    <n v="1"/>
    <n v="0"/>
    <n v="0"/>
    <n v="0"/>
    <n v="0"/>
    <n v="0"/>
    <n v="0"/>
    <n v="0"/>
    <n v="0"/>
  </r>
  <r>
    <x v="9"/>
    <n v="1"/>
    <n v="0"/>
    <n v="0"/>
    <n v="0"/>
    <n v="0"/>
    <n v="0"/>
    <n v="0"/>
    <n v="0"/>
    <n v="0"/>
  </r>
  <r>
    <x v="9"/>
    <n v="1"/>
    <n v="0"/>
    <n v="0"/>
    <n v="0"/>
    <n v="0"/>
    <n v="0"/>
    <n v="0"/>
    <n v="0"/>
    <n v="0"/>
  </r>
  <r>
    <x v="10"/>
    <n v="1"/>
    <n v="0"/>
    <n v="0"/>
    <n v="0"/>
    <n v="0"/>
    <n v="0"/>
    <n v="0"/>
    <n v="0"/>
    <n v="0"/>
  </r>
  <r>
    <x v="10"/>
    <n v="1"/>
    <n v="0"/>
    <n v="0"/>
    <n v="0"/>
    <n v="0"/>
    <n v="0"/>
    <n v="0"/>
    <n v="0"/>
    <n v="0"/>
  </r>
  <r>
    <x v="10"/>
    <n v="1"/>
    <n v="0"/>
    <n v="0"/>
    <n v="0"/>
    <n v="0"/>
    <n v="0"/>
    <n v="0"/>
    <n v="0"/>
    <n v="0"/>
  </r>
  <r>
    <x v="10"/>
    <n v="1"/>
    <n v="0"/>
    <n v="0"/>
    <n v="0"/>
    <n v="0"/>
    <n v="0"/>
    <n v="0"/>
    <n v="0"/>
    <n v="0"/>
  </r>
  <r>
    <x v="10"/>
    <n v="1"/>
    <n v="0"/>
    <n v="0"/>
    <n v="0"/>
    <n v="0"/>
    <n v="0"/>
    <n v="0"/>
    <n v="0"/>
    <n v="0"/>
  </r>
  <r>
    <x v="10"/>
    <n v="1"/>
    <n v="0"/>
    <n v="0"/>
    <n v="0"/>
    <n v="0"/>
    <n v="0"/>
    <n v="0"/>
    <n v="0"/>
    <n v="0"/>
  </r>
  <r>
    <x v="10"/>
    <n v="1"/>
    <n v="0"/>
    <n v="0"/>
    <n v="0"/>
    <n v="0"/>
    <n v="0"/>
    <n v="0"/>
    <n v="0"/>
    <n v="0"/>
  </r>
  <r>
    <x v="10"/>
    <n v="1"/>
    <n v="0"/>
    <n v="0"/>
    <n v="0"/>
    <n v="0"/>
    <n v="0"/>
    <n v="0"/>
    <n v="0"/>
    <n v="0"/>
  </r>
  <r>
    <x v="10"/>
    <n v="1"/>
    <n v="0"/>
    <n v="0"/>
    <n v="0"/>
    <n v="0"/>
    <n v="0"/>
    <n v="0"/>
    <n v="0"/>
    <n v="0"/>
  </r>
  <r>
    <x v="10"/>
    <n v="1"/>
    <n v="0"/>
    <n v="0"/>
    <n v="0"/>
    <n v="0"/>
    <n v="0"/>
    <n v="0"/>
    <n v="0"/>
    <n v="0"/>
  </r>
  <r>
    <x v="10"/>
    <n v="1"/>
    <n v="0"/>
    <n v="0"/>
    <n v="0"/>
    <n v="0"/>
    <n v="0"/>
    <n v="0"/>
    <n v="0"/>
    <n v="0"/>
  </r>
  <r>
    <x v="10"/>
    <n v="1"/>
    <n v="270"/>
    <n v="6.6699999999999995E-2"/>
    <n v="18"/>
    <n v="3"/>
    <n v="0.25"/>
    <n v="1.59"/>
    <n v="9.56"/>
    <n v="28.69"/>
  </r>
  <r>
    <x v="10"/>
    <n v="1"/>
    <n v="291"/>
    <n v="0.10310000000000001"/>
    <n v="30"/>
    <n v="1"/>
    <n v="3.33"/>
    <n v="0.49"/>
    <n v="14.73"/>
    <n v="14.73"/>
  </r>
  <r>
    <x v="10"/>
    <n v="1"/>
    <n v="376"/>
    <n v="5.0499999999999996E-2"/>
    <n v="19"/>
    <n v="1"/>
    <n v="5.26"/>
    <n v="0.13"/>
    <n v="2.4"/>
    <n v="2.4"/>
  </r>
  <r>
    <x v="10"/>
    <n v="1"/>
    <n v="438"/>
    <n v="6.1600000000000002E-2"/>
    <n v="27"/>
    <n v="4"/>
    <n v="14.81"/>
    <n v="1.83"/>
    <n v="12.34"/>
    <n v="49.36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0"/>
    <n v="0"/>
    <n v="0"/>
    <n v="0"/>
    <n v="0"/>
    <n v="0"/>
    <n v="0"/>
    <n v="0"/>
  </r>
  <r>
    <x v="11"/>
    <n v="1"/>
    <n v="194"/>
    <n v="5.67E-2"/>
    <n v="11"/>
    <n v="3"/>
    <n v="0.125"/>
    <n v="2.08"/>
    <n v="7.63"/>
    <n v="22.89"/>
  </r>
  <r>
    <x v="12"/>
    <n v="1"/>
    <n v="0"/>
    <n v="0"/>
    <n v="0"/>
    <n v="0"/>
    <n v="0"/>
    <n v="0"/>
    <n v="0"/>
    <n v="0"/>
  </r>
  <r>
    <x v="12"/>
    <n v="1"/>
    <n v="0"/>
    <n v="0"/>
    <n v="0"/>
    <n v="0"/>
    <n v="0"/>
    <n v="0"/>
    <n v="0"/>
    <n v="0"/>
  </r>
  <r>
    <x v="12"/>
    <n v="1"/>
    <n v="0"/>
    <n v="0"/>
    <n v="0"/>
    <n v="0"/>
    <n v="0"/>
    <n v="0"/>
    <n v="0"/>
    <n v="0"/>
  </r>
  <r>
    <x v="12"/>
    <n v="1"/>
    <n v="117"/>
    <n v="6.8400000000000002E-2"/>
    <n v="8"/>
    <n v="0"/>
    <n v="1.333E-3"/>
    <n v="0"/>
    <n v="0"/>
    <n v="0"/>
  </r>
  <r>
    <x v="12"/>
    <n v="1"/>
    <n v="131"/>
    <n v="0.13739999999999999"/>
    <n v="18"/>
    <n v="1"/>
    <n v="8.3299999999999997E-4"/>
    <n v="0.35"/>
    <n v="6.32"/>
    <n v="6.32"/>
  </r>
  <r>
    <x v="12"/>
    <n v="1"/>
    <n v="134"/>
    <n v="0.1119"/>
    <n v="15"/>
    <n v="2"/>
    <n v="1.6670000000000001E-3"/>
    <n v="0.35"/>
    <n v="2.66"/>
    <n v="5.32"/>
  </r>
  <r>
    <x v="12"/>
    <n v="1"/>
    <n v="188"/>
    <n v="6.9099999999999995E-2"/>
    <n v="13"/>
    <n v="2"/>
    <n v="0.33329999999999999"/>
    <n v="0.48"/>
    <n v="3.12"/>
    <n v="6.24"/>
  </r>
  <r>
    <x v="12"/>
    <n v="1"/>
    <n v="193"/>
    <n v="8.2899999999999988E-2"/>
    <n v="16"/>
    <n v="1"/>
    <n v="2.5000000000000001E-2"/>
    <n v="0"/>
    <n v="0"/>
    <n v="0"/>
  </r>
  <r>
    <x v="12"/>
    <n v="1"/>
    <n v="28"/>
    <n v="3.5699999999999996E-2"/>
    <n v="1"/>
    <n v="0"/>
    <n v="0.16670000000000001"/>
    <n v="0"/>
    <n v="0"/>
    <n v="0"/>
  </r>
  <r>
    <x v="12"/>
    <n v="1"/>
    <n v="39"/>
    <n v="0.15380000000000002"/>
    <n v="6"/>
    <n v="1"/>
    <n v="16.670000000000002"/>
    <n v="0.89"/>
    <n v="5.31"/>
    <n v="5.31"/>
  </r>
  <r>
    <x v="12"/>
    <n v="1"/>
    <n v="44"/>
    <n v="6.8199999999999997E-2"/>
    <n v="3"/>
    <n v="1"/>
    <n v="33.33"/>
    <n v="1.03"/>
    <n v="3.1"/>
    <n v="3.1"/>
  </r>
  <r>
    <x v="12"/>
    <n v="1"/>
    <n v="47"/>
    <n v="0.17019999999999999"/>
    <n v="8"/>
    <n v="3"/>
    <n v="37.5"/>
    <n v="1.1599999999999999"/>
    <n v="3.09"/>
    <n v="9.26"/>
  </r>
  <r>
    <x v="12"/>
    <n v="1"/>
    <n v="5"/>
    <n v="0.2"/>
    <n v="1"/>
    <n v="0"/>
    <n v="0"/>
    <n v="0"/>
    <n v="0"/>
    <n v="0"/>
  </r>
  <r>
    <x v="12"/>
    <n v="1"/>
    <n v="56"/>
    <n v="1.7899999999999999E-2"/>
    <n v="1"/>
    <n v="0"/>
    <n v="0"/>
    <n v="0"/>
    <n v="0"/>
    <n v="0"/>
  </r>
  <r>
    <x v="12"/>
    <n v="1"/>
    <n v="85"/>
    <n v="8.2400000000000001E-2"/>
    <n v="7"/>
    <n v="0"/>
    <n v="0"/>
    <n v="0"/>
    <n v="0"/>
    <n v="0"/>
  </r>
  <r>
    <x v="13"/>
    <n v="1"/>
    <n v="0"/>
    <n v="0"/>
    <n v="0"/>
    <n v="0"/>
    <n v="0"/>
    <n v="0"/>
    <n v="0"/>
    <n v="0"/>
  </r>
  <r>
    <x v="13"/>
    <n v="1"/>
    <n v="0"/>
    <n v="0"/>
    <n v="0"/>
    <n v="0"/>
    <n v="0"/>
    <n v="0"/>
    <n v="0"/>
    <n v="0"/>
  </r>
  <r>
    <x v="13"/>
    <n v="1"/>
    <n v="0"/>
    <n v="0"/>
    <n v="0"/>
    <n v="0"/>
    <n v="0"/>
    <n v="0"/>
    <n v="0"/>
    <n v="0"/>
  </r>
  <r>
    <x v="13"/>
    <n v="1"/>
    <n v="0"/>
    <n v="0"/>
    <n v="0"/>
    <n v="0"/>
    <n v="0"/>
    <n v="0"/>
    <n v="0"/>
    <n v="0"/>
  </r>
  <r>
    <x v="13"/>
    <n v="1"/>
    <n v="0"/>
    <n v="0"/>
    <n v="0"/>
    <n v="0"/>
    <n v="0"/>
    <n v="0"/>
    <n v="0"/>
    <n v="0"/>
  </r>
  <r>
    <x v="13"/>
    <n v="1"/>
    <n v="0"/>
    <n v="0"/>
    <n v="0"/>
    <n v="0"/>
    <n v="0"/>
    <n v="0"/>
    <n v="0"/>
    <n v="0"/>
  </r>
  <r>
    <x v="13"/>
    <n v="1"/>
    <n v="134"/>
    <n v="0.1119"/>
    <n v="15"/>
    <n v="2"/>
    <n v="1.25E-3"/>
    <n v="1.1200000000000001"/>
    <n v="8.3800000000000008"/>
    <n v="16.760000000000002"/>
  </r>
  <r>
    <x v="14"/>
    <n v="1"/>
    <n v="0"/>
    <n v="0"/>
    <n v="0"/>
    <n v="0"/>
    <n v="0"/>
    <n v="0"/>
    <n v="0"/>
    <n v="0"/>
  </r>
  <r>
    <x v="14"/>
    <n v="1"/>
    <n v="0"/>
    <n v="0"/>
    <n v="0"/>
    <n v="0"/>
    <n v="0"/>
    <n v="0"/>
    <n v="0"/>
    <n v="0"/>
  </r>
  <r>
    <x v="14"/>
    <n v="1"/>
    <n v="0"/>
    <n v="0"/>
    <n v="0"/>
    <n v="0"/>
    <n v="0"/>
    <n v="0"/>
    <n v="0"/>
    <n v="0"/>
  </r>
  <r>
    <x v="14"/>
    <n v="1"/>
    <n v="0"/>
    <n v="0"/>
    <n v="0"/>
    <n v="0"/>
    <n v="0"/>
    <n v="0"/>
    <n v="0"/>
    <n v="0"/>
  </r>
  <r>
    <x v="14"/>
    <n v="1"/>
    <n v="0"/>
    <n v="0"/>
    <n v="0"/>
    <n v="0"/>
    <n v="0"/>
    <n v="0"/>
    <n v="0"/>
    <n v="0"/>
  </r>
  <r>
    <x v="14"/>
    <n v="1"/>
    <n v="0"/>
    <n v="0"/>
    <n v="0"/>
    <n v="0"/>
    <n v="0"/>
    <n v="0"/>
    <n v="0"/>
    <n v="0"/>
  </r>
  <r>
    <x v="14"/>
    <n v="1"/>
    <n v="0"/>
    <n v="0"/>
    <n v="0"/>
    <n v="0"/>
    <n v="0"/>
    <n v="0"/>
    <n v="0"/>
    <n v="0"/>
  </r>
  <r>
    <x v="14"/>
    <n v="1"/>
    <n v="0"/>
    <n v="0"/>
    <n v="0"/>
    <n v="0"/>
    <n v="0"/>
    <n v="0"/>
    <n v="0"/>
    <n v="0"/>
  </r>
  <r>
    <x v="14"/>
    <n v="1"/>
    <n v="0"/>
    <n v="0"/>
    <n v="0"/>
    <n v="0"/>
    <n v="0"/>
    <n v="0"/>
    <n v="0"/>
    <n v="0"/>
  </r>
  <r>
    <x v="14"/>
    <n v="1"/>
    <n v="0"/>
    <n v="0"/>
    <n v="0"/>
    <n v="0"/>
    <n v="0"/>
    <n v="0"/>
    <n v="0"/>
    <n v="0"/>
  </r>
  <r>
    <x v="15"/>
    <n v="1"/>
    <n v="0"/>
    <n v="0"/>
    <n v="0"/>
    <n v="0"/>
    <n v="0"/>
    <n v="0"/>
    <n v="0"/>
    <n v="0"/>
  </r>
  <r>
    <x v="15"/>
    <n v="1"/>
    <n v="0"/>
    <n v="0"/>
    <n v="0"/>
    <n v="0"/>
    <n v="0"/>
    <n v="0"/>
    <n v="0"/>
    <n v="0"/>
  </r>
  <r>
    <x v="15"/>
    <n v="1"/>
    <n v="0"/>
    <n v="0"/>
    <n v="0"/>
    <n v="0"/>
    <n v="0"/>
    <n v="0"/>
    <n v="0"/>
    <n v="0"/>
  </r>
  <r>
    <x v="15"/>
    <n v="1"/>
    <n v="0"/>
    <n v="0"/>
    <n v="0"/>
    <n v="0"/>
    <n v="0"/>
    <n v="0"/>
    <n v="0"/>
    <n v="0"/>
  </r>
  <r>
    <x v="15"/>
    <n v="1"/>
    <n v="0"/>
    <n v="0"/>
    <n v="0"/>
    <n v="0"/>
    <n v="0"/>
    <n v="0"/>
    <n v="0"/>
    <n v="0"/>
  </r>
  <r>
    <x v="15"/>
    <n v="1"/>
    <n v="0"/>
    <n v="0"/>
    <n v="0"/>
    <n v="0"/>
    <n v="0"/>
    <n v="0"/>
    <n v="0"/>
    <n v="0"/>
  </r>
  <r>
    <x v="15"/>
    <n v="1"/>
    <n v="0"/>
    <n v="0"/>
    <n v="0"/>
    <n v="0"/>
    <n v="0"/>
    <n v="0"/>
    <n v="0"/>
    <n v="0"/>
  </r>
  <r>
    <x v="16"/>
    <n v="1"/>
    <n v="0"/>
    <n v="0"/>
    <n v="0"/>
    <n v="0"/>
    <n v="0"/>
    <n v="0"/>
    <n v="0"/>
    <n v="0"/>
  </r>
  <r>
    <x v="16"/>
    <n v="1"/>
    <n v="0"/>
    <n v="0"/>
    <n v="0"/>
    <n v="0"/>
    <n v="0"/>
    <n v="0"/>
    <n v="0"/>
    <n v="0"/>
  </r>
  <r>
    <x v="16"/>
    <n v="1"/>
    <n v="0"/>
    <n v="0"/>
    <n v="0"/>
    <n v="0"/>
    <n v="0"/>
    <n v="0"/>
    <n v="0"/>
    <n v="0"/>
  </r>
  <r>
    <x v="16"/>
    <n v="1"/>
    <n v="0"/>
    <n v="0"/>
    <n v="0"/>
    <n v="0"/>
    <n v="0"/>
    <n v="0"/>
    <n v="0"/>
    <n v="0"/>
  </r>
  <r>
    <x v="16"/>
    <n v="1"/>
    <n v="135"/>
    <n v="9.6300000000000011E-2"/>
    <n v="13"/>
    <n v="1"/>
    <n v="9.0899999999999998E-4"/>
    <n v="0.39"/>
    <n v="5.1100000000000003"/>
    <n v="5.1100000000000003"/>
  </r>
  <r>
    <x v="16"/>
    <n v="1"/>
    <n v="152"/>
    <n v="6.5799999999999997E-2"/>
    <n v="10"/>
    <n v="1"/>
    <n v="1.25E-3"/>
    <n v="1.99"/>
    <n v="19.850000000000001"/>
    <n v="19.850000000000001"/>
  </r>
  <r>
    <x v="16"/>
    <n v="1"/>
    <n v="221"/>
    <n v="8.5999999999999993E-2"/>
    <n v="19"/>
    <n v="3"/>
    <n v="0.1429"/>
    <n v="0.38"/>
    <n v="2.38"/>
    <n v="7.13"/>
  </r>
  <r>
    <x v="16"/>
    <n v="1"/>
    <n v="231"/>
    <n v="7.3599999999999999E-2"/>
    <n v="17"/>
    <n v="0"/>
    <n v="0.15380000000000002"/>
    <n v="0"/>
    <n v="0"/>
    <n v="0"/>
  </r>
  <r>
    <x v="16"/>
    <n v="1"/>
    <n v="245"/>
    <n v="8.9800000000000005E-2"/>
    <n v="22"/>
    <n v="5"/>
    <n v="7.690000000000001E-2"/>
    <n v="0.93"/>
    <n v="4.0999999999999996"/>
    <n v="20.48"/>
  </r>
  <r>
    <x v="16"/>
    <n v="1"/>
    <n v="254"/>
    <n v="7.8700000000000006E-2"/>
    <n v="20"/>
    <n v="0"/>
    <n v="0.11109999999999999"/>
    <n v="0"/>
    <n v="0"/>
    <n v="0"/>
  </r>
  <r>
    <x v="16"/>
    <n v="1"/>
    <n v="348"/>
    <n v="6.6100000000000006E-2"/>
    <n v="23"/>
    <n v="4"/>
    <n v="17.39"/>
    <n v="0.98"/>
    <n v="5.63"/>
    <n v="22.5"/>
  </r>
  <r>
    <x v="16"/>
    <n v="1"/>
    <n v="551"/>
    <n v="4.9000000000000002E-2"/>
    <n v="27"/>
    <n v="3"/>
    <n v="11.11"/>
    <n v="0.27"/>
    <n v="2.4700000000000002"/>
    <n v="7.4"/>
  </r>
  <r>
    <x v="16"/>
    <n v="1"/>
    <n v="59"/>
    <n v="8.4700000000000011E-2"/>
    <n v="5"/>
    <n v="0"/>
    <n v="0"/>
    <n v="0"/>
    <n v="0"/>
    <n v="0"/>
  </r>
  <r>
    <x v="17"/>
    <n v="1"/>
    <n v="310"/>
    <n v="8.7100000000000011E-2"/>
    <n v="27"/>
    <n v="3"/>
    <n v="11.11"/>
    <n v="0.2"/>
    <n v="1.8"/>
    <n v="5.4"/>
  </r>
  <r>
    <x v="17"/>
    <n v="1"/>
    <n v="368"/>
    <n v="8.6999999999999994E-2"/>
    <n v="32"/>
    <n v="6"/>
    <n v="18.75"/>
    <n v="0.87"/>
    <n v="4.63"/>
    <n v="27.8"/>
  </r>
  <r>
    <x v="18"/>
    <n v="1"/>
    <n v="0"/>
    <n v="0"/>
    <n v="0"/>
    <n v="0"/>
    <n v="0"/>
    <n v="0"/>
    <n v="0"/>
    <n v="0"/>
  </r>
  <r>
    <x v="18"/>
    <n v="1"/>
    <n v="0"/>
    <n v="0"/>
    <n v="0"/>
    <n v="0"/>
    <n v="0"/>
    <n v="0"/>
    <n v="0"/>
    <n v="0"/>
  </r>
  <r>
    <x v="18"/>
    <n v="1"/>
    <n v="0"/>
    <n v="0"/>
    <n v="0"/>
    <n v="0"/>
    <n v="0"/>
    <n v="0"/>
    <n v="0"/>
    <n v="0"/>
  </r>
  <r>
    <x v="18"/>
    <n v="1"/>
    <n v="0"/>
    <n v="0"/>
    <n v="0"/>
    <n v="0"/>
    <n v="0"/>
    <n v="0"/>
    <n v="0"/>
    <n v="0"/>
  </r>
  <r>
    <x v="18"/>
    <n v="1"/>
    <n v="0"/>
    <n v="0"/>
    <n v="0"/>
    <n v="0"/>
    <n v="0"/>
    <n v="0"/>
    <n v="0"/>
    <n v="0"/>
  </r>
  <r>
    <x v="18"/>
    <n v="1"/>
    <n v="0"/>
    <n v="0"/>
    <n v="0"/>
    <n v="0"/>
    <n v="0"/>
    <n v="0"/>
    <n v="0"/>
    <n v="0"/>
  </r>
  <r>
    <x v="18"/>
    <n v="1"/>
    <n v="0"/>
    <n v="0"/>
    <n v="0"/>
    <n v="0"/>
    <n v="0"/>
    <n v="0"/>
    <n v="0"/>
    <n v="0"/>
  </r>
  <r>
    <x v="18"/>
    <n v="1"/>
    <n v="0"/>
    <n v="0"/>
    <n v="0"/>
    <n v="0"/>
    <n v="0"/>
    <n v="0"/>
    <n v="0"/>
    <n v="0"/>
  </r>
  <r>
    <x v="18"/>
    <n v="1"/>
    <n v="0"/>
    <n v="0"/>
    <n v="0"/>
    <n v="0"/>
    <n v="0"/>
    <n v="0"/>
    <n v="0"/>
    <n v="0"/>
  </r>
  <r>
    <x v="18"/>
    <n v="1"/>
    <n v="0"/>
    <n v="0"/>
    <n v="0"/>
    <n v="0"/>
    <n v="0"/>
    <n v="0"/>
    <n v="0"/>
    <n v="0"/>
  </r>
  <r>
    <x v="18"/>
    <n v="1"/>
    <n v="0"/>
    <n v="0"/>
    <n v="0"/>
    <n v="0"/>
    <n v="0"/>
    <n v="0"/>
    <n v="0"/>
    <n v="0"/>
  </r>
  <r>
    <x v="18"/>
    <n v="1"/>
    <n v="0"/>
    <n v="0"/>
    <n v="0"/>
    <n v="0"/>
    <n v="0"/>
    <n v="0"/>
    <n v="0"/>
    <n v="0"/>
  </r>
  <r>
    <x v="19"/>
    <n v="1"/>
    <n v="0"/>
    <n v="0"/>
    <n v="0"/>
    <n v="0"/>
    <n v="0"/>
    <n v="0"/>
    <n v="0"/>
    <n v="0"/>
  </r>
  <r>
    <x v="19"/>
    <n v="1"/>
    <n v="0"/>
    <n v="0"/>
    <n v="0"/>
    <n v="0"/>
    <n v="0"/>
    <n v="0"/>
    <n v="0"/>
    <n v="0"/>
  </r>
  <r>
    <x v="19"/>
    <n v="1"/>
    <n v="0"/>
    <n v="0"/>
    <n v="0"/>
    <n v="0"/>
    <n v="0"/>
    <n v="0"/>
    <n v="0"/>
    <n v="0"/>
  </r>
  <r>
    <x v="19"/>
    <n v="1"/>
    <n v="0"/>
    <n v="0"/>
    <n v="0"/>
    <n v="0"/>
    <n v="0"/>
    <n v="0"/>
    <n v="0"/>
    <n v="0"/>
  </r>
  <r>
    <x v="19"/>
    <n v="1"/>
    <n v="0"/>
    <n v="0"/>
    <n v="0"/>
    <n v="0"/>
    <n v="0"/>
    <n v="0"/>
    <n v="0"/>
    <n v="0"/>
  </r>
  <r>
    <x v="19"/>
    <n v="1"/>
    <n v="0"/>
    <n v="0"/>
    <n v="0"/>
    <n v="0"/>
    <n v="0"/>
    <n v="0"/>
    <n v="0"/>
    <n v="0"/>
  </r>
  <r>
    <x v="19"/>
    <n v="1"/>
    <n v="0"/>
    <n v="0"/>
    <n v="0"/>
    <n v="0"/>
    <n v="0"/>
    <n v="0"/>
    <n v="0"/>
    <n v="0"/>
  </r>
  <r>
    <x v="19"/>
    <n v="1"/>
    <n v="0"/>
    <n v="0"/>
    <n v="0"/>
    <n v="0"/>
    <n v="0"/>
    <n v="0"/>
    <n v="0"/>
    <n v="0"/>
  </r>
  <r>
    <x v="19"/>
    <n v="1"/>
    <n v="0"/>
    <n v="0"/>
    <n v="0"/>
    <n v="0"/>
    <n v="0"/>
    <n v="0"/>
    <n v="0"/>
    <n v="0"/>
  </r>
  <r>
    <x v="19"/>
    <n v="1"/>
    <n v="0"/>
    <n v="0"/>
    <n v="0"/>
    <n v="0"/>
    <n v="0"/>
    <n v="0"/>
    <n v="0"/>
    <n v="0"/>
  </r>
  <r>
    <x v="20"/>
    <n v="1"/>
    <n v="141"/>
    <n v="2.8399999999999998E-2"/>
    <n v="4"/>
    <n v="0"/>
    <n v="1.6670000000000001E-3"/>
    <n v="0"/>
    <n v="0"/>
    <n v="0"/>
  </r>
  <r>
    <x v="20"/>
    <n v="1"/>
    <n v="208"/>
    <n v="2.8799999999999999E-2"/>
    <n v="6"/>
    <n v="1"/>
    <n v="0.1429"/>
    <n v="1.5"/>
    <n v="9.0299999999999994"/>
    <n v="9.0299999999999994"/>
  </r>
  <r>
    <x v="20"/>
    <n v="1"/>
    <n v="252"/>
    <n v="5.16E-2"/>
    <n v="13"/>
    <n v="0"/>
    <n v="0.18179999999999999"/>
    <n v="0"/>
    <n v="0"/>
    <n v="0"/>
  </r>
  <r>
    <x v="20"/>
    <n v="1"/>
    <n v="92"/>
    <n v="3.2599999999999997E-2"/>
    <n v="3"/>
    <n v="1"/>
    <n v="33.33"/>
    <n v="4.91"/>
    <n v="14.73"/>
    <n v="14.73"/>
  </r>
  <r>
    <x v="21"/>
    <n v="1"/>
    <n v="0"/>
    <n v="0"/>
    <n v="0"/>
    <n v="0"/>
    <n v="0"/>
    <n v="0"/>
    <n v="0"/>
    <n v="0"/>
  </r>
  <r>
    <x v="21"/>
    <n v="1"/>
    <n v="0"/>
    <n v="0"/>
    <n v="0"/>
    <n v="0"/>
    <n v="0"/>
    <n v="0"/>
    <n v="0"/>
    <n v="0"/>
  </r>
  <r>
    <x v="22"/>
    <n v="1"/>
    <n v="0"/>
    <n v="0"/>
    <n v="0"/>
    <n v="0"/>
    <n v="0"/>
    <n v="0"/>
    <n v="0"/>
    <n v="0"/>
  </r>
  <r>
    <x v="22"/>
    <n v="1"/>
    <n v="0"/>
    <n v="0"/>
    <n v="0"/>
    <n v="0"/>
    <n v="0"/>
    <n v="0"/>
    <n v="0"/>
    <n v="0"/>
  </r>
  <r>
    <x v="22"/>
    <n v="1"/>
    <n v="0"/>
    <n v="0"/>
    <n v="0"/>
    <n v="0"/>
    <n v="0"/>
    <n v="0"/>
    <n v="0"/>
    <n v="0"/>
  </r>
  <r>
    <x v="22"/>
    <n v="1"/>
    <n v="0"/>
    <n v="0"/>
    <n v="0"/>
    <n v="0"/>
    <n v="0"/>
    <n v="0"/>
    <n v="0"/>
    <n v="0"/>
  </r>
  <r>
    <x v="22"/>
    <n v="1"/>
    <n v="0"/>
    <n v="0"/>
    <n v="0"/>
    <n v="0"/>
    <n v="0"/>
    <n v="0"/>
    <n v="0"/>
    <n v="0"/>
  </r>
  <r>
    <x v="22"/>
    <n v="1"/>
    <n v="0"/>
    <n v="0"/>
    <n v="0"/>
    <n v="0"/>
    <n v="0"/>
    <n v="0"/>
    <n v="0"/>
    <n v="0"/>
  </r>
  <r>
    <x v="22"/>
    <n v="1"/>
    <n v="0"/>
    <n v="0"/>
    <n v="0"/>
    <n v="0"/>
    <n v="0"/>
    <n v="0"/>
    <n v="0"/>
    <n v="0"/>
  </r>
  <r>
    <x v="22"/>
    <n v="1"/>
    <n v="0"/>
    <n v="0"/>
    <n v="0"/>
    <n v="0"/>
    <n v="0"/>
    <n v="0"/>
    <n v="0"/>
    <n v="0"/>
  </r>
  <r>
    <x v="22"/>
    <n v="1"/>
    <n v="0"/>
    <n v="0"/>
    <n v="0"/>
    <n v="0"/>
    <n v="0"/>
    <n v="0"/>
    <n v="0"/>
    <n v="0"/>
  </r>
  <r>
    <x v="22"/>
    <n v="1"/>
    <n v="0"/>
    <n v="0"/>
    <n v="0"/>
    <n v="0"/>
    <n v="0"/>
    <n v="0"/>
    <n v="0"/>
    <n v="0"/>
  </r>
  <r>
    <x v="22"/>
    <n v="1"/>
    <n v="0"/>
    <n v="0"/>
    <n v="0"/>
    <n v="0"/>
    <n v="0"/>
    <n v="0"/>
    <n v="0"/>
    <n v="0"/>
  </r>
  <r>
    <x v="23"/>
    <n v="1"/>
    <n v="0"/>
    <n v="0"/>
    <n v="0"/>
    <n v="0"/>
    <n v="0"/>
    <n v="0"/>
    <n v="0"/>
    <n v="0"/>
  </r>
  <r>
    <x v="23"/>
    <n v="1"/>
    <n v="0"/>
    <n v="0"/>
    <n v="0"/>
    <n v="0"/>
    <n v="0"/>
    <n v="0"/>
    <n v="0"/>
    <n v="0"/>
  </r>
  <r>
    <x v="24"/>
    <n v="1"/>
    <n v="0"/>
    <n v="0"/>
    <n v="0"/>
    <n v="0"/>
    <n v="0"/>
    <n v="0"/>
    <n v="0"/>
    <n v="0"/>
  </r>
  <r>
    <x v="24"/>
    <n v="1"/>
    <n v="0"/>
    <n v="0"/>
    <n v="0"/>
    <n v="0"/>
    <n v="0"/>
    <n v="0"/>
    <n v="0"/>
    <n v="0"/>
  </r>
  <r>
    <x v="24"/>
    <n v="1"/>
    <n v="0"/>
    <n v="0"/>
    <n v="0"/>
    <n v="0"/>
    <n v="0"/>
    <n v="0"/>
    <n v="0"/>
    <n v="0"/>
  </r>
  <r>
    <x v="24"/>
    <n v="1"/>
    <n v="0"/>
    <n v="0"/>
    <n v="0"/>
    <n v="0"/>
    <n v="0"/>
    <n v="0"/>
    <n v="0"/>
    <n v="0"/>
  </r>
  <r>
    <x v="24"/>
    <n v="1"/>
    <n v="0"/>
    <n v="0"/>
    <n v="0"/>
    <n v="0"/>
    <n v="0"/>
    <n v="0"/>
    <n v="0"/>
    <n v="0"/>
  </r>
  <r>
    <x v="24"/>
    <n v="1"/>
    <n v="0"/>
    <n v="0"/>
    <n v="0"/>
    <n v="0"/>
    <n v="0"/>
    <n v="0"/>
    <n v="0"/>
    <n v="0"/>
  </r>
  <r>
    <x v="24"/>
    <n v="1"/>
    <n v="0"/>
    <n v="0"/>
    <n v="0"/>
    <n v="0"/>
    <n v="0"/>
    <n v="0"/>
    <n v="0"/>
    <n v="0"/>
  </r>
  <r>
    <x v="24"/>
    <n v="1"/>
    <n v="0"/>
    <n v="0"/>
    <n v="0"/>
    <n v="0"/>
    <n v="0"/>
    <n v="0"/>
    <n v="0"/>
    <n v="0"/>
  </r>
  <r>
    <x v="24"/>
    <n v="1"/>
    <n v="0"/>
    <n v="0"/>
    <n v="0"/>
    <n v="0"/>
    <n v="0"/>
    <n v="0"/>
    <n v="0"/>
    <n v="0"/>
  </r>
  <r>
    <x v="24"/>
    <n v="1"/>
    <n v="0"/>
    <n v="0"/>
    <n v="0"/>
    <n v="0"/>
    <n v="0"/>
    <n v="0"/>
    <n v="0"/>
    <n v="0"/>
  </r>
  <r>
    <x v="24"/>
    <n v="1"/>
    <n v="332"/>
    <n v="4.5199999999999997E-2"/>
    <n v="15"/>
    <n v="4"/>
    <n v="26.67"/>
    <n v="2.6"/>
    <n v="9.76"/>
    <n v="39.049999999999997"/>
  </r>
  <r>
    <x v="24"/>
    <n v="1"/>
    <n v="404"/>
    <n v="6.6799999999999998E-2"/>
    <n v="27"/>
    <n v="3"/>
    <n v="11.11"/>
    <n v="1.61"/>
    <n v="14.49"/>
    <n v="43.47"/>
  </r>
  <r>
    <x v="24"/>
    <n v="1"/>
    <n v="444"/>
    <n v="6.08E-2"/>
    <n v="27"/>
    <n v="0"/>
    <n v="0"/>
    <n v="0"/>
    <n v="0"/>
    <n v="0"/>
  </r>
  <r>
    <x v="24"/>
    <n v="1"/>
    <n v="575"/>
    <n v="7.1300000000000002E-2"/>
    <n v="41"/>
    <n v="3"/>
    <n v="7.32"/>
    <n v="0.77"/>
    <n v="10.53"/>
    <n v="31.58"/>
  </r>
  <r>
    <x v="25"/>
    <n v="1"/>
    <n v="0"/>
    <n v="0"/>
    <n v="0"/>
    <n v="0"/>
    <n v="0"/>
    <n v="0"/>
    <n v="0"/>
    <n v="0"/>
  </r>
  <r>
    <x v="25"/>
    <n v="1"/>
    <n v="0"/>
    <n v="0"/>
    <n v="0"/>
    <n v="0"/>
    <n v="0"/>
    <n v="0"/>
    <n v="0"/>
    <n v="0"/>
  </r>
  <r>
    <x v="25"/>
    <n v="1"/>
    <n v="0"/>
    <n v="0"/>
    <n v="0"/>
    <n v="0"/>
    <n v="0"/>
    <n v="0"/>
    <n v="0"/>
    <n v="0"/>
  </r>
  <r>
    <x v="25"/>
    <n v="1"/>
    <n v="0"/>
    <n v="0"/>
    <n v="0"/>
    <n v="0"/>
    <n v="0"/>
    <n v="0"/>
    <n v="0"/>
    <n v="0"/>
  </r>
  <r>
    <x v="25"/>
    <n v="1"/>
    <n v="0"/>
    <n v="0"/>
    <n v="0"/>
    <n v="0"/>
    <n v="0"/>
    <n v="0"/>
    <n v="0"/>
    <n v="0"/>
  </r>
  <r>
    <x v="25"/>
    <n v="1"/>
    <n v="0"/>
    <n v="0"/>
    <n v="0"/>
    <n v="0"/>
    <n v="0"/>
    <n v="0"/>
    <n v="0"/>
    <n v="0"/>
  </r>
  <r>
    <x v="25"/>
    <n v="1"/>
    <n v="0"/>
    <n v="0"/>
    <n v="0"/>
    <n v="0"/>
    <n v="0"/>
    <n v="0"/>
    <n v="0"/>
    <n v="0"/>
  </r>
  <r>
    <x v="25"/>
    <n v="1"/>
    <n v="0"/>
    <n v="0"/>
    <n v="0"/>
    <n v="0"/>
    <n v="0"/>
    <n v="0"/>
    <n v="0"/>
    <n v="0"/>
  </r>
  <r>
    <x v="25"/>
    <n v="1"/>
    <n v="132"/>
    <n v="7.5800000000000006E-2"/>
    <n v="10"/>
    <n v="1"/>
    <n v="1.7390000000000001E-3"/>
    <n v="3.6"/>
    <n v="35.97"/>
    <n v="35.97"/>
  </r>
  <r>
    <x v="25"/>
    <n v="1"/>
    <n v="235"/>
    <n v="9.3599999999999989E-2"/>
    <n v="22"/>
    <n v="2"/>
    <n v="0.11109999999999999"/>
    <n v="0.09"/>
    <n v="0.98"/>
    <n v="1.96"/>
  </r>
  <r>
    <x v="25"/>
    <n v="1"/>
    <n v="318"/>
    <n v="6.2899999999999998E-2"/>
    <n v="20"/>
    <n v="2"/>
    <n v="10"/>
    <n v="0.2"/>
    <n v="2.0299999999999998"/>
    <n v="4.05"/>
  </r>
  <r>
    <x v="25"/>
    <n v="1"/>
    <n v="373"/>
    <n v="7.7699999999999991E-2"/>
    <n v="29"/>
    <n v="4"/>
    <n v="13.79"/>
    <n v="0.31"/>
    <n v="2.2400000000000002"/>
    <n v="8.9700000000000006"/>
  </r>
  <r>
    <x v="25"/>
    <n v="1"/>
    <n v="444"/>
    <n v="4.4999999999999998E-2"/>
    <n v="20"/>
    <n v="1"/>
    <n v="5"/>
    <n v="0.61"/>
    <n v="12.18"/>
    <n v="12.18"/>
  </r>
  <r>
    <x v="25"/>
    <n v="1"/>
    <n v="632"/>
    <n v="6.8000000000000005E-2"/>
    <n v="43"/>
    <n v="3"/>
    <n v="6.98"/>
    <n v="1.04"/>
    <n v="14.92"/>
    <n v="44.77"/>
  </r>
  <r>
    <x v="25"/>
    <n v="1"/>
    <n v="8"/>
    <n v="0"/>
    <n v="0"/>
    <n v="0"/>
    <n v="0"/>
    <n v="0"/>
    <n v="0"/>
    <n v="0"/>
  </r>
  <r>
    <x v="25"/>
    <n v="1"/>
    <n v="232"/>
    <n v="6.9000000000000006E-2"/>
    <n v="16"/>
    <n v="1"/>
    <n v="0.16670000000000001"/>
    <n v="0.69"/>
    <n v="11.02"/>
    <n v="11.02"/>
  </r>
  <r>
    <x v="25"/>
    <n v="1"/>
    <n v="0"/>
    <n v="0"/>
    <n v="0"/>
    <n v="0"/>
    <n v="0"/>
    <n v="0"/>
    <n v="0"/>
    <n v="0"/>
  </r>
  <r>
    <x v="25"/>
    <n v="1"/>
    <n v="188"/>
    <n v="9.5700000000000007E-2"/>
    <n v="18"/>
    <n v="2"/>
    <n v="0.23079999999999998"/>
    <n v="0.4"/>
    <n v="3.6"/>
    <n v="7.2"/>
  </r>
  <r>
    <x v="25"/>
    <n v="1"/>
    <n v="0"/>
    <n v="0"/>
    <n v="0"/>
    <n v="0"/>
    <n v="0"/>
    <n v="0"/>
    <n v="0"/>
    <n v="0"/>
  </r>
  <r>
    <x v="25"/>
    <n v="1"/>
    <n v="0"/>
    <n v="0"/>
    <n v="0"/>
    <n v="0"/>
    <n v="0"/>
    <n v="0"/>
    <n v="0"/>
    <n v="0"/>
  </r>
  <r>
    <x v="25"/>
    <n v="1"/>
    <n v="0"/>
    <n v="0"/>
    <n v="0"/>
    <n v="0"/>
    <n v="0"/>
    <n v="0"/>
    <n v="0"/>
    <n v="0"/>
  </r>
  <r>
    <x v="25"/>
    <n v="1"/>
    <n v="0"/>
    <n v="0"/>
    <n v="0"/>
    <n v="0"/>
    <n v="0"/>
    <n v="0"/>
    <n v="0"/>
    <n v="0"/>
  </r>
  <r>
    <x v="25"/>
    <n v="1"/>
    <n v="575"/>
    <n v="7.4800000000000005E-2"/>
    <n v="43"/>
    <n v="4"/>
    <n v="9.3000000000000007"/>
    <n v="0.88"/>
    <n v="9.42"/>
    <n v="37.68"/>
  </r>
  <r>
    <x v="25"/>
    <n v="1"/>
    <n v="9"/>
    <n v="0.11109999999999999"/>
    <n v="1"/>
    <n v="0"/>
    <n v="0"/>
    <n v="0"/>
    <n v="0"/>
    <n v="0"/>
  </r>
  <r>
    <x v="26"/>
    <n v="1"/>
    <n v="0"/>
    <n v="0"/>
    <n v="0"/>
    <n v="0"/>
    <n v="0"/>
    <n v="0"/>
    <n v="0"/>
    <n v="0"/>
  </r>
  <r>
    <x v="27"/>
    <n v="1"/>
    <n v="0"/>
    <n v="0"/>
    <n v="0"/>
    <n v="0"/>
    <n v="0"/>
    <n v="0"/>
    <n v="0"/>
    <n v="0"/>
  </r>
  <r>
    <x v="28"/>
    <n v="1"/>
    <n v="0"/>
    <n v="0"/>
    <n v="0"/>
    <n v="0"/>
    <n v="0"/>
    <n v="0"/>
    <n v="0"/>
    <n v="0"/>
  </r>
  <r>
    <x v="29"/>
    <n v="1"/>
    <n v="0"/>
    <n v="0"/>
    <n v="0"/>
    <n v="0"/>
    <n v="0"/>
    <n v="0"/>
    <n v="0"/>
    <n v="0"/>
  </r>
  <r>
    <x v="30"/>
    <n v="1"/>
    <n v="0"/>
    <n v="0"/>
    <n v="0"/>
    <n v="0"/>
    <n v="0"/>
    <n v="0"/>
    <n v="0"/>
    <n v="0"/>
  </r>
  <r>
    <x v="31"/>
    <n v="1"/>
    <n v="0"/>
    <n v="0"/>
    <n v="0"/>
    <n v="0"/>
    <n v="0"/>
    <n v="0"/>
    <n v="0"/>
    <n v="0"/>
  </r>
  <r>
    <x v="32"/>
    <n v="1"/>
    <n v="0"/>
    <n v="0"/>
    <n v="0"/>
    <n v="0"/>
    <n v="0"/>
    <n v="0"/>
    <n v="0"/>
    <n v="0"/>
  </r>
  <r>
    <x v="32"/>
    <n v="1"/>
    <n v="167"/>
    <n v="0.1198"/>
    <n v="20"/>
    <n v="4"/>
    <n v="5.0000000000000001E-4"/>
    <n v="0.88"/>
    <n v="4.38"/>
    <n v="17.5"/>
  </r>
  <r>
    <x v="32"/>
    <n v="1"/>
    <n v="0"/>
    <n v="0"/>
    <n v="0"/>
    <n v="0"/>
    <n v="0"/>
    <n v="0"/>
    <n v="0"/>
    <n v="0"/>
  </r>
  <r>
    <x v="32"/>
    <n v="1"/>
    <n v="225"/>
    <n v="0.10220000000000001"/>
    <n v="23"/>
    <n v="4"/>
    <n v="0.13789999999999999"/>
    <n v="1.05"/>
    <n v="6.04"/>
    <n v="24.14"/>
  </r>
  <r>
    <x v="33"/>
    <n v="1"/>
    <n v="0"/>
    <n v="0"/>
    <n v="0"/>
    <n v="0"/>
    <n v="0"/>
    <n v="0"/>
    <n v="0"/>
    <n v="0"/>
  </r>
  <r>
    <x v="34"/>
    <n v="1"/>
    <n v="0"/>
    <n v="0"/>
    <n v="0"/>
    <n v="0"/>
    <n v="0"/>
    <n v="0"/>
    <n v="0"/>
    <n v="0"/>
  </r>
  <r>
    <x v="34"/>
    <n v="1"/>
    <n v="0"/>
    <n v="0"/>
    <n v="0"/>
    <n v="0"/>
    <n v="0"/>
    <n v="0"/>
    <n v="0"/>
    <n v="0"/>
  </r>
  <r>
    <x v="34"/>
    <n v="1"/>
    <n v="0"/>
    <n v="0"/>
    <n v="0"/>
    <n v="0"/>
    <n v="0"/>
    <n v="0"/>
    <n v="0"/>
    <n v="0"/>
  </r>
  <r>
    <x v="35"/>
    <n v="1"/>
    <n v="0"/>
    <n v="0"/>
    <n v="0"/>
    <n v="0"/>
    <n v="0"/>
    <n v="0"/>
    <n v="0"/>
    <n v="0"/>
  </r>
  <r>
    <x v="35"/>
    <n v="1"/>
    <n v="0"/>
    <n v="0"/>
    <n v="0"/>
    <n v="0"/>
    <n v="0"/>
    <n v="0"/>
    <n v="0"/>
    <n v="0"/>
  </r>
  <r>
    <x v="35"/>
    <n v="1"/>
    <n v="0"/>
    <n v="0"/>
    <n v="0"/>
    <n v="0"/>
    <n v="0"/>
    <n v="0"/>
    <n v="0"/>
    <n v="0"/>
  </r>
  <r>
    <x v="35"/>
    <n v="1"/>
    <n v="0"/>
    <n v="0"/>
    <n v="0"/>
    <n v="0"/>
    <n v="0"/>
    <n v="0"/>
    <n v="0"/>
    <n v="0"/>
  </r>
  <r>
    <x v="35"/>
    <n v="1"/>
    <n v="0"/>
    <n v="0"/>
    <n v="0"/>
    <n v="0"/>
    <n v="0"/>
    <n v="0"/>
    <n v="0"/>
    <n v="0"/>
  </r>
  <r>
    <x v="35"/>
    <n v="1"/>
    <n v="0"/>
    <n v="0"/>
    <n v="0"/>
    <n v="0"/>
    <n v="0"/>
    <n v="0"/>
    <n v="0"/>
    <n v="0"/>
  </r>
  <r>
    <x v="35"/>
    <n v="1"/>
    <n v="0"/>
    <n v="0"/>
    <n v="0"/>
    <n v="0"/>
    <n v="0"/>
    <n v="0"/>
    <n v="0"/>
    <n v="0"/>
  </r>
  <r>
    <x v="35"/>
    <n v="1"/>
    <n v="0"/>
    <n v="0"/>
    <n v="0"/>
    <n v="0"/>
    <n v="0"/>
    <n v="0"/>
    <n v="0"/>
    <n v="0"/>
  </r>
  <r>
    <x v="35"/>
    <n v="1"/>
    <n v="0"/>
    <n v="0"/>
    <n v="0"/>
    <n v="0"/>
    <n v="0"/>
    <n v="0"/>
    <n v="0"/>
    <n v="0"/>
  </r>
  <r>
    <x v="35"/>
    <n v="1"/>
    <n v="0"/>
    <n v="0"/>
    <n v="0"/>
    <n v="0"/>
    <n v="0"/>
    <n v="0"/>
    <n v="0"/>
    <n v="0"/>
  </r>
  <r>
    <x v="35"/>
    <n v="1"/>
    <n v="0"/>
    <n v="0"/>
    <n v="0"/>
    <n v="0"/>
    <n v="0"/>
    <n v="0"/>
    <n v="0"/>
    <n v="0"/>
  </r>
  <r>
    <x v="35"/>
    <n v="1"/>
    <n v="0"/>
    <n v="0"/>
    <n v="0"/>
    <n v="0"/>
    <n v="0"/>
    <n v="0"/>
    <n v="0"/>
    <n v="0"/>
  </r>
  <r>
    <x v="35"/>
    <n v="1"/>
    <n v="238"/>
    <n v="5.04E-2"/>
    <n v="12"/>
    <n v="1"/>
    <n v="0.33329999999999999"/>
    <n v="1.38"/>
    <n v="16.57"/>
    <n v="16.57"/>
  </r>
  <r>
    <x v="35"/>
    <n v="1"/>
    <n v="377"/>
    <n v="3.4500000000000003E-2"/>
    <n v="13"/>
    <n v="2"/>
    <n v="15.38"/>
    <n v="1.66"/>
    <n v="10.81"/>
    <n v="21.61"/>
  </r>
  <r>
    <x v="35"/>
    <n v="1"/>
    <n v="410"/>
    <n v="2.9300000000000003E-2"/>
    <n v="12"/>
    <n v="2"/>
    <n v="16.670000000000002"/>
    <n v="1.24"/>
    <n v="7.41"/>
    <n v="14.82"/>
  </r>
  <r>
    <x v="36"/>
    <n v="1"/>
    <n v="0"/>
    <n v="0"/>
    <n v="0"/>
    <n v="0"/>
    <n v="0"/>
    <n v="0"/>
    <n v="0"/>
    <n v="0"/>
  </r>
  <r>
    <x v="36"/>
    <n v="1"/>
    <n v="144"/>
    <n v="5.5599999999999997E-2"/>
    <n v="8"/>
    <n v="0"/>
    <n v="2.5000000000000001E-3"/>
    <n v="0"/>
    <n v="0"/>
    <n v="0"/>
  </r>
  <r>
    <x v="36"/>
    <n v="1"/>
    <n v="224"/>
    <n v="4.4600000000000001E-2"/>
    <n v="10"/>
    <n v="1"/>
    <n v="0.1875"/>
    <n v="1.32"/>
    <n v="13.18"/>
    <n v="13.18"/>
  </r>
  <r>
    <x v="36"/>
    <n v="1"/>
    <n v="296"/>
    <n v="3.3799999999999997E-2"/>
    <n v="10"/>
    <n v="1"/>
    <n v="10"/>
    <n v="1.63"/>
    <n v="16.309999999999999"/>
    <n v="16.309999999999999"/>
  </r>
  <r>
    <x v="36"/>
    <n v="1"/>
    <n v="301"/>
    <n v="3.9900000000000005E-2"/>
    <n v="12"/>
    <n v="2"/>
    <n v="16.670000000000002"/>
    <n v="0.94"/>
    <n v="5.67"/>
    <n v="11.33"/>
  </r>
  <r>
    <x v="8"/>
    <n v="1"/>
    <n v="0"/>
    <n v="0"/>
    <n v="0"/>
    <n v="0"/>
    <n v="0"/>
    <n v="0"/>
    <n v="0"/>
    <n v="0"/>
  </r>
  <r>
    <x v="8"/>
    <n v="1"/>
    <n v="0"/>
    <n v="0"/>
    <n v="0"/>
    <n v="0"/>
    <n v="0"/>
    <n v="0"/>
    <n v="0"/>
    <n v="0"/>
  </r>
  <r>
    <x v="37"/>
    <n v="1"/>
    <n v="0"/>
    <n v="0"/>
    <n v="0"/>
    <n v="0"/>
    <n v="0"/>
    <n v="0"/>
    <n v="0"/>
    <n v="0"/>
  </r>
  <r>
    <x v="37"/>
    <n v="1"/>
    <n v="0"/>
    <n v="0"/>
    <n v="0"/>
    <n v="0"/>
    <n v="0"/>
    <n v="0"/>
    <n v="0"/>
    <n v="0"/>
  </r>
  <r>
    <x v="37"/>
    <n v="1"/>
    <n v="0"/>
    <n v="0"/>
    <n v="0"/>
    <n v="0"/>
    <n v="0"/>
    <n v="0"/>
    <n v="0"/>
    <n v="0"/>
  </r>
  <r>
    <x v="37"/>
    <n v="1"/>
    <n v="159"/>
    <n v="6.9199999999999998E-2"/>
    <n v="11"/>
    <n v="1"/>
    <n v="2.6670000000000001E-3"/>
    <n v="0.18"/>
    <n v="1.97"/>
    <n v="1.97"/>
  </r>
  <r>
    <x v="37"/>
    <n v="1"/>
    <n v="172"/>
    <n v="7.5600000000000001E-2"/>
    <n v="13"/>
    <n v="2"/>
    <n v="7.3200000000000001E-4"/>
    <n v="2.11"/>
    <n v="13.72"/>
    <n v="27.44"/>
  </r>
  <r>
    <x v="37"/>
    <n v="1"/>
    <n v="228"/>
    <n v="4.3899999999999995E-2"/>
    <n v="10"/>
    <n v="0"/>
    <n v="0.11539999999999999"/>
    <n v="0"/>
    <n v="0"/>
    <n v="0"/>
  </r>
  <r>
    <x v="37"/>
    <n v="1"/>
    <n v="252"/>
    <n v="4.7599999999999996E-2"/>
    <n v="12"/>
    <n v="2"/>
    <n v="0.11109999999999999"/>
    <n v="2.15"/>
    <n v="12.92"/>
    <n v="25.83"/>
  </r>
  <r>
    <x v="37"/>
    <n v="1"/>
    <n v="0"/>
    <n v="0"/>
    <n v="0"/>
    <n v="0"/>
    <n v="0"/>
    <n v="0"/>
    <n v="0"/>
    <n v="0"/>
  </r>
  <r>
    <x v="37"/>
    <n v="1"/>
    <n v="0"/>
    <n v="0"/>
    <n v="0"/>
    <n v="0"/>
    <n v="0"/>
    <n v="0"/>
    <n v="0"/>
    <n v="0"/>
  </r>
  <r>
    <x v="38"/>
    <n v="1"/>
    <n v="0"/>
    <n v="0"/>
    <n v="0"/>
    <n v="0"/>
    <n v="0"/>
    <n v="0"/>
    <n v="0"/>
    <n v="0"/>
  </r>
  <r>
    <x v="38"/>
    <n v="1"/>
    <n v="28"/>
    <n v="0.10710000000000001"/>
    <n v="3"/>
    <n v="1"/>
    <n v="0.33329999999999999"/>
    <n v="4.9800000000000004"/>
    <n v="14.94"/>
    <n v="14.94"/>
  </r>
  <r>
    <x v="39"/>
    <n v="1"/>
    <n v="126"/>
    <n v="7.1399999999999991E-2"/>
    <n v="9"/>
    <n v="0"/>
    <n v="1.6670000000000001E-3"/>
    <n v="0"/>
    <n v="0"/>
    <n v="0"/>
  </r>
  <r>
    <x v="40"/>
    <n v="1"/>
    <n v="0"/>
    <n v="0"/>
    <n v="0"/>
    <n v="0"/>
    <n v="0"/>
    <n v="0"/>
    <n v="0"/>
    <n v="0"/>
  </r>
  <r>
    <x v="41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2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115"/>
    <n v="6.0899999999999996E-2"/>
    <n v="7"/>
    <n v="0"/>
    <n v="1E-3"/>
    <n v="0"/>
    <n v="0"/>
    <n v="0"/>
  </r>
  <r>
    <x v="43"/>
    <n v="1"/>
    <n v="191"/>
    <n v="3.6600000000000001E-2"/>
    <n v="7"/>
    <n v="0"/>
    <n v="6.6699999999999995E-2"/>
    <n v="0"/>
    <n v="0"/>
    <n v="0"/>
  </r>
  <r>
    <x v="44"/>
    <n v="1"/>
    <n v="0"/>
    <n v="0"/>
    <n v="0"/>
    <n v="0"/>
    <n v="0"/>
    <n v="0"/>
    <n v="0"/>
    <n v="0"/>
  </r>
  <r>
    <x v="44"/>
    <n v="1"/>
    <n v="236"/>
    <n v="3.39E-2"/>
    <n v="8"/>
    <n v="1"/>
    <n v="0.16670000000000001"/>
    <n v="1.78"/>
    <n v="14.24"/>
    <n v="14.24"/>
  </r>
  <r>
    <x v="44"/>
    <n v="1"/>
    <n v="356"/>
    <n v="3.0899999999999997E-2"/>
    <n v="11"/>
    <n v="2"/>
    <n v="18.18"/>
    <n v="0.6"/>
    <n v="3.33"/>
    <n v="6.65"/>
  </r>
  <r>
    <x v="45"/>
    <n v="1"/>
    <n v="191"/>
    <n v="2.6200000000000001E-2"/>
    <n v="5"/>
    <n v="1"/>
    <n v="4.5499999999999999E-2"/>
    <n v="2.84"/>
    <n v="14.18"/>
    <n v="14.18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0"/>
    <n v="0"/>
    <n v="0"/>
    <n v="0"/>
    <n v="0"/>
    <n v="0"/>
    <n v="0"/>
    <n v="0"/>
  </r>
  <r>
    <x v="2"/>
    <n v="1"/>
    <n v="108"/>
    <n v="2.7799999999999998E-2"/>
    <n v="3"/>
    <n v="0"/>
    <n v="0"/>
    <n v="0"/>
    <n v="0"/>
    <n v="0"/>
  </r>
  <r>
    <x v="2"/>
    <n v="1"/>
    <n v="160"/>
    <n v="0.05"/>
    <n v="8"/>
    <n v="0"/>
    <n v="1.7390000000000001E-3"/>
    <n v="0"/>
    <n v="0"/>
    <n v="0"/>
  </r>
  <r>
    <x v="2"/>
    <n v="1"/>
    <n v="30"/>
    <n v="0.16670000000000001"/>
    <n v="5"/>
    <n v="0"/>
    <n v="0"/>
    <n v="0"/>
    <n v="0"/>
    <n v="0"/>
  </r>
  <r>
    <x v="46"/>
    <n v="1"/>
    <n v="0"/>
    <n v="0"/>
    <n v="0"/>
    <n v="0"/>
    <n v="0"/>
    <n v="0"/>
    <n v="0"/>
    <n v="0"/>
  </r>
  <r>
    <x v="46"/>
    <n v="1"/>
    <n v="0"/>
    <n v="0"/>
    <n v="0"/>
    <n v="0"/>
    <n v="0"/>
    <n v="0"/>
    <n v="0"/>
    <n v="0"/>
  </r>
  <r>
    <x v="46"/>
    <n v="1"/>
    <n v="0"/>
    <n v="0"/>
    <n v="0"/>
    <n v="0"/>
    <n v="0"/>
    <n v="0"/>
    <n v="0"/>
    <n v="0"/>
  </r>
  <r>
    <x v="46"/>
    <n v="1"/>
    <n v="108"/>
    <n v="9.2600000000000002E-2"/>
    <n v="10"/>
    <n v="1"/>
    <n v="0.1"/>
    <n v="0.32"/>
    <n v="3.16"/>
    <n v="3.16"/>
  </r>
  <r>
    <x v="46"/>
    <n v="1"/>
    <n v="128"/>
    <n v="4.6900000000000004E-2"/>
    <n v="6"/>
    <n v="0"/>
    <n v="1.111E-3"/>
    <n v="0"/>
    <n v="0"/>
    <n v="0"/>
  </r>
  <r>
    <x v="46"/>
    <n v="1"/>
    <n v="157"/>
    <n v="7.6399999999999996E-2"/>
    <n v="12"/>
    <n v="2"/>
    <n v="1E-3"/>
    <n v="5.56"/>
    <n v="33.33"/>
    <n v="66.66"/>
  </r>
  <r>
    <x v="46"/>
    <n v="1"/>
    <n v="187"/>
    <n v="6.4199999999999993E-2"/>
    <n v="12"/>
    <n v="1"/>
    <n v="0.25"/>
    <n v="0.47"/>
    <n v="5.62"/>
    <n v="5.62"/>
  </r>
  <r>
    <x v="46"/>
    <n v="1"/>
    <n v="251"/>
    <n v="3.5900000000000001E-2"/>
    <n v="9"/>
    <n v="0"/>
    <n v="0.375"/>
    <n v="0"/>
    <n v="0"/>
    <n v="0"/>
  </r>
  <r>
    <x v="46"/>
    <n v="1"/>
    <n v="45"/>
    <n v="6.6699999999999995E-2"/>
    <n v="3"/>
    <n v="0"/>
    <n v="0"/>
    <n v="0"/>
    <n v="0"/>
    <n v="0"/>
  </r>
  <r>
    <x v="46"/>
    <n v="1"/>
    <n v="80"/>
    <n v="6.25E-2"/>
    <n v="5"/>
    <n v="1"/>
    <n v="20"/>
    <n v="1.88"/>
    <n v="9.41"/>
    <n v="9.41"/>
  </r>
  <r>
    <x v="46"/>
    <n v="1"/>
    <n v="9"/>
    <n v="0"/>
    <n v="0"/>
    <n v="0"/>
    <n v="0"/>
    <n v="0"/>
    <n v="0"/>
    <n v="0"/>
  </r>
  <r>
    <x v="47"/>
    <n v="1"/>
    <n v="0"/>
    <n v="0"/>
    <n v="0"/>
    <n v="0"/>
    <n v="0"/>
    <n v="0"/>
    <n v="0"/>
    <n v="0"/>
  </r>
  <r>
    <x v="47"/>
    <n v="1"/>
    <n v="0"/>
    <n v="0"/>
    <n v="0"/>
    <n v="0"/>
    <n v="0"/>
    <n v="0"/>
    <n v="0"/>
    <n v="0"/>
  </r>
  <r>
    <x v="47"/>
    <n v="1"/>
    <n v="0"/>
    <n v="0"/>
    <n v="0"/>
    <n v="0"/>
    <n v="0"/>
    <n v="0"/>
    <n v="0"/>
    <n v="0"/>
  </r>
  <r>
    <x v="47"/>
    <n v="1"/>
    <n v="0"/>
    <n v="0"/>
    <n v="0"/>
    <n v="0"/>
    <n v="0"/>
    <n v="0"/>
    <n v="0"/>
    <n v="0"/>
  </r>
  <r>
    <x v="48"/>
    <n v="1"/>
    <n v="0"/>
    <n v="0"/>
    <n v="0"/>
    <n v="0"/>
    <n v="0"/>
    <n v="0"/>
    <n v="0"/>
    <n v="0"/>
  </r>
  <r>
    <x v="48"/>
    <n v="1"/>
    <n v="0"/>
    <n v="0"/>
    <n v="0"/>
    <n v="0"/>
    <n v="0"/>
    <n v="0"/>
    <n v="0"/>
    <n v="0"/>
  </r>
  <r>
    <x v="48"/>
    <n v="1"/>
    <n v="0"/>
    <n v="0"/>
    <n v="0"/>
    <n v="0"/>
    <n v="0"/>
    <n v="0"/>
    <n v="0"/>
    <n v="0"/>
  </r>
  <r>
    <x v="48"/>
    <n v="1"/>
    <n v="0"/>
    <n v="0"/>
    <n v="0"/>
    <n v="0"/>
    <n v="0"/>
    <n v="0"/>
    <n v="0"/>
    <n v="0"/>
  </r>
  <r>
    <x v="48"/>
    <n v="1"/>
    <n v="0"/>
    <n v="0"/>
    <n v="0"/>
    <n v="0"/>
    <n v="0"/>
    <n v="0"/>
    <n v="0"/>
    <n v="0"/>
  </r>
  <r>
    <x v="48"/>
    <n v="1"/>
    <n v="0"/>
    <n v="0"/>
    <n v="0"/>
    <n v="0"/>
    <n v="0"/>
    <n v="0"/>
    <n v="0"/>
    <n v="0"/>
  </r>
  <r>
    <x v="48"/>
    <n v="1"/>
    <n v="0"/>
    <n v="0"/>
    <n v="0"/>
    <n v="0"/>
    <n v="0"/>
    <n v="0"/>
    <n v="0"/>
    <n v="0"/>
  </r>
  <r>
    <x v="48"/>
    <n v="1"/>
    <n v="0"/>
    <n v="0"/>
    <n v="0"/>
    <n v="0"/>
    <n v="0"/>
    <n v="0"/>
    <n v="0"/>
    <n v="0"/>
  </r>
  <r>
    <x v="48"/>
    <n v="1"/>
    <n v="0"/>
    <n v="0"/>
    <n v="0"/>
    <n v="0"/>
    <n v="0"/>
    <n v="0"/>
    <n v="0"/>
    <n v="0"/>
  </r>
  <r>
    <x v="48"/>
    <n v="1"/>
    <n v="0"/>
    <n v="0"/>
    <n v="0"/>
    <n v="0"/>
    <n v="0"/>
    <n v="0"/>
    <n v="0"/>
    <n v="0"/>
  </r>
  <r>
    <x v="48"/>
    <n v="1"/>
    <n v="0"/>
    <n v="0"/>
    <n v="0"/>
    <n v="0"/>
    <n v="0"/>
    <n v="0"/>
    <n v="0"/>
    <n v="0"/>
  </r>
  <r>
    <x v="48"/>
    <n v="1"/>
    <n v="0"/>
    <n v="0"/>
    <n v="0"/>
    <n v="0"/>
    <n v="0"/>
    <n v="0"/>
    <n v="0"/>
    <n v="0"/>
  </r>
  <r>
    <x v="48"/>
    <n v="1"/>
    <n v="183"/>
    <n v="1.09E-2"/>
    <n v="2"/>
    <n v="0"/>
    <n v="0.23079999999999998"/>
    <n v="0"/>
    <n v="0"/>
    <n v="0"/>
  </r>
  <r>
    <x v="49"/>
    <n v="1"/>
    <n v="0"/>
    <n v="0"/>
    <n v="0"/>
    <n v="0"/>
    <n v="0"/>
    <n v="0"/>
    <n v="0"/>
    <n v="0"/>
  </r>
  <r>
    <x v="49"/>
    <n v="1"/>
    <n v="0"/>
    <n v="0"/>
    <n v="0"/>
    <n v="0"/>
    <n v="0"/>
    <n v="0"/>
    <n v="0"/>
    <n v="0"/>
  </r>
  <r>
    <x v="49"/>
    <n v="1"/>
    <n v="0"/>
    <n v="0"/>
    <n v="0"/>
    <n v="0"/>
    <n v="0"/>
    <n v="0"/>
    <n v="0"/>
    <n v="0"/>
  </r>
  <r>
    <x v="49"/>
    <n v="1"/>
    <n v="0"/>
    <n v="0"/>
    <n v="0"/>
    <n v="0"/>
    <n v="0"/>
    <n v="0"/>
    <n v="0"/>
    <n v="0"/>
  </r>
  <r>
    <x v="49"/>
    <n v="1"/>
    <n v="0"/>
    <n v="0"/>
    <n v="0"/>
    <n v="0"/>
    <n v="0"/>
    <n v="0"/>
    <n v="0"/>
    <n v="0"/>
  </r>
  <r>
    <x v="49"/>
    <n v="1"/>
    <n v="0"/>
    <n v="0"/>
    <n v="0"/>
    <n v="0"/>
    <n v="0"/>
    <n v="0"/>
    <n v="0"/>
    <n v="0"/>
  </r>
  <r>
    <x v="49"/>
    <n v="1"/>
    <n v="0"/>
    <n v="0"/>
    <n v="0"/>
    <n v="0"/>
    <n v="0"/>
    <n v="0"/>
    <n v="0"/>
    <n v="0"/>
  </r>
  <r>
    <x v="49"/>
    <n v="1"/>
    <n v="0"/>
    <n v="0"/>
    <n v="0"/>
    <n v="0"/>
    <n v="0"/>
    <n v="0"/>
    <n v="0"/>
    <n v="0"/>
  </r>
  <r>
    <x v="49"/>
    <n v="1"/>
    <n v="0"/>
    <n v="0"/>
    <n v="0"/>
    <n v="0"/>
    <n v="0"/>
    <n v="0"/>
    <n v="0"/>
    <n v="0"/>
  </r>
  <r>
    <x v="49"/>
    <n v="1"/>
    <n v="0"/>
    <n v="0"/>
    <n v="0"/>
    <n v="0"/>
    <n v="0"/>
    <n v="0"/>
    <n v="0"/>
    <n v="0"/>
  </r>
  <r>
    <x v="50"/>
    <n v="1"/>
    <n v="0"/>
    <n v="0"/>
    <n v="0"/>
    <n v="0"/>
    <n v="0"/>
    <n v="0"/>
    <n v="0"/>
    <n v="0"/>
  </r>
  <r>
    <x v="50"/>
    <n v="1"/>
    <n v="0"/>
    <n v="0"/>
    <n v="0"/>
    <n v="0"/>
    <n v="0"/>
    <n v="0"/>
    <n v="0"/>
    <n v="0"/>
  </r>
  <r>
    <x v="50"/>
    <n v="1"/>
    <n v="0"/>
    <n v="0"/>
    <n v="0"/>
    <n v="0"/>
    <n v="0"/>
    <n v="0"/>
    <n v="0"/>
    <n v="0"/>
  </r>
  <r>
    <x v="50"/>
    <n v="1"/>
    <n v="0"/>
    <n v="0"/>
    <n v="0"/>
    <n v="0"/>
    <n v="0"/>
    <n v="0"/>
    <n v="0"/>
    <n v="0"/>
  </r>
  <r>
    <x v="50"/>
    <n v="1"/>
    <n v="0"/>
    <n v="0"/>
    <n v="0"/>
    <n v="0"/>
    <n v="0"/>
    <n v="0"/>
    <n v="0"/>
    <n v="0"/>
  </r>
  <r>
    <x v="16"/>
    <n v="1"/>
    <n v="0"/>
    <n v="0"/>
    <n v="0"/>
    <n v="0"/>
    <n v="0"/>
    <n v="0"/>
    <n v="0"/>
    <n v="0"/>
  </r>
  <r>
    <x v="16"/>
    <n v="1"/>
    <n v="0"/>
    <n v="0"/>
    <n v="0"/>
    <n v="0"/>
    <n v="0"/>
    <n v="0"/>
    <n v="0"/>
    <n v="0"/>
  </r>
  <r>
    <x v="16"/>
    <n v="1"/>
    <n v="0"/>
    <n v="0"/>
    <n v="0"/>
    <n v="0"/>
    <n v="0"/>
    <n v="0"/>
    <n v="0"/>
    <n v="0"/>
  </r>
  <r>
    <x v="16"/>
    <n v="1"/>
    <n v="198"/>
    <n v="6.0599999999999994E-2"/>
    <n v="12"/>
    <n v="1"/>
    <n v="6.9000000000000006E-2"/>
    <n v="0.14000000000000001"/>
    <n v="1.7"/>
    <n v="1.7"/>
  </r>
  <r>
    <x v="51"/>
    <n v="1"/>
    <n v="0"/>
    <n v="0"/>
    <n v="0"/>
    <n v="0"/>
    <n v="0"/>
    <n v="0"/>
    <n v="0"/>
    <n v="0"/>
  </r>
  <r>
    <x v="51"/>
    <n v="1"/>
    <n v="0"/>
    <n v="0"/>
    <n v="0"/>
    <n v="0"/>
    <n v="0"/>
    <n v="0"/>
    <n v="0"/>
    <n v="0"/>
  </r>
  <r>
    <x v="52"/>
    <n v="1"/>
    <n v="0"/>
    <n v="0"/>
    <n v="0"/>
    <n v="0"/>
    <n v="0"/>
    <n v="0"/>
    <n v="0"/>
    <n v="0"/>
  </r>
  <r>
    <x v="52"/>
    <n v="1"/>
    <n v="0"/>
    <n v="0"/>
    <n v="0"/>
    <n v="0"/>
    <n v="0"/>
    <n v="0"/>
    <n v="0"/>
    <n v="0"/>
  </r>
  <r>
    <x v="52"/>
    <n v="1"/>
    <n v="0"/>
    <n v="0"/>
    <n v="0"/>
    <n v="0"/>
    <n v="0"/>
    <n v="0"/>
    <n v="0"/>
    <n v="0"/>
  </r>
  <r>
    <x v="52"/>
    <n v="1"/>
    <n v="0"/>
    <n v="0"/>
    <n v="0"/>
    <n v="0"/>
    <n v="0"/>
    <n v="0"/>
    <n v="0"/>
    <n v="0"/>
  </r>
  <r>
    <x v="52"/>
    <n v="1"/>
    <n v="0"/>
    <n v="0"/>
    <n v="0"/>
    <n v="0"/>
    <n v="0"/>
    <n v="0"/>
    <n v="0"/>
    <n v="0"/>
  </r>
  <r>
    <x v="52"/>
    <n v="1"/>
    <n v="0"/>
    <n v="0"/>
    <n v="0"/>
    <n v="0"/>
    <n v="0"/>
    <n v="0"/>
    <n v="0"/>
    <n v="0"/>
  </r>
  <r>
    <x v="52"/>
    <n v="1"/>
    <n v="0"/>
    <n v="0"/>
    <n v="0"/>
    <n v="0"/>
    <n v="0"/>
    <n v="0"/>
    <n v="0"/>
    <n v="0"/>
  </r>
  <r>
    <x v="52"/>
    <n v="1"/>
    <n v="319"/>
    <n v="1.2500000000000001E-2"/>
    <n v="4"/>
    <n v="0"/>
    <n v="0"/>
    <n v="0"/>
    <n v="0"/>
    <n v="0"/>
  </r>
  <r>
    <x v="53"/>
    <n v="1"/>
    <n v="0"/>
    <n v="0"/>
    <n v="0"/>
    <n v="0"/>
    <n v="0"/>
    <n v="0"/>
    <n v="0"/>
    <n v="0"/>
  </r>
  <r>
    <x v="53"/>
    <n v="1"/>
    <n v="0"/>
    <n v="0"/>
    <n v="0"/>
    <n v="0"/>
    <n v="0"/>
    <n v="0"/>
    <n v="0"/>
    <n v="0"/>
  </r>
  <r>
    <x v="53"/>
    <n v="1"/>
    <n v="0"/>
    <n v="0"/>
    <n v="0"/>
    <n v="0"/>
    <n v="0"/>
    <n v="0"/>
    <n v="0"/>
    <n v="0"/>
  </r>
  <r>
    <x v="53"/>
    <n v="1"/>
    <n v="0"/>
    <n v="0"/>
    <n v="0"/>
    <n v="0"/>
    <n v="0"/>
    <n v="0"/>
    <n v="0"/>
    <n v="0"/>
  </r>
  <r>
    <x v="53"/>
    <n v="1"/>
    <n v="0"/>
    <n v="0"/>
    <n v="0"/>
    <n v="0"/>
    <n v="0"/>
    <n v="0"/>
    <n v="0"/>
    <n v="0"/>
  </r>
  <r>
    <x v="53"/>
    <n v="1"/>
    <n v="0"/>
    <n v="0"/>
    <n v="0"/>
    <n v="0"/>
    <n v="0"/>
    <n v="0"/>
    <n v="0"/>
    <n v="0"/>
  </r>
  <r>
    <x v="53"/>
    <n v="1"/>
    <n v="0"/>
    <n v="0"/>
    <n v="0"/>
    <n v="0"/>
    <n v="0"/>
    <n v="0"/>
    <n v="0"/>
    <n v="0"/>
  </r>
  <r>
    <x v="53"/>
    <n v="1"/>
    <n v="0"/>
    <n v="0"/>
    <n v="0"/>
    <n v="0"/>
    <n v="0"/>
    <n v="0"/>
    <n v="0"/>
    <n v="0"/>
  </r>
  <r>
    <x v="53"/>
    <n v="1"/>
    <n v="0"/>
    <n v="0"/>
    <n v="0"/>
    <n v="0"/>
    <n v="0"/>
    <n v="0"/>
    <n v="0"/>
    <n v="0"/>
  </r>
  <r>
    <x v="53"/>
    <n v="1"/>
    <n v="0"/>
    <n v="0"/>
    <n v="0"/>
    <n v="0"/>
    <n v="0"/>
    <n v="0"/>
    <n v="0"/>
    <n v="0"/>
  </r>
  <r>
    <x v="53"/>
    <n v="1"/>
    <n v="0"/>
    <n v="0"/>
    <n v="0"/>
    <n v="0"/>
    <n v="0"/>
    <n v="0"/>
    <n v="0"/>
    <n v="0"/>
  </r>
  <r>
    <x v="53"/>
    <n v="1"/>
    <n v="0"/>
    <n v="0"/>
    <n v="0"/>
    <n v="0"/>
    <n v="0"/>
    <n v="0"/>
    <n v="0"/>
    <n v="0"/>
  </r>
  <r>
    <x v="53"/>
    <n v="1"/>
    <n v="174"/>
    <n v="1.15E-2"/>
    <n v="2"/>
    <n v="0"/>
    <n v="6.9800000000000005E-4"/>
    <n v="0"/>
    <n v="0"/>
    <n v="0"/>
  </r>
  <r>
    <x v="53"/>
    <n v="1"/>
    <n v="236"/>
    <n v="4.1999999999999997E-3"/>
    <n v="1"/>
    <n v="0"/>
    <n v="0.14810000000000001"/>
    <n v="0"/>
    <n v="0"/>
    <n v="0"/>
  </r>
  <r>
    <x v="54"/>
    <n v="1"/>
    <n v="0"/>
    <n v="0"/>
    <n v="0"/>
    <n v="0"/>
    <n v="0"/>
    <n v="0"/>
    <n v="0"/>
    <n v="0"/>
  </r>
  <r>
    <x v="54"/>
    <n v="1"/>
    <n v="0"/>
    <n v="0"/>
    <n v="0"/>
    <n v="0"/>
    <n v="0"/>
    <n v="0"/>
    <n v="0"/>
    <n v="0"/>
  </r>
  <r>
    <x v="54"/>
    <n v="1"/>
    <n v="0"/>
    <n v="0"/>
    <n v="0"/>
    <n v="0"/>
    <n v="0"/>
    <n v="0"/>
    <n v="0"/>
    <n v="0"/>
  </r>
  <r>
    <x v="54"/>
    <n v="1"/>
    <n v="0"/>
    <n v="0"/>
    <n v="0"/>
    <n v="0"/>
    <n v="0"/>
    <n v="0"/>
    <n v="0"/>
    <n v="0"/>
  </r>
  <r>
    <x v="54"/>
    <n v="1"/>
    <n v="0"/>
    <n v="0"/>
    <n v="0"/>
    <n v="0"/>
    <n v="0"/>
    <n v="0"/>
    <n v="0"/>
    <n v="0"/>
  </r>
  <r>
    <x v="54"/>
    <n v="1"/>
    <n v="0"/>
    <n v="0"/>
    <n v="0"/>
    <n v="0"/>
    <n v="0"/>
    <n v="0"/>
    <n v="0"/>
    <n v="0"/>
  </r>
  <r>
    <x v="54"/>
    <n v="1"/>
    <n v="0"/>
    <n v="0"/>
    <n v="0"/>
    <n v="0"/>
    <n v="0"/>
    <n v="0"/>
    <n v="0"/>
    <n v="0"/>
  </r>
  <r>
    <x v="54"/>
    <n v="1"/>
    <n v="0"/>
    <n v="0"/>
    <n v="0"/>
    <n v="0"/>
    <n v="0"/>
    <n v="0"/>
    <n v="0"/>
    <n v="0"/>
  </r>
  <r>
    <x v="54"/>
    <n v="1"/>
    <n v="0"/>
    <n v="0"/>
    <n v="0"/>
    <n v="0"/>
    <n v="0"/>
    <n v="0"/>
    <n v="0"/>
    <n v="0"/>
  </r>
  <r>
    <x v="54"/>
    <n v="1"/>
    <n v="0"/>
    <n v="0"/>
    <n v="0"/>
    <n v="0"/>
    <n v="0"/>
    <n v="0"/>
    <n v="0"/>
    <n v="0"/>
  </r>
  <r>
    <x v="54"/>
    <n v="1"/>
    <n v="0"/>
    <n v="0"/>
    <n v="0"/>
    <n v="0"/>
    <n v="0"/>
    <n v="0"/>
    <n v="0"/>
    <n v="0"/>
  </r>
  <r>
    <x v="54"/>
    <n v="1"/>
    <n v="0"/>
    <n v="0"/>
    <n v="0"/>
    <n v="0"/>
    <n v="0"/>
    <n v="0"/>
    <n v="0"/>
    <n v="0"/>
  </r>
  <r>
    <x v="54"/>
    <n v="1"/>
    <n v="0"/>
    <n v="0"/>
    <n v="0"/>
    <n v="0"/>
    <n v="0"/>
    <n v="0"/>
    <n v="0"/>
    <n v="0"/>
  </r>
  <r>
    <x v="55"/>
    <n v="1"/>
    <n v="0"/>
    <n v="0"/>
    <n v="0"/>
    <n v="0"/>
    <n v="0"/>
    <n v="0"/>
    <n v="0"/>
    <n v="0"/>
  </r>
  <r>
    <x v="55"/>
    <n v="1"/>
    <n v="0"/>
    <n v="0"/>
    <n v="0"/>
    <n v="0"/>
    <n v="0"/>
    <n v="0"/>
    <n v="0"/>
    <n v="0"/>
  </r>
  <r>
    <x v="55"/>
    <n v="1"/>
    <n v="162"/>
    <n v="5.5599999999999997E-2"/>
    <n v="9"/>
    <n v="0"/>
    <n v="1.1539999999999999E-3"/>
    <n v="0"/>
    <n v="0"/>
    <n v="0"/>
  </r>
  <r>
    <x v="56"/>
    <n v="1"/>
    <n v="0"/>
    <n v="0"/>
    <n v="0"/>
    <n v="0"/>
    <n v="0"/>
    <n v="0"/>
    <n v="0"/>
    <n v="0"/>
  </r>
  <r>
    <x v="56"/>
    <n v="1"/>
    <n v="0"/>
    <n v="0"/>
    <n v="0"/>
    <n v="0"/>
    <n v="0"/>
    <n v="0"/>
    <n v="0"/>
    <n v="0"/>
  </r>
  <r>
    <x v="56"/>
    <n v="1"/>
    <n v="0"/>
    <n v="0"/>
    <n v="0"/>
    <n v="0"/>
    <n v="0"/>
    <n v="0"/>
    <n v="0"/>
    <n v="0"/>
  </r>
  <r>
    <x v="56"/>
    <n v="1"/>
    <n v="0"/>
    <n v="0"/>
    <n v="0"/>
    <n v="0"/>
    <n v="0"/>
    <n v="0"/>
    <n v="0"/>
    <n v="0"/>
  </r>
  <r>
    <x v="56"/>
    <n v="1"/>
    <n v="0"/>
    <n v="0"/>
    <n v="0"/>
    <n v="0"/>
    <n v="0"/>
    <n v="0"/>
    <n v="0"/>
    <n v="0"/>
  </r>
  <r>
    <x v="56"/>
    <n v="1"/>
    <n v="0"/>
    <n v="0"/>
    <n v="0"/>
    <n v="0"/>
    <n v="0"/>
    <n v="0"/>
    <n v="0"/>
    <n v="0"/>
  </r>
  <r>
    <x v="56"/>
    <n v="1"/>
    <n v="0"/>
    <n v="0"/>
    <n v="0"/>
    <n v="0"/>
    <n v="0"/>
    <n v="0"/>
    <n v="0"/>
    <n v="0"/>
  </r>
  <r>
    <x v="56"/>
    <n v="1"/>
    <n v="0"/>
    <n v="0"/>
    <n v="0"/>
    <n v="0"/>
    <n v="0"/>
    <n v="0"/>
    <n v="0"/>
    <n v="0"/>
  </r>
  <r>
    <x v="56"/>
    <n v="1"/>
    <n v="142"/>
    <n v="2.8199999999999999E-2"/>
    <n v="4"/>
    <n v="0"/>
    <n v="1.6670000000000001E-3"/>
    <n v="0"/>
    <n v="0"/>
    <n v="0"/>
  </r>
  <r>
    <x v="57"/>
    <n v="1"/>
    <n v="0"/>
    <n v="0"/>
    <n v="0"/>
    <n v="0"/>
    <n v="0"/>
    <n v="0"/>
    <n v="0"/>
    <n v="0"/>
  </r>
  <r>
    <x v="57"/>
    <n v="1"/>
    <n v="0"/>
    <n v="0"/>
    <n v="0"/>
    <n v="0"/>
    <n v="0"/>
    <n v="0"/>
    <n v="0"/>
    <n v="0"/>
  </r>
  <r>
    <x v="57"/>
    <n v="1"/>
    <n v="0"/>
    <n v="0"/>
    <n v="0"/>
    <n v="0"/>
    <n v="0"/>
    <n v="0"/>
    <n v="0"/>
    <n v="0"/>
  </r>
  <r>
    <x v="57"/>
    <n v="1"/>
    <n v="0"/>
    <n v="0"/>
    <n v="0"/>
    <n v="0"/>
    <n v="0"/>
    <n v="0"/>
    <n v="0"/>
    <n v="0"/>
  </r>
  <r>
    <x v="57"/>
    <n v="1"/>
    <n v="0"/>
    <n v="0"/>
    <n v="0"/>
    <n v="0"/>
    <n v="0"/>
    <n v="0"/>
    <n v="0"/>
    <n v="0"/>
  </r>
  <r>
    <x v="57"/>
    <n v="1"/>
    <n v="0"/>
    <n v="0"/>
    <n v="0"/>
    <n v="0"/>
    <n v="0"/>
    <n v="0"/>
    <n v="0"/>
    <n v="0"/>
  </r>
  <r>
    <x v="57"/>
    <n v="1"/>
    <n v="0"/>
    <n v="0"/>
    <n v="0"/>
    <n v="0"/>
    <n v="0"/>
    <n v="0"/>
    <n v="0"/>
    <n v="0"/>
  </r>
  <r>
    <x v="57"/>
    <n v="1"/>
    <n v="0"/>
    <n v="0"/>
    <n v="0"/>
    <n v="0"/>
    <n v="0"/>
    <n v="0"/>
    <n v="0"/>
    <n v="0"/>
  </r>
  <r>
    <x v="57"/>
    <n v="1"/>
    <n v="0"/>
    <n v="0"/>
    <n v="0"/>
    <n v="0"/>
    <n v="0"/>
    <n v="0"/>
    <n v="0"/>
    <n v="0"/>
  </r>
  <r>
    <x v="57"/>
    <n v="1"/>
    <n v="0"/>
    <n v="0"/>
    <n v="0"/>
    <n v="0"/>
    <n v="0"/>
    <n v="0"/>
    <n v="0"/>
    <n v="0"/>
  </r>
  <r>
    <x v="57"/>
    <n v="1"/>
    <n v="0"/>
    <n v="0"/>
    <n v="0"/>
    <n v="0"/>
    <n v="0"/>
    <n v="0"/>
    <n v="0"/>
    <n v="0"/>
  </r>
  <r>
    <x v="57"/>
    <n v="1"/>
    <n v="0"/>
    <n v="0"/>
    <n v="0"/>
    <n v="0"/>
    <n v="0"/>
    <n v="0"/>
    <n v="0"/>
    <n v="0"/>
  </r>
  <r>
    <x v="58"/>
    <n v="1"/>
    <n v="0"/>
    <n v="0"/>
    <n v="0"/>
    <n v="0"/>
    <n v="0"/>
    <n v="0"/>
    <n v="0"/>
    <n v="0"/>
  </r>
  <r>
    <x v="58"/>
    <n v="1"/>
    <n v="0"/>
    <n v="0"/>
    <n v="0"/>
    <n v="0"/>
    <n v="0"/>
    <n v="0"/>
    <n v="0"/>
    <n v="0"/>
  </r>
  <r>
    <x v="58"/>
    <n v="1"/>
    <n v="0"/>
    <n v="0"/>
    <n v="0"/>
    <n v="0"/>
    <n v="0"/>
    <n v="0"/>
    <n v="0"/>
    <n v="0"/>
  </r>
  <r>
    <x v="58"/>
    <n v="1"/>
    <n v="0"/>
    <n v="0"/>
    <n v="0"/>
    <n v="0"/>
    <n v="0"/>
    <n v="0"/>
    <n v="0"/>
    <n v="0"/>
  </r>
  <r>
    <x v="58"/>
    <n v="1"/>
    <n v="0"/>
    <n v="0"/>
    <n v="0"/>
    <n v="0"/>
    <n v="0"/>
    <n v="0"/>
    <n v="0"/>
    <n v="0"/>
  </r>
  <r>
    <x v="58"/>
    <n v="1"/>
    <n v="0"/>
    <n v="0"/>
    <n v="0"/>
    <n v="0"/>
    <n v="0"/>
    <n v="0"/>
    <n v="0"/>
    <n v="0"/>
  </r>
  <r>
    <x v="58"/>
    <n v="1"/>
    <n v="0"/>
    <n v="0"/>
    <n v="0"/>
    <n v="0"/>
    <n v="0"/>
    <n v="0"/>
    <n v="0"/>
    <n v="0"/>
  </r>
  <r>
    <x v="58"/>
    <n v="1"/>
    <n v="0"/>
    <n v="0"/>
    <n v="0"/>
    <n v="0"/>
    <n v="0"/>
    <n v="0"/>
    <n v="0"/>
    <n v="0"/>
  </r>
  <r>
    <x v="58"/>
    <n v="1"/>
    <n v="0"/>
    <n v="0"/>
    <n v="0"/>
    <n v="0"/>
    <n v="0"/>
    <n v="0"/>
    <n v="0"/>
    <n v="0"/>
  </r>
  <r>
    <x v="58"/>
    <n v="1"/>
    <n v="0"/>
    <n v="0"/>
    <n v="0"/>
    <n v="0"/>
    <n v="0"/>
    <n v="0"/>
    <n v="0"/>
    <n v="0"/>
  </r>
  <r>
    <x v="58"/>
    <n v="1"/>
    <n v="160"/>
    <n v="1.8799999999999997E-2"/>
    <n v="3"/>
    <n v="0"/>
    <n v="1.818E-3"/>
    <n v="0"/>
    <n v="0"/>
    <n v="0"/>
  </r>
  <r>
    <x v="58"/>
    <n v="1"/>
    <n v="214"/>
    <n v="3.7400000000000003E-2"/>
    <n v="8"/>
    <n v="1"/>
    <n v="0.1739"/>
    <n v="0.44"/>
    <n v="3.55"/>
    <n v="3.55"/>
  </r>
  <r>
    <x v="58"/>
    <n v="1"/>
    <n v="217"/>
    <n v="3.2300000000000002E-2"/>
    <n v="7"/>
    <n v="0"/>
    <n v="0.18179999999999999"/>
    <n v="0"/>
    <n v="0"/>
    <n v="0"/>
  </r>
  <r>
    <x v="58"/>
    <n v="1"/>
    <n v="322"/>
    <n v="4.3499999999999997E-2"/>
    <n v="14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0"/>
    <n v="0"/>
    <n v="0"/>
    <n v="0"/>
    <n v="0"/>
    <n v="0"/>
    <n v="0"/>
    <n v="0"/>
  </r>
  <r>
    <x v="59"/>
    <n v="1"/>
    <n v="137"/>
    <n v="0.10949999999999999"/>
    <n v="15"/>
    <n v="1"/>
    <n v="1.25E-3"/>
    <n v="0.47"/>
    <n v="7.11"/>
    <n v="7.11"/>
  </r>
  <r>
    <x v="59"/>
    <n v="1"/>
    <n v="157"/>
    <n v="8.9200000000000002E-2"/>
    <n v="14"/>
    <n v="2"/>
    <n v="1.4289999999999999E-3"/>
    <n v="1.32"/>
    <n v="9.2100000000000009"/>
    <n v="18.420000000000002"/>
  </r>
  <r>
    <x v="59"/>
    <n v="1"/>
    <n v="165"/>
    <n v="7.2700000000000001E-2"/>
    <n v="12"/>
    <n v="1"/>
    <n v="1.4810000000000001E-3"/>
    <n v="0.24"/>
    <n v="2.88"/>
    <n v="2.88"/>
  </r>
  <r>
    <x v="59"/>
    <n v="1"/>
    <n v="174"/>
    <n v="0.13789999999999999"/>
    <n v="24"/>
    <n v="2"/>
    <n v="2.5000000000000001E-3"/>
    <n v="1.1299999999999999"/>
    <n v="13.59"/>
    <n v="27.17"/>
  </r>
  <r>
    <x v="59"/>
    <n v="1"/>
    <n v="174"/>
    <n v="0.1149"/>
    <n v="20"/>
    <n v="1"/>
    <n v="2E-3"/>
    <n v="0.2"/>
    <n v="3.94"/>
    <n v="3.94"/>
  </r>
  <r>
    <x v="59"/>
    <n v="1"/>
    <n v="258"/>
    <n v="5.4299999999999994E-2"/>
    <n v="14"/>
    <n v="1"/>
    <n v="0.18179999999999999"/>
    <n v="0.12"/>
    <n v="1.7"/>
    <n v="1.7"/>
  </r>
  <r>
    <x v="59"/>
    <n v="1"/>
    <n v="284"/>
    <n v="0.14080000000000001"/>
    <n v="40"/>
    <n v="1"/>
    <n v="2.5"/>
    <n v="0.24"/>
    <n v="9.7100000000000009"/>
    <n v="9.7100000000000009"/>
  </r>
  <r>
    <x v="59"/>
    <n v="1"/>
    <n v="294"/>
    <n v="9.8599999999999993E-2"/>
    <n v="29"/>
    <n v="2"/>
    <n v="6.9"/>
    <n v="0.12"/>
    <n v="1.7"/>
    <n v="3.4"/>
  </r>
  <r>
    <x v="59"/>
    <n v="1"/>
    <n v="310"/>
    <n v="8.7100000000000011E-2"/>
    <n v="27"/>
    <n v="2"/>
    <n v="7.41"/>
    <n v="0.15"/>
    <n v="2.0099999999999998"/>
    <n v="4.01"/>
  </r>
  <r>
    <x v="59"/>
    <n v="1"/>
    <n v="320"/>
    <n v="6.25E-2"/>
    <n v="20"/>
    <n v="2"/>
    <n v="10"/>
    <n v="0.46"/>
    <n v="4.57"/>
    <n v="9.14"/>
  </r>
  <r>
    <x v="59"/>
    <n v="1"/>
    <n v="351"/>
    <n v="4.5599999999999995E-2"/>
    <n v="16"/>
    <n v="1"/>
    <n v="6.25"/>
    <n v="0.55000000000000004"/>
    <n v="8.8699999999999992"/>
    <n v="8.8699999999999992"/>
  </r>
  <r>
    <x v="59"/>
    <n v="1"/>
    <n v="367"/>
    <n v="5.7200000000000001E-2"/>
    <n v="21"/>
    <n v="3"/>
    <n v="14.29"/>
    <n v="0.44"/>
    <n v="3.07"/>
    <n v="9.2200000000000006"/>
  </r>
  <r>
    <x v="59"/>
    <n v="1"/>
    <n v="374"/>
    <n v="3.7400000000000003E-2"/>
    <n v="14"/>
    <n v="1"/>
    <n v="7.14"/>
    <n v="0.44"/>
    <n v="6.22"/>
    <n v="6.22"/>
  </r>
  <r>
    <x v="59"/>
    <n v="1"/>
    <n v="476"/>
    <n v="4.6199999999999998E-2"/>
    <n v="22"/>
    <n v="4"/>
    <n v="18.18"/>
    <n v="0.43"/>
    <n v="2.35"/>
    <n v="9.41"/>
  </r>
  <r>
    <x v="59"/>
    <n v="1"/>
    <n v="527"/>
    <n v="0.10249999999999999"/>
    <n v="54"/>
    <n v="6"/>
    <n v="11.11"/>
    <n v="0.23"/>
    <n v="2.0499999999999998"/>
    <n v="12.27"/>
  </r>
  <r>
    <x v="59"/>
    <n v="1"/>
    <n v="556"/>
    <n v="5.9400000000000001E-2"/>
    <n v="33"/>
    <n v="6"/>
    <n v="18.18"/>
    <n v="0.72"/>
    <n v="3.95"/>
    <n v="23.67"/>
  </r>
  <r>
    <x v="59"/>
    <n v="1"/>
    <n v="65"/>
    <n v="0.10769999999999999"/>
    <n v="7"/>
    <n v="1"/>
    <n v="14.29"/>
    <n v="0.24"/>
    <n v="1.7"/>
    <n v="1.7"/>
  </r>
  <r>
    <x v="59"/>
    <n v="1"/>
    <n v="75"/>
    <n v="5.33E-2"/>
    <n v="4"/>
    <n v="0"/>
    <n v="0"/>
    <n v="0"/>
    <n v="0"/>
    <n v="0"/>
  </r>
  <r>
    <x v="59"/>
    <n v="1"/>
    <n v="88"/>
    <n v="7.9500000000000001E-2"/>
    <n v="7"/>
    <n v="0"/>
    <n v="0"/>
    <n v="0"/>
    <n v="0"/>
    <n v="0"/>
  </r>
  <r>
    <x v="60"/>
    <n v="1"/>
    <n v="0"/>
    <n v="0"/>
    <n v="0"/>
    <n v="0"/>
    <n v="0"/>
    <n v="0"/>
    <n v="0"/>
    <n v="0"/>
  </r>
  <r>
    <x v="60"/>
    <n v="1"/>
    <n v="0"/>
    <n v="0"/>
    <n v="0"/>
    <n v="0"/>
    <n v="0"/>
    <n v="0"/>
    <n v="0"/>
    <n v="0"/>
  </r>
  <r>
    <x v="61"/>
    <n v="1"/>
    <n v="0"/>
    <n v="0"/>
    <n v="0"/>
    <n v="0"/>
    <n v="0"/>
    <n v="0"/>
    <n v="0"/>
    <n v="0"/>
  </r>
  <r>
    <x v="61"/>
    <n v="1"/>
    <n v="0"/>
    <n v="0"/>
    <n v="0"/>
    <n v="0"/>
    <n v="0"/>
    <n v="0"/>
    <n v="0"/>
    <n v="0"/>
  </r>
  <r>
    <x v="61"/>
    <n v="1"/>
    <n v="0"/>
    <n v="0"/>
    <n v="0"/>
    <n v="0"/>
    <n v="0"/>
    <n v="0"/>
    <n v="0"/>
    <n v="0"/>
  </r>
  <r>
    <x v="61"/>
    <n v="1"/>
    <n v="0"/>
    <n v="0"/>
    <n v="0"/>
    <n v="0"/>
    <n v="0"/>
    <n v="0"/>
    <n v="0"/>
    <n v="0"/>
  </r>
  <r>
    <x v="61"/>
    <n v="1"/>
    <n v="0"/>
    <n v="0"/>
    <n v="0"/>
    <n v="0"/>
    <n v="0"/>
    <n v="0"/>
    <n v="0"/>
    <n v="0"/>
  </r>
  <r>
    <x v="61"/>
    <n v="1"/>
    <n v="0"/>
    <n v="0"/>
    <n v="0"/>
    <n v="0"/>
    <n v="0"/>
    <n v="0"/>
    <n v="0"/>
    <n v="0"/>
  </r>
  <r>
    <x v="61"/>
    <n v="1"/>
    <n v="0"/>
    <n v="0"/>
    <n v="0"/>
    <n v="0"/>
    <n v="0"/>
    <n v="0"/>
    <n v="0"/>
    <n v="0"/>
  </r>
  <r>
    <x v="61"/>
    <n v="1"/>
    <n v="0"/>
    <n v="0"/>
    <n v="0"/>
    <n v="0"/>
    <n v="0"/>
    <n v="0"/>
    <n v="0"/>
    <n v="0"/>
  </r>
  <r>
    <x v="61"/>
    <n v="1"/>
    <n v="0"/>
    <n v="0"/>
    <n v="0"/>
    <n v="0"/>
    <n v="0"/>
    <n v="0"/>
    <n v="0"/>
    <n v="0"/>
  </r>
  <r>
    <x v="61"/>
    <n v="1"/>
    <n v="0"/>
    <n v="0"/>
    <n v="0"/>
    <n v="0"/>
    <n v="0"/>
    <n v="0"/>
    <n v="0"/>
    <n v="0"/>
  </r>
  <r>
    <x v="61"/>
    <n v="1"/>
    <n v="326"/>
    <n v="3.3700000000000001E-2"/>
    <n v="11"/>
    <n v="0"/>
    <n v="0"/>
    <n v="0"/>
    <n v="0"/>
    <n v="0"/>
  </r>
  <r>
    <x v="61"/>
    <n v="1"/>
    <n v="0"/>
    <n v="0"/>
    <n v="0"/>
    <n v="0"/>
    <n v="0"/>
    <n v="0"/>
    <n v="0"/>
    <n v="0"/>
  </r>
  <r>
    <x v="41"/>
    <n v="1"/>
    <n v="0"/>
    <n v="0"/>
    <n v="0"/>
    <n v="0"/>
    <n v="0"/>
    <n v="0"/>
    <n v="0"/>
    <n v="0"/>
  </r>
  <r>
    <x v="41"/>
    <n v="1"/>
    <n v="0"/>
    <n v="0"/>
    <n v="0"/>
    <n v="0"/>
    <n v="0"/>
    <n v="0"/>
    <n v="0"/>
    <n v="0"/>
  </r>
  <r>
    <x v="41"/>
    <n v="1"/>
    <n v="0"/>
    <n v="0"/>
    <n v="0"/>
    <n v="0"/>
    <n v="0"/>
    <n v="0"/>
    <n v="0"/>
    <n v="0"/>
  </r>
  <r>
    <x v="41"/>
    <n v="1"/>
    <n v="0"/>
    <n v="0"/>
    <n v="0"/>
    <n v="0"/>
    <n v="0"/>
    <n v="0"/>
    <n v="0"/>
    <n v="0"/>
  </r>
  <r>
    <x v="62"/>
    <n v="1"/>
    <n v="0"/>
    <n v="0"/>
    <n v="0"/>
    <n v="0"/>
    <n v="0"/>
    <n v="0"/>
    <n v="0"/>
    <n v="0"/>
  </r>
  <r>
    <x v="63"/>
    <n v="1"/>
    <n v="102"/>
    <n v="6.8600000000000008E-2"/>
    <n v="7"/>
    <n v="0"/>
    <n v="0"/>
    <n v="0"/>
    <n v="0"/>
    <n v="0"/>
  </r>
  <r>
    <x v="64"/>
    <n v="1"/>
    <n v="65"/>
    <n v="7.690000000000001E-2"/>
    <n v="5"/>
    <n v="1"/>
    <n v="20"/>
    <n v="2.19"/>
    <n v="10.95"/>
    <n v="10.95"/>
  </r>
  <r>
    <x v="65"/>
    <n v="1"/>
    <n v="0"/>
    <n v="0"/>
    <n v="0"/>
    <n v="0"/>
    <n v="0"/>
    <n v="0"/>
    <n v="0"/>
    <n v="0"/>
  </r>
  <r>
    <x v="65"/>
    <n v="1"/>
    <n v="0"/>
    <n v="0"/>
    <n v="0"/>
    <n v="0"/>
    <n v="0"/>
    <n v="0"/>
    <n v="0"/>
    <n v="0"/>
  </r>
  <r>
    <x v="65"/>
    <n v="1"/>
    <n v="200"/>
    <n v="0.04"/>
    <n v="8"/>
    <n v="0"/>
    <n v="0.05"/>
    <n v="0"/>
    <n v="0"/>
    <n v="0"/>
  </r>
  <r>
    <x v="65"/>
    <n v="1"/>
    <n v="0"/>
    <n v="0"/>
    <n v="0"/>
    <n v="0"/>
    <n v="0"/>
    <n v="0"/>
    <n v="0"/>
    <n v="0"/>
  </r>
  <r>
    <x v="65"/>
    <n v="1"/>
    <n v="123"/>
    <n v="5.6900000000000006E-2"/>
    <n v="7"/>
    <n v="0"/>
    <n v="1.6670000000000001E-3"/>
    <n v="0"/>
    <n v="0"/>
    <n v="0"/>
  </r>
  <r>
    <x v="62"/>
    <n v="1"/>
    <n v="0"/>
    <n v="0"/>
    <n v="0"/>
    <n v="0"/>
    <n v="0"/>
    <n v="0"/>
    <n v="0"/>
    <n v="0"/>
  </r>
  <r>
    <x v="62"/>
    <n v="1"/>
    <n v="0"/>
    <n v="0"/>
    <n v="0"/>
    <n v="0"/>
    <n v="0"/>
    <n v="0"/>
    <n v="0"/>
    <n v="0"/>
  </r>
  <r>
    <x v="62"/>
    <n v="1"/>
    <n v="0"/>
    <n v="0"/>
    <n v="0"/>
    <n v="0"/>
    <n v="0"/>
    <n v="0"/>
    <n v="0"/>
    <n v="0"/>
  </r>
  <r>
    <x v="66"/>
    <n v="1"/>
    <n v="0"/>
    <n v="0"/>
    <n v="0"/>
    <n v="0"/>
    <n v="0"/>
    <n v="0"/>
    <n v="0"/>
    <n v="0"/>
  </r>
  <r>
    <x v="66"/>
    <n v="1"/>
    <n v="0"/>
    <n v="0"/>
    <n v="0"/>
    <n v="0"/>
    <n v="0"/>
    <n v="0"/>
    <n v="0"/>
    <n v="0"/>
  </r>
  <r>
    <x v="66"/>
    <n v="1"/>
    <n v="0"/>
    <n v="0"/>
    <n v="0"/>
    <n v="0"/>
    <n v="0"/>
    <n v="0"/>
    <n v="0"/>
    <n v="0"/>
  </r>
  <r>
    <x v="66"/>
    <n v="1"/>
    <n v="0"/>
    <n v="0"/>
    <n v="0"/>
    <n v="0"/>
    <n v="0"/>
    <n v="0"/>
    <n v="0"/>
    <n v="0"/>
  </r>
  <r>
    <x v="66"/>
    <n v="1"/>
    <n v="0"/>
    <n v="0"/>
    <n v="0"/>
    <n v="0"/>
    <n v="0"/>
    <n v="0"/>
    <n v="0"/>
    <n v="0"/>
  </r>
  <r>
    <x v="67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0"/>
    <n v="0"/>
    <n v="0"/>
    <n v="0"/>
    <n v="0"/>
    <n v="0"/>
    <n v="0"/>
    <n v="0"/>
  </r>
  <r>
    <x v="43"/>
    <n v="1"/>
    <n v="147"/>
    <n v="1.3600000000000001E-2"/>
    <n v="2"/>
    <n v="0"/>
    <n v="2.5000000000000001E-4"/>
    <n v="0"/>
    <n v="0"/>
    <n v="0"/>
  </r>
  <r>
    <x v="43"/>
    <n v="1"/>
    <n v="62"/>
    <n v="0"/>
    <n v="0"/>
    <n v="0"/>
    <n v="0"/>
    <n v="0"/>
    <n v="0"/>
    <n v="0"/>
  </r>
  <r>
    <x v="68"/>
    <n v="1"/>
    <n v="0"/>
    <n v="0"/>
    <n v="0"/>
    <n v="0"/>
    <n v="0"/>
    <n v="0"/>
    <n v="0"/>
    <n v="0"/>
  </r>
  <r>
    <x v="68"/>
    <n v="1"/>
    <n v="41"/>
    <n v="0"/>
    <n v="0"/>
    <n v="0"/>
    <n v="0"/>
    <n v="0"/>
    <n v="0"/>
    <n v="0"/>
  </r>
  <r>
    <x v="58"/>
    <n v="1"/>
    <n v="0"/>
    <n v="0"/>
    <n v="0"/>
    <n v="0"/>
    <n v="0"/>
    <n v="0"/>
    <n v="0"/>
    <n v="0"/>
  </r>
  <r>
    <x v="58"/>
    <n v="1"/>
    <n v="206"/>
    <n v="2.9100000000000001E-2"/>
    <n v="6"/>
    <n v="0"/>
    <n v="0.1"/>
    <n v="0"/>
    <n v="0"/>
    <n v="0"/>
  </r>
  <r>
    <x v="50"/>
    <n v="1"/>
    <n v="0"/>
    <n v="0"/>
    <n v="0"/>
    <n v="0"/>
    <n v="0"/>
    <n v="0"/>
    <n v="0"/>
    <n v="0"/>
  </r>
  <r>
    <x v="50"/>
    <n v="1"/>
    <n v="0"/>
    <n v="0"/>
    <n v="0"/>
    <n v="0"/>
    <n v="0"/>
    <n v="0"/>
    <n v="0"/>
    <n v="0"/>
  </r>
  <r>
    <x v="50"/>
    <n v="1"/>
    <n v="0"/>
    <n v="0"/>
    <n v="0"/>
    <n v="0"/>
    <n v="0"/>
    <n v="0"/>
    <n v="0"/>
    <n v="0"/>
  </r>
  <r>
    <x v="50"/>
    <n v="1"/>
    <n v="0"/>
    <n v="0"/>
    <n v="0"/>
    <n v="0"/>
    <n v="0"/>
    <n v="0"/>
    <n v="0"/>
    <n v="0"/>
  </r>
  <r>
    <x v="50"/>
    <n v="1"/>
    <n v="178"/>
    <n v="6.1799999999999994E-2"/>
    <n v="11"/>
    <n v="0"/>
    <n v="3.333E-3"/>
    <n v="0"/>
    <n v="0"/>
    <n v="0"/>
  </r>
  <r>
    <x v="50"/>
    <n v="1"/>
    <n v="181"/>
    <n v="2.76E-2"/>
    <n v="5"/>
    <n v="0"/>
    <n v="7.1399999999999991E-2"/>
    <n v="0"/>
    <n v="0"/>
    <n v="0"/>
  </r>
  <r>
    <x v="50"/>
    <n v="1"/>
    <n v="214"/>
    <n v="1.3999999999999999E-2"/>
    <n v="3"/>
    <n v="1"/>
    <n v="6.25E-2"/>
    <n v="11.99"/>
    <n v="35.97"/>
    <n v="35.97"/>
  </r>
  <r>
    <x v="50"/>
    <n v="1"/>
    <n v="219"/>
    <n v="2.7400000000000001E-2"/>
    <n v="6"/>
    <n v="0"/>
    <n v="0.26319999999999999"/>
    <n v="0"/>
    <n v="0"/>
    <n v="0"/>
  </r>
  <r>
    <x v="50"/>
    <n v="1"/>
    <n v="0"/>
    <n v="0"/>
    <n v="0"/>
    <n v="0"/>
    <n v="0"/>
    <n v="0"/>
    <n v="0"/>
    <n v="0"/>
  </r>
  <r>
    <x v="50"/>
    <n v="1"/>
    <n v="0"/>
    <n v="0"/>
    <n v="0"/>
    <n v="0"/>
    <n v="0"/>
    <n v="0"/>
    <n v="0"/>
    <n v="0"/>
  </r>
  <r>
    <x v="50"/>
    <n v="1"/>
    <n v="240"/>
    <n v="2.0799999999999999E-2"/>
    <n v="5"/>
    <n v="0"/>
    <n v="0.05"/>
    <n v="0"/>
    <n v="0"/>
    <n v="0"/>
  </r>
  <r>
    <x v="50"/>
    <n v="1"/>
    <n v="0"/>
    <n v="0"/>
    <n v="0"/>
    <n v="0"/>
    <n v="0"/>
    <n v="0"/>
    <n v="0"/>
    <n v="0"/>
  </r>
  <r>
    <x v="50"/>
    <n v="1"/>
    <n v="0"/>
    <n v="0"/>
    <n v="0"/>
    <n v="0"/>
    <n v="0"/>
    <n v="0"/>
    <n v="0"/>
    <n v="0"/>
  </r>
  <r>
    <x v="50"/>
    <n v="1"/>
    <n v="2"/>
    <n v="0"/>
    <n v="0"/>
    <n v="0"/>
    <n v="0.16670000000000001"/>
    <n v="0"/>
    <n v="0"/>
    <n v="0"/>
  </r>
  <r>
    <x v="69"/>
    <n v="1"/>
    <n v="0"/>
    <n v="0"/>
    <n v="0"/>
    <n v="0"/>
    <n v="0"/>
    <n v="0"/>
    <n v="0"/>
    <n v="0"/>
  </r>
  <r>
    <x v="67"/>
    <n v="1"/>
    <n v="0"/>
    <n v="0"/>
    <n v="0"/>
    <n v="0"/>
    <n v="0"/>
    <n v="0"/>
    <n v="0"/>
    <n v="0"/>
  </r>
  <r>
    <x v="67"/>
    <n v="1"/>
    <n v="0"/>
    <n v="0"/>
    <n v="0"/>
    <n v="0"/>
    <n v="0"/>
    <n v="0"/>
    <n v="0"/>
    <n v="0"/>
  </r>
  <r>
    <x v="67"/>
    <n v="1"/>
    <n v="0"/>
    <n v="0"/>
    <n v="0"/>
    <n v="0"/>
    <n v="0"/>
    <n v="0"/>
    <n v="0"/>
    <n v="0"/>
  </r>
  <r>
    <x v="70"/>
    <n v="1"/>
    <n v="154"/>
    <n v="3.9E-2"/>
    <n v="6"/>
    <n v="0"/>
    <n v="7.4100000000000001E-4"/>
    <n v="0"/>
    <n v="0"/>
    <n v="0"/>
  </r>
  <r>
    <x v="71"/>
    <n v="1"/>
    <n v="0"/>
    <n v="0"/>
    <n v="0"/>
    <n v="0"/>
    <n v="0"/>
    <n v="0"/>
    <n v="0"/>
    <n v="0"/>
  </r>
  <r>
    <x v="71"/>
    <n v="1"/>
    <n v="0"/>
    <n v="0"/>
    <n v="0"/>
    <n v="0"/>
    <n v="0"/>
    <n v="0"/>
    <n v="0"/>
    <n v="0"/>
  </r>
  <r>
    <x v="72"/>
    <n v="1"/>
    <n v="0"/>
    <n v="0"/>
    <n v="0"/>
    <n v="0"/>
    <n v="0"/>
    <n v="0"/>
    <n v="0"/>
    <n v="0"/>
  </r>
  <r>
    <x v="73"/>
    <n v="1"/>
    <n v="0"/>
    <n v="0"/>
    <n v="0"/>
    <n v="0"/>
    <n v="0"/>
    <n v="0"/>
    <n v="0"/>
    <n v="0"/>
  </r>
  <r>
    <x v="74"/>
    <n v="1"/>
    <n v="0"/>
    <n v="0"/>
    <n v="0"/>
    <n v="0"/>
    <n v="0"/>
    <n v="0"/>
    <n v="0"/>
    <n v="0"/>
  </r>
  <r>
    <x v="75"/>
    <n v="1"/>
    <n v="0"/>
    <n v="0"/>
    <n v="0"/>
    <n v="0"/>
    <n v="0"/>
    <n v="0"/>
    <n v="0"/>
    <n v="0"/>
  </r>
  <r>
    <x v="76"/>
    <n v="1"/>
    <n v="0"/>
    <n v="0"/>
    <n v="0"/>
    <n v="0"/>
    <n v="0"/>
    <n v="0"/>
    <n v="0"/>
    <n v="0"/>
  </r>
  <r>
    <x v="76"/>
    <n v="1"/>
    <n v="180"/>
    <n v="7.7800000000000008E-2"/>
    <n v="14"/>
    <n v="0"/>
    <n v="0.16670000000000001"/>
    <n v="0"/>
    <n v="0"/>
    <n v="0"/>
  </r>
  <r>
    <x v="77"/>
    <n v="1"/>
    <n v="0"/>
    <n v="0"/>
    <n v="0"/>
    <n v="0"/>
    <n v="0"/>
    <n v="0"/>
    <n v="0"/>
    <n v="0"/>
  </r>
  <r>
    <x v="77"/>
    <n v="1"/>
    <n v="63"/>
    <n v="6.3500000000000001E-2"/>
    <n v="4"/>
    <n v="0"/>
    <n v="0"/>
    <n v="0"/>
    <n v="0"/>
    <n v="0"/>
  </r>
  <r>
    <x v="78"/>
    <n v="1"/>
    <n v="225"/>
    <n v="2.2200000000000001E-2"/>
    <n v="5"/>
    <n v="0"/>
    <n v="7.1399999999999991E-2"/>
    <n v="0"/>
    <n v="0"/>
    <n v="0"/>
  </r>
  <r>
    <x v="79"/>
    <n v="1"/>
    <n v="0"/>
    <n v="0"/>
    <n v="0"/>
    <n v="0"/>
    <n v="0"/>
    <n v="0"/>
    <n v="0"/>
    <n v="0"/>
  </r>
  <r>
    <x v="79"/>
    <n v="1"/>
    <n v="0"/>
    <n v="0"/>
    <n v="0"/>
    <n v="0"/>
    <n v="0"/>
    <n v="0"/>
    <n v="0"/>
    <n v="0"/>
  </r>
  <r>
    <x v="79"/>
    <n v="1"/>
    <n v="0"/>
    <n v="0"/>
    <n v="0"/>
    <n v="0"/>
    <n v="0"/>
    <n v="0"/>
    <n v="0"/>
    <n v="0"/>
  </r>
  <r>
    <x v="79"/>
    <n v="1"/>
    <n v="0"/>
    <n v="0"/>
    <n v="0"/>
    <n v="0"/>
    <n v="0"/>
    <n v="0"/>
    <n v="0"/>
    <n v="0"/>
  </r>
  <r>
    <x v="79"/>
    <n v="1"/>
    <n v="0"/>
    <n v="0"/>
    <n v="0"/>
    <n v="0"/>
    <n v="0"/>
    <n v="0"/>
    <n v="0"/>
    <n v="0"/>
  </r>
  <r>
    <x v="79"/>
    <n v="1"/>
    <n v="0"/>
    <n v="0"/>
    <n v="0"/>
    <n v="0"/>
    <n v="0"/>
    <n v="0"/>
    <n v="0"/>
    <n v="0"/>
  </r>
  <r>
    <x v="79"/>
    <n v="1"/>
    <n v="0"/>
    <n v="0"/>
    <n v="0"/>
    <n v="0"/>
    <n v="0"/>
    <n v="0"/>
    <n v="0"/>
    <n v="0"/>
  </r>
  <r>
    <x v="79"/>
    <n v="1"/>
    <n v="0"/>
    <n v="0"/>
    <n v="0"/>
    <n v="0"/>
    <n v="0"/>
    <n v="0"/>
    <n v="0"/>
    <n v="0"/>
  </r>
  <r>
    <x v="79"/>
    <n v="1"/>
    <n v="0"/>
    <n v="0"/>
    <n v="0"/>
    <n v="0"/>
    <n v="0"/>
    <n v="0"/>
    <n v="0"/>
    <n v="0"/>
  </r>
  <r>
    <x v="79"/>
    <n v="1"/>
    <n v="0"/>
    <n v="0"/>
    <n v="0"/>
    <n v="0"/>
    <n v="0"/>
    <n v="0"/>
    <n v="0"/>
    <n v="0"/>
  </r>
  <r>
    <x v="80"/>
    <n v="1"/>
    <n v="0"/>
    <n v="0"/>
    <n v="0"/>
    <n v="0"/>
    <n v="0"/>
    <n v="0"/>
    <n v="0"/>
    <n v="0"/>
  </r>
  <r>
    <x v="80"/>
    <n v="1"/>
    <n v="0"/>
    <n v="0"/>
    <n v="0"/>
    <n v="0"/>
    <n v="0"/>
    <n v="0"/>
    <n v="0"/>
    <n v="0"/>
  </r>
  <r>
    <x v="80"/>
    <n v="1"/>
    <n v="160"/>
    <n v="1.8799999999999997E-2"/>
    <n v="3"/>
    <n v="0"/>
    <n v="1.379E-3"/>
    <n v="0"/>
    <n v="0"/>
    <n v="0"/>
  </r>
  <r>
    <x v="80"/>
    <n v="1"/>
    <n v="196"/>
    <n v="2.0400000000000001E-2"/>
    <n v="4"/>
    <n v="0"/>
    <n v="3.3300000000000003E-2"/>
    <n v="0"/>
    <n v="0"/>
    <n v="0"/>
  </r>
  <r>
    <x v="80"/>
    <n v="1"/>
    <n v="168"/>
    <n v="2.3799999999999998E-2"/>
    <n v="4"/>
    <n v="0"/>
    <n v="7.6900000000000015E-4"/>
    <n v="0"/>
    <n v="0"/>
    <n v="0"/>
  </r>
  <r>
    <x v="80"/>
    <n v="1"/>
    <n v="0"/>
    <n v="0"/>
    <n v="0"/>
    <n v="0"/>
    <n v="0"/>
    <n v="0"/>
    <n v="0"/>
    <n v="0"/>
  </r>
  <r>
    <x v="80"/>
    <n v="1"/>
    <n v="103"/>
    <n v="2.9100000000000001E-2"/>
    <n v="3"/>
    <n v="0"/>
    <n v="0"/>
    <n v="0"/>
    <n v="0"/>
    <n v="0"/>
  </r>
  <r>
    <x v="80"/>
    <n v="1"/>
    <n v="152"/>
    <n v="1.32E-2"/>
    <n v="2"/>
    <n v="0"/>
    <n v="1.6670000000000001E-3"/>
    <n v="0"/>
    <n v="0"/>
    <n v="0"/>
  </r>
  <r>
    <x v="80"/>
    <n v="1"/>
    <n v="226"/>
    <n v="1.77E-2"/>
    <n v="4"/>
    <n v="2"/>
    <n v="5.2600000000000001E-2"/>
    <n v="5.04"/>
    <n v="10.07"/>
    <n v="20.14"/>
  </r>
  <r>
    <x v="80"/>
    <n v="1"/>
    <n v="92"/>
    <n v="2.1700000000000001E-2"/>
    <n v="2"/>
    <n v="0"/>
    <n v="0"/>
    <n v="0"/>
    <n v="0"/>
    <n v="0"/>
  </r>
  <r>
    <x v="70"/>
    <n v="1"/>
    <n v="0"/>
    <n v="0"/>
    <n v="0"/>
    <n v="0"/>
    <n v="0"/>
    <n v="0"/>
    <n v="0"/>
    <n v="0"/>
  </r>
  <r>
    <x v="70"/>
    <n v="1"/>
    <n v="0"/>
    <n v="0"/>
    <n v="0"/>
    <n v="0"/>
    <n v="0"/>
    <n v="0"/>
    <n v="0"/>
    <n v="0"/>
  </r>
  <r>
    <x v="70"/>
    <n v="1"/>
    <n v="0"/>
    <n v="0"/>
    <n v="0"/>
    <n v="0"/>
    <n v="0"/>
    <n v="0"/>
    <n v="0"/>
    <n v="0"/>
  </r>
  <r>
    <x v="70"/>
    <n v="1"/>
    <n v="127"/>
    <n v="5.5099999999999996E-2"/>
    <n v="7"/>
    <n v="1"/>
    <n v="8.3299999999999997E-4"/>
    <n v="1.35"/>
    <n v="9.43"/>
    <n v="9.43"/>
  </r>
  <r>
    <x v="70"/>
    <n v="1"/>
    <n v="0"/>
    <n v="0"/>
    <n v="0"/>
    <n v="0"/>
    <n v="0"/>
    <n v="0"/>
    <n v="0"/>
    <n v="0"/>
  </r>
  <r>
    <x v="70"/>
    <n v="1"/>
    <n v="0"/>
    <n v="0"/>
    <n v="0"/>
    <n v="0"/>
    <n v="0"/>
    <n v="0"/>
    <n v="0"/>
    <n v="0"/>
  </r>
  <r>
    <x v="70"/>
    <n v="1"/>
    <n v="89"/>
    <n v="6.7400000000000002E-2"/>
    <n v="6"/>
    <n v="0"/>
    <n v="0"/>
    <n v="0"/>
    <n v="0"/>
    <n v="0"/>
  </r>
  <r>
    <x v="70"/>
    <n v="1"/>
    <n v="95"/>
    <n v="5.2600000000000001E-2"/>
    <n v="5"/>
    <n v="0"/>
    <n v="0"/>
    <n v="0"/>
    <n v="0"/>
    <n v="0"/>
  </r>
  <r>
    <x v="70"/>
    <n v="1"/>
    <n v="0"/>
    <n v="0"/>
    <n v="0"/>
    <n v="0"/>
    <n v="0"/>
    <n v="0"/>
    <n v="0"/>
    <n v="0"/>
  </r>
  <r>
    <x v="70"/>
    <n v="1"/>
    <n v="0"/>
    <n v="0"/>
    <n v="0"/>
    <n v="0"/>
    <n v="0"/>
    <n v="0"/>
    <n v="0"/>
    <n v="0"/>
  </r>
  <r>
    <x v="70"/>
    <n v="1"/>
    <n v="0"/>
    <n v="0"/>
    <n v="0"/>
    <n v="0"/>
    <n v="0"/>
    <n v="0"/>
    <n v="0"/>
    <n v="0"/>
  </r>
  <r>
    <x v="70"/>
    <n v="1"/>
    <n v="0"/>
    <n v="0"/>
    <n v="0"/>
    <n v="0"/>
    <n v="0"/>
    <n v="0"/>
    <n v="0"/>
    <n v="0"/>
  </r>
  <r>
    <x v="70"/>
    <n v="1"/>
    <n v="0"/>
    <n v="0"/>
    <n v="0"/>
    <n v="0"/>
    <n v="0"/>
    <n v="0"/>
    <n v="0"/>
    <n v="0"/>
  </r>
  <r>
    <x v="70"/>
    <n v="1"/>
    <n v="0"/>
    <n v="0"/>
    <n v="0"/>
    <n v="0"/>
    <n v="0"/>
    <n v="0"/>
    <n v="0"/>
    <n v="0"/>
  </r>
  <r>
    <x v="70"/>
    <n v="1"/>
    <n v="109"/>
    <n v="4.5899999999999996E-2"/>
    <n v="5"/>
    <n v="0"/>
    <n v="5.0000000000000001E-3"/>
    <n v="0"/>
    <n v="0"/>
    <n v="0"/>
  </r>
  <r>
    <x v="70"/>
    <n v="1"/>
    <n v="120"/>
    <n v="2.5000000000000001E-2"/>
    <n v="3"/>
    <n v="0"/>
    <n v="7.6900000000000015E-4"/>
    <n v="0"/>
    <n v="0"/>
    <n v="0"/>
  </r>
  <r>
    <x v="81"/>
    <n v="1"/>
    <n v="0"/>
    <n v="0"/>
    <n v="0"/>
    <n v="0"/>
    <n v="0"/>
    <n v="0"/>
    <n v="0"/>
    <n v="0"/>
  </r>
  <r>
    <x v="81"/>
    <n v="1"/>
    <n v="0"/>
    <n v="0"/>
    <n v="0"/>
    <n v="0"/>
    <n v="0"/>
    <n v="0"/>
    <n v="0"/>
    <n v="0"/>
  </r>
  <r>
    <x v="81"/>
    <n v="1"/>
    <n v="0"/>
    <n v="0"/>
    <n v="0"/>
    <n v="0"/>
    <n v="0"/>
    <n v="0"/>
    <n v="0"/>
    <n v="0"/>
  </r>
  <r>
    <x v="82"/>
    <n v="1"/>
    <n v="0"/>
    <n v="0"/>
    <n v="0"/>
    <n v="0"/>
    <n v="0"/>
    <n v="0"/>
    <n v="0"/>
    <n v="0"/>
  </r>
  <r>
    <x v="82"/>
    <n v="1"/>
    <n v="121"/>
    <n v="3.3099999999999997E-2"/>
    <n v="4"/>
    <n v="0"/>
    <n v="4.0000000000000001E-3"/>
    <n v="0"/>
    <n v="0"/>
    <n v="0"/>
  </r>
  <r>
    <x v="82"/>
    <n v="1"/>
    <n v="138"/>
    <n v="4.3499999999999997E-2"/>
    <n v="6"/>
    <n v="0"/>
    <n v="8.3299999999999997E-4"/>
    <n v="0"/>
    <n v="0"/>
    <n v="0"/>
  </r>
  <r>
    <x v="83"/>
    <n v="1"/>
    <n v="0"/>
    <n v="0"/>
    <n v="0"/>
    <n v="0"/>
    <n v="0"/>
    <n v="0"/>
    <n v="0"/>
    <n v="0"/>
  </r>
  <r>
    <x v="83"/>
    <n v="1"/>
    <n v="0"/>
    <n v="0"/>
    <n v="0"/>
    <n v="0"/>
    <n v="0"/>
    <n v="0"/>
    <n v="0"/>
    <n v="0"/>
  </r>
  <r>
    <x v="83"/>
    <n v="1"/>
    <n v="0"/>
    <n v="0"/>
    <n v="0"/>
    <n v="0"/>
    <n v="0"/>
    <n v="0"/>
    <n v="0"/>
    <n v="0"/>
  </r>
  <r>
    <x v="83"/>
    <n v="1"/>
    <n v="0"/>
    <n v="0"/>
    <n v="0"/>
    <n v="0"/>
    <n v="0"/>
    <n v="0"/>
    <n v="0"/>
    <n v="0"/>
  </r>
  <r>
    <x v="83"/>
    <n v="1"/>
    <n v="0"/>
    <n v="0"/>
    <n v="0"/>
    <n v="0"/>
    <n v="0"/>
    <n v="0"/>
    <n v="0"/>
    <n v="0"/>
  </r>
  <r>
    <x v="83"/>
    <n v="1"/>
    <n v="0"/>
    <n v="0"/>
    <n v="0"/>
    <n v="0"/>
    <n v="0"/>
    <n v="0"/>
    <n v="0"/>
    <n v="0"/>
  </r>
  <r>
    <x v="83"/>
    <n v="1"/>
    <n v="0"/>
    <n v="0"/>
    <n v="0"/>
    <n v="0"/>
    <n v="0"/>
    <n v="0"/>
    <n v="0"/>
    <n v="0"/>
  </r>
  <r>
    <x v="83"/>
    <n v="1"/>
    <n v="0"/>
    <n v="0"/>
    <n v="0"/>
    <n v="0"/>
    <n v="0"/>
    <n v="0"/>
    <n v="0"/>
    <n v="0"/>
  </r>
  <r>
    <x v="83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0"/>
    <n v="0"/>
    <n v="0"/>
    <n v="0"/>
    <n v="0"/>
    <n v="0"/>
    <n v="0"/>
    <n v="0"/>
  </r>
  <r>
    <x v="84"/>
    <n v="1"/>
    <n v="33"/>
    <n v="0"/>
    <n v="0"/>
    <n v="0"/>
    <n v="0"/>
    <n v="0"/>
    <n v="0"/>
    <n v="0"/>
  </r>
  <r>
    <x v="84"/>
    <n v="1"/>
    <n v="48"/>
    <n v="4.1700000000000001E-2"/>
    <n v="2"/>
    <n v="0"/>
    <n v="0"/>
    <n v="0"/>
    <n v="0"/>
    <n v="0"/>
  </r>
  <r>
    <x v="84"/>
    <n v="1"/>
    <n v="55"/>
    <n v="3.6400000000000002E-2"/>
    <n v="2"/>
    <n v="0"/>
    <n v="0"/>
    <n v="0"/>
    <n v="0"/>
    <n v="0"/>
  </r>
  <r>
    <x v="84"/>
    <n v="1"/>
    <n v="65"/>
    <n v="6.1500000000000006E-2"/>
    <n v="4"/>
    <n v="1"/>
    <n v="25"/>
    <n v="1.82"/>
    <n v="7.29"/>
    <n v="7.29"/>
  </r>
  <r>
    <x v="84"/>
    <n v="1"/>
    <n v="95"/>
    <n v="2.1099999999999997E-2"/>
    <n v="2"/>
    <n v="0"/>
    <n v="0"/>
    <n v="0"/>
    <n v="0"/>
    <n v="0"/>
  </r>
  <r>
    <x v="85"/>
    <n v="1"/>
    <n v="107"/>
    <n v="3.7400000000000003E-2"/>
    <n v="4"/>
    <n v="0"/>
    <n v="0"/>
    <n v="0"/>
    <n v="0"/>
    <n v="0"/>
  </r>
  <r>
    <x v="85"/>
    <n v="1"/>
    <n v="162"/>
    <n v="1.8500000000000003E-2"/>
    <n v="3"/>
    <n v="0"/>
    <n v="1.5380000000000003E-3"/>
    <n v="0"/>
    <n v="0"/>
    <n v="0"/>
  </r>
  <r>
    <x v="85"/>
    <n v="1"/>
    <n v="201"/>
    <n v="0.01"/>
    <n v="2"/>
    <n v="0"/>
    <n v="0.15"/>
    <n v="0"/>
    <n v="0"/>
    <n v="0"/>
  </r>
  <r>
    <x v="71"/>
    <n v="1"/>
    <n v="0"/>
    <n v="0"/>
    <n v="0"/>
    <n v="0"/>
    <n v="0"/>
    <n v="0"/>
    <n v="0"/>
    <n v="0"/>
  </r>
  <r>
    <x v="71"/>
    <n v="1"/>
    <n v="0"/>
    <n v="0"/>
    <n v="0"/>
    <n v="0"/>
    <n v="0"/>
    <n v="0"/>
    <n v="0"/>
    <n v="0"/>
  </r>
  <r>
    <x v="71"/>
    <n v="1"/>
    <n v="0"/>
    <n v="0"/>
    <n v="0"/>
    <n v="0"/>
    <n v="0"/>
    <n v="0"/>
    <n v="0"/>
    <n v="0"/>
  </r>
  <r>
    <x v="71"/>
    <n v="1"/>
    <n v="0"/>
    <n v="0"/>
    <n v="0"/>
    <n v="0"/>
    <n v="0"/>
    <n v="0"/>
    <n v="0"/>
    <n v="0"/>
  </r>
  <r>
    <x v="71"/>
    <n v="1"/>
    <n v="0"/>
    <n v="0"/>
    <n v="0"/>
    <n v="0"/>
    <n v="0"/>
    <n v="0"/>
    <n v="0"/>
    <n v="0"/>
  </r>
  <r>
    <x v="71"/>
    <n v="1"/>
    <n v="0"/>
    <n v="0"/>
    <n v="0"/>
    <n v="0"/>
    <n v="0"/>
    <n v="0"/>
    <n v="0"/>
    <n v="0"/>
  </r>
  <r>
    <x v="71"/>
    <n v="1"/>
    <n v="0"/>
    <n v="0"/>
    <n v="0"/>
    <n v="0"/>
    <n v="0"/>
    <n v="0"/>
    <n v="0"/>
    <n v="0"/>
  </r>
  <r>
    <x v="71"/>
    <n v="1"/>
    <n v="0"/>
    <n v="0"/>
    <n v="0"/>
    <n v="0"/>
    <n v="0"/>
    <n v="0"/>
    <n v="0"/>
    <n v="0"/>
  </r>
  <r>
    <x v="71"/>
    <n v="1"/>
    <n v="0"/>
    <n v="0"/>
    <n v="0"/>
    <n v="0"/>
    <n v="0"/>
    <n v="0"/>
    <n v="0"/>
    <n v="0"/>
  </r>
  <r>
    <x v="71"/>
    <n v="1"/>
    <n v="0"/>
    <n v="0"/>
    <n v="0"/>
    <n v="0"/>
    <n v="0"/>
    <n v="0"/>
    <n v="0"/>
    <n v="0"/>
  </r>
  <r>
    <x v="71"/>
    <n v="1"/>
    <n v="0"/>
    <n v="0"/>
    <n v="0"/>
    <n v="0"/>
    <n v="0"/>
    <n v="0"/>
    <n v="0"/>
    <n v="0"/>
  </r>
  <r>
    <x v="71"/>
    <n v="1"/>
    <n v="62"/>
    <n v="1.61E-2"/>
    <n v="1"/>
    <n v="0"/>
    <n v="0"/>
    <n v="0"/>
    <n v="0"/>
    <n v="0"/>
  </r>
  <r>
    <x v="86"/>
    <n v="1"/>
    <n v="0"/>
    <n v="0"/>
    <n v="0"/>
    <n v="0"/>
    <n v="0"/>
    <n v="0"/>
    <n v="0"/>
    <n v="0"/>
  </r>
  <r>
    <x v="86"/>
    <n v="1"/>
    <n v="0"/>
    <n v="0"/>
    <n v="0"/>
    <n v="0"/>
    <n v="0"/>
    <n v="0"/>
    <n v="0"/>
    <n v="0"/>
  </r>
  <r>
    <x v="86"/>
    <n v="1"/>
    <n v="0"/>
    <n v="0"/>
    <n v="0"/>
    <n v="0"/>
    <n v="0"/>
    <n v="0"/>
    <n v="0"/>
    <n v="0"/>
  </r>
  <r>
    <x v="86"/>
    <n v="1"/>
    <n v="0"/>
    <n v="0"/>
    <n v="0"/>
    <n v="0"/>
    <n v="0"/>
    <n v="0"/>
    <n v="0"/>
    <n v="0"/>
  </r>
  <r>
    <x v="86"/>
    <n v="1"/>
    <n v="10"/>
    <n v="0"/>
    <n v="0"/>
    <n v="0"/>
    <n v="0"/>
    <n v="0"/>
    <n v="0"/>
    <n v="0"/>
  </r>
  <r>
    <x v="86"/>
    <n v="1"/>
    <n v="109"/>
    <n v="1.83E-2"/>
    <n v="2"/>
    <n v="1"/>
    <n v="2.5000000000000001E-3"/>
    <n v="5.21"/>
    <n v="10.42"/>
    <n v="10.42"/>
  </r>
  <r>
    <x v="86"/>
    <n v="1"/>
    <n v="109"/>
    <n v="9.1999999999999998E-3"/>
    <n v="1"/>
    <n v="0"/>
    <n v="5.5599999999999996E-4"/>
    <n v="0"/>
    <n v="0"/>
    <n v="0"/>
  </r>
  <r>
    <x v="86"/>
    <n v="1"/>
    <n v="116"/>
    <n v="1.72E-2"/>
    <n v="2"/>
    <n v="0"/>
    <n v="1.333E-3"/>
    <n v="0"/>
    <n v="0"/>
    <n v="0"/>
  </r>
  <r>
    <x v="86"/>
    <n v="1"/>
    <n v="130"/>
    <n v="3.0800000000000001E-2"/>
    <n v="4"/>
    <n v="1"/>
    <n v="6.2500000000000001E-4"/>
    <n v="0.81"/>
    <n v="3.25"/>
    <n v="3.25"/>
  </r>
  <r>
    <x v="86"/>
    <n v="1"/>
    <n v="134"/>
    <n v="1.49E-2"/>
    <n v="2"/>
    <n v="0"/>
    <n v="1.5789999999999999E-3"/>
    <n v="0"/>
    <n v="0"/>
    <n v="0"/>
  </r>
  <r>
    <x v="86"/>
    <n v="1"/>
    <n v="140"/>
    <n v="3.5699999999999996E-2"/>
    <n v="5"/>
    <n v="2"/>
    <n v="2.2729999999999998E-3"/>
    <n v="11.36"/>
    <n v="28.41"/>
    <n v="56.82"/>
  </r>
  <r>
    <x v="86"/>
    <n v="1"/>
    <n v="209"/>
    <n v="1.9099999999999999E-2"/>
    <n v="4"/>
    <n v="1"/>
    <n v="0.26669999999999999"/>
    <n v="4.42"/>
    <n v="17.66"/>
    <n v="17.66"/>
  </r>
  <r>
    <x v="86"/>
    <n v="1"/>
    <n v="27"/>
    <n v="0"/>
    <n v="0"/>
    <n v="0"/>
    <n v="6.9800000000000001E-2"/>
    <n v="0"/>
    <n v="0"/>
    <n v="0"/>
  </r>
  <r>
    <x v="86"/>
    <n v="1"/>
    <n v="89"/>
    <n v="2.2499999999999999E-2"/>
    <n v="2"/>
    <n v="0"/>
    <n v="0"/>
    <n v="0"/>
    <n v="0"/>
    <n v="0"/>
  </r>
  <r>
    <x v="87"/>
    <n v="1"/>
    <n v="0"/>
    <n v="0"/>
    <n v="0"/>
    <n v="0"/>
    <n v="0"/>
    <n v="0"/>
    <n v="0"/>
    <n v="0"/>
  </r>
  <r>
    <x v="87"/>
    <n v="1"/>
    <n v="0"/>
    <n v="0"/>
    <n v="0"/>
    <n v="0"/>
    <n v="0"/>
    <n v="0"/>
    <n v="0"/>
    <n v="0"/>
  </r>
  <r>
    <x v="87"/>
    <n v="1"/>
    <n v="0"/>
    <n v="0"/>
    <n v="0"/>
    <n v="0"/>
    <n v="0"/>
    <n v="0"/>
    <n v="0"/>
    <n v="0"/>
  </r>
  <r>
    <x v="87"/>
    <n v="1"/>
    <n v="0"/>
    <n v="0"/>
    <n v="0"/>
    <n v="0"/>
    <n v="0"/>
    <n v="0"/>
    <n v="0"/>
    <n v="0"/>
  </r>
  <r>
    <x v="87"/>
    <n v="1"/>
    <n v="0"/>
    <n v="0"/>
    <n v="0"/>
    <n v="0"/>
    <n v="0"/>
    <n v="0"/>
    <n v="0"/>
    <n v="0"/>
  </r>
  <r>
    <x v="87"/>
    <n v="1"/>
    <n v="0"/>
    <n v="0"/>
    <n v="0"/>
    <n v="0"/>
    <n v="0"/>
    <n v="0"/>
    <n v="0"/>
    <n v="0"/>
  </r>
  <r>
    <x v="87"/>
    <n v="1"/>
    <n v="0"/>
    <n v="0"/>
    <n v="0"/>
    <n v="0"/>
    <n v="0"/>
    <n v="0"/>
    <n v="0"/>
    <n v="0"/>
  </r>
  <r>
    <x v="87"/>
    <n v="1"/>
    <n v="0"/>
    <n v="0"/>
    <n v="0"/>
    <n v="0"/>
    <n v="0"/>
    <n v="0"/>
    <n v="0"/>
    <n v="0"/>
  </r>
  <r>
    <x v="87"/>
    <n v="1"/>
    <n v="0"/>
    <n v="0"/>
    <n v="0"/>
    <n v="0"/>
    <n v="0"/>
    <n v="0"/>
    <n v="0"/>
    <n v="0"/>
  </r>
  <r>
    <x v="88"/>
    <n v="1"/>
    <n v="0"/>
    <n v="0"/>
    <n v="0"/>
    <n v="0"/>
    <n v="0"/>
    <n v="0"/>
    <n v="0"/>
    <n v="0"/>
  </r>
  <r>
    <x v="88"/>
    <n v="1"/>
    <n v="0"/>
    <n v="0"/>
    <n v="0"/>
    <n v="0"/>
    <n v="0"/>
    <n v="0"/>
    <n v="0"/>
    <n v="0"/>
  </r>
  <r>
    <x v="88"/>
    <n v="1"/>
    <n v="0"/>
    <n v="0"/>
    <n v="0"/>
    <n v="0"/>
    <n v="0"/>
    <n v="0"/>
    <n v="0"/>
    <n v="0"/>
  </r>
  <r>
    <x v="88"/>
    <n v="1"/>
    <n v="0"/>
    <n v="0"/>
    <n v="0"/>
    <n v="0"/>
    <n v="0"/>
    <n v="0"/>
    <n v="0"/>
    <n v="0"/>
  </r>
  <r>
    <x v="88"/>
    <n v="1"/>
    <n v="0"/>
    <n v="0"/>
    <n v="0"/>
    <n v="0"/>
    <n v="0"/>
    <n v="0"/>
    <n v="0"/>
    <n v="0"/>
  </r>
  <r>
    <x v="88"/>
    <n v="1"/>
    <n v="0"/>
    <n v="0"/>
    <n v="0"/>
    <n v="0"/>
    <n v="0"/>
    <n v="0"/>
    <n v="0"/>
    <n v="0"/>
  </r>
  <r>
    <x v="88"/>
    <n v="1"/>
    <n v="0"/>
    <n v="0"/>
    <n v="0"/>
    <n v="0"/>
    <n v="0"/>
    <n v="0"/>
    <n v="0"/>
    <n v="0"/>
  </r>
  <r>
    <x v="88"/>
    <n v="1"/>
    <n v="0"/>
    <n v="0"/>
    <n v="0"/>
    <n v="0"/>
    <n v="0"/>
    <n v="0"/>
    <n v="0"/>
    <n v="0"/>
  </r>
  <r>
    <x v="88"/>
    <n v="1"/>
    <n v="0"/>
    <n v="0"/>
    <n v="0"/>
    <n v="0"/>
    <n v="0"/>
    <n v="0"/>
    <n v="0"/>
    <n v="0"/>
  </r>
  <r>
    <x v="88"/>
    <n v="1"/>
    <n v="0"/>
    <n v="0"/>
    <n v="0"/>
    <n v="0"/>
    <n v="0"/>
    <n v="0"/>
    <n v="0"/>
    <n v="0"/>
  </r>
  <r>
    <x v="88"/>
    <n v="1"/>
    <n v="0"/>
    <n v="0"/>
    <n v="0"/>
    <n v="0"/>
    <n v="0"/>
    <n v="0"/>
    <n v="0"/>
    <n v="0"/>
  </r>
  <r>
    <x v="89"/>
    <n v="1"/>
    <n v="0"/>
    <n v="0"/>
    <n v="0"/>
    <n v="0"/>
    <n v="0"/>
    <n v="0"/>
    <n v="0"/>
    <n v="0"/>
  </r>
  <r>
    <x v="89"/>
    <n v="1"/>
    <n v="0"/>
    <n v="0"/>
    <n v="0"/>
    <n v="0"/>
    <n v="0"/>
    <n v="0"/>
    <n v="0"/>
    <n v="0"/>
  </r>
  <r>
    <x v="52"/>
    <n v="1"/>
    <n v="0"/>
    <n v="0"/>
    <n v="0"/>
    <n v="0"/>
    <n v="0"/>
    <n v="0"/>
    <n v="0"/>
    <n v="0"/>
  </r>
  <r>
    <x v="52"/>
    <n v="1"/>
    <n v="0"/>
    <n v="0"/>
    <n v="0"/>
    <n v="0"/>
    <n v="0"/>
    <n v="0"/>
    <n v="0"/>
    <n v="0"/>
  </r>
  <r>
    <x v="52"/>
    <n v="1"/>
    <n v="0"/>
    <n v="0"/>
    <n v="0"/>
    <n v="0"/>
    <n v="0"/>
    <n v="0"/>
    <n v="0"/>
    <n v="0"/>
  </r>
  <r>
    <x v="52"/>
    <n v="1"/>
    <n v="119"/>
    <n v="5.04E-2"/>
    <n v="6"/>
    <n v="0"/>
    <n v="1E-3"/>
    <n v="0"/>
    <n v="0"/>
    <n v="0"/>
  </r>
  <r>
    <x v="52"/>
    <n v="1"/>
    <n v="120"/>
    <n v="0.05"/>
    <n v="6"/>
    <n v="0"/>
    <n v="6.6699999999999995E-4"/>
    <n v="0"/>
    <n v="0"/>
    <n v="0"/>
  </r>
  <r>
    <x v="52"/>
    <n v="1"/>
    <n v="141"/>
    <n v="4.9599999999999998E-2"/>
    <n v="7"/>
    <n v="1"/>
    <n v="7.139999999999999E-4"/>
    <n v="1.5"/>
    <n v="10.48"/>
    <n v="10.48"/>
  </r>
  <r>
    <x v="52"/>
    <n v="1"/>
    <n v="146"/>
    <n v="6.8499999999999991E-2"/>
    <n v="10"/>
    <n v="1"/>
    <n v="4.55E-4"/>
    <n v="2.91"/>
    <n v="29.11"/>
    <n v="29.11"/>
  </r>
  <r>
    <x v="52"/>
    <n v="1"/>
    <n v="170"/>
    <n v="4.7100000000000003E-2"/>
    <n v="8"/>
    <n v="0"/>
    <n v="1.111E-3"/>
    <n v="0"/>
    <n v="0"/>
    <n v="0"/>
  </r>
  <r>
    <x v="52"/>
    <n v="1"/>
    <n v="199"/>
    <n v="3.5200000000000002E-2"/>
    <n v="7"/>
    <n v="0"/>
    <n v="0.1"/>
    <n v="0"/>
    <n v="0"/>
    <n v="0"/>
  </r>
  <r>
    <x v="52"/>
    <n v="1"/>
    <n v="21"/>
    <n v="0.1429"/>
    <n v="3"/>
    <n v="0"/>
    <n v="0.08"/>
    <n v="0"/>
    <n v="0"/>
    <n v="0"/>
  </r>
  <r>
    <x v="52"/>
    <n v="1"/>
    <n v="260"/>
    <n v="3.0800000000000001E-2"/>
    <n v="8"/>
    <n v="1"/>
    <n v="9.3000000000000013E-2"/>
    <n v="0.35"/>
    <n v="2.8"/>
    <n v="2.8"/>
  </r>
  <r>
    <x v="52"/>
    <n v="1"/>
    <n v="285"/>
    <n v="2.81E-2"/>
    <n v="8"/>
    <n v="1"/>
    <n v="12.5"/>
    <n v="1.03"/>
    <n v="8.24"/>
    <n v="8.24"/>
  </r>
  <r>
    <x v="52"/>
    <n v="1"/>
    <n v="3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0"/>
    <n v="1"/>
    <n v="0"/>
    <n v="0"/>
    <n v="0"/>
    <n v="0"/>
    <n v="0"/>
    <n v="0"/>
    <n v="0"/>
    <n v="0"/>
  </r>
  <r>
    <x v="91"/>
    <n v="1"/>
    <n v="0"/>
    <n v="0"/>
    <n v="0"/>
    <n v="0"/>
    <n v="0"/>
    <n v="0"/>
    <n v="0"/>
    <n v="0"/>
  </r>
  <r>
    <x v="91"/>
    <n v="1"/>
    <n v="0"/>
    <n v="0"/>
    <n v="0"/>
    <n v="0"/>
    <n v="0"/>
    <n v="0"/>
    <n v="0"/>
    <n v="0"/>
  </r>
  <r>
    <x v="91"/>
    <n v="1"/>
    <n v="0"/>
    <n v="0"/>
    <n v="0"/>
    <n v="0"/>
    <n v="0"/>
    <n v="0"/>
    <n v="0"/>
    <n v="0"/>
  </r>
  <r>
    <x v="91"/>
    <n v="1"/>
    <n v="0"/>
    <n v="0"/>
    <n v="0"/>
    <n v="0"/>
    <n v="0"/>
    <n v="0"/>
    <n v="0"/>
    <n v="0"/>
  </r>
  <r>
    <x v="91"/>
    <n v="1"/>
    <n v="0"/>
    <n v="0"/>
    <n v="0"/>
    <n v="0"/>
    <n v="0"/>
    <n v="0"/>
    <n v="0"/>
    <n v="0"/>
  </r>
  <r>
    <x v="91"/>
    <n v="1"/>
    <n v="0"/>
    <n v="0"/>
    <n v="0"/>
    <n v="0"/>
    <n v="0"/>
    <n v="0"/>
    <n v="0"/>
    <n v="0"/>
  </r>
  <r>
    <x v="92"/>
    <n v="1"/>
    <n v="0"/>
    <n v="0"/>
    <n v="0"/>
    <n v="0"/>
    <n v="0"/>
    <n v="0"/>
    <n v="0"/>
    <n v="0"/>
  </r>
  <r>
    <x v="92"/>
    <n v="1"/>
    <n v="0"/>
    <n v="0"/>
    <n v="0"/>
    <n v="0"/>
    <n v="0"/>
    <n v="0"/>
    <n v="0"/>
    <n v="0"/>
  </r>
  <r>
    <x v="93"/>
    <n v="1"/>
    <n v="0"/>
    <n v="0"/>
    <n v="0"/>
    <n v="0"/>
    <n v="0"/>
    <n v="0"/>
    <n v="0"/>
    <n v="0"/>
  </r>
  <r>
    <x v="93"/>
    <n v="1"/>
    <n v="0"/>
    <n v="0"/>
    <n v="0"/>
    <n v="0"/>
    <n v="0"/>
    <n v="0"/>
    <n v="0"/>
    <n v="0"/>
  </r>
  <r>
    <x v="93"/>
    <n v="1"/>
    <n v="0"/>
    <n v="0"/>
    <n v="0"/>
    <n v="0"/>
    <n v="0"/>
    <n v="0"/>
    <n v="0"/>
    <n v="0"/>
  </r>
  <r>
    <x v="93"/>
    <n v="1"/>
    <n v="0"/>
    <n v="0"/>
    <n v="0"/>
    <n v="0"/>
    <n v="0"/>
    <n v="0"/>
    <n v="0"/>
    <n v="0"/>
  </r>
  <r>
    <x v="93"/>
    <n v="1"/>
    <n v="0"/>
    <n v="0"/>
    <n v="0"/>
    <n v="0"/>
    <n v="0"/>
    <n v="0"/>
    <n v="0"/>
    <n v="0"/>
  </r>
  <r>
    <x v="93"/>
    <n v="1"/>
    <n v="0"/>
    <n v="0"/>
    <n v="0"/>
    <n v="0"/>
    <n v="0"/>
    <n v="0"/>
    <n v="0"/>
    <n v="0"/>
  </r>
  <r>
    <x v="93"/>
    <n v="1"/>
    <n v="0"/>
    <n v="0"/>
    <n v="0"/>
    <n v="0"/>
    <n v="0"/>
    <n v="0"/>
    <n v="0"/>
    <n v="0"/>
  </r>
  <r>
    <x v="93"/>
    <n v="1"/>
    <n v="0"/>
    <n v="0"/>
    <n v="0"/>
    <n v="0"/>
    <n v="0"/>
    <n v="0"/>
    <n v="0"/>
    <n v="0"/>
  </r>
  <r>
    <x v="93"/>
    <n v="1"/>
    <n v="0"/>
    <n v="0"/>
    <n v="0"/>
    <n v="0"/>
    <n v="0"/>
    <n v="0"/>
    <n v="0"/>
    <n v="0"/>
  </r>
  <r>
    <x v="93"/>
    <n v="1"/>
    <n v="0"/>
    <n v="0"/>
    <n v="0"/>
    <n v="0"/>
    <n v="0"/>
    <n v="0"/>
    <n v="0"/>
    <n v="0"/>
  </r>
  <r>
    <x v="93"/>
    <n v="1"/>
    <n v="0"/>
    <n v="0"/>
    <n v="0"/>
    <n v="0"/>
    <n v="0"/>
    <n v="0"/>
    <n v="0"/>
    <n v="0"/>
  </r>
  <r>
    <x v="93"/>
    <n v="1"/>
    <n v="125"/>
    <n v="0"/>
    <n v="0"/>
    <n v="0"/>
    <n v="1E-3"/>
    <n v="0"/>
    <n v="0"/>
    <n v="0"/>
  </r>
  <r>
    <x v="94"/>
    <n v="1"/>
    <n v="0"/>
    <n v="0"/>
    <n v="0"/>
    <n v="0"/>
    <n v="0"/>
    <n v="0"/>
    <n v="0"/>
    <n v="0"/>
  </r>
  <r>
    <x v="94"/>
    <n v="1"/>
    <n v="0"/>
    <n v="0"/>
    <n v="0"/>
    <n v="0"/>
    <n v="0"/>
    <n v="0"/>
    <n v="0"/>
    <n v="0"/>
  </r>
  <r>
    <x v="94"/>
    <n v="1"/>
    <n v="0"/>
    <n v="0"/>
    <n v="0"/>
    <n v="0"/>
    <n v="0"/>
    <n v="0"/>
    <n v="0"/>
    <n v="0"/>
  </r>
  <r>
    <x v="94"/>
    <n v="1"/>
    <n v="0"/>
    <n v="0"/>
    <n v="0"/>
    <n v="0"/>
    <n v="0"/>
    <n v="0"/>
    <n v="0"/>
    <n v="0"/>
  </r>
  <r>
    <x v="94"/>
    <n v="1"/>
    <n v="0"/>
    <n v="0"/>
    <n v="0"/>
    <n v="0"/>
    <n v="0"/>
    <n v="0"/>
    <n v="0"/>
    <n v="0"/>
  </r>
  <r>
    <x v="94"/>
    <n v="1"/>
    <n v="0"/>
    <n v="0"/>
    <n v="0"/>
    <n v="0"/>
    <n v="0"/>
    <n v="0"/>
    <n v="0"/>
    <n v="0"/>
  </r>
  <r>
    <x v="94"/>
    <n v="1"/>
    <n v="0"/>
    <n v="0"/>
    <n v="0"/>
    <n v="0"/>
    <n v="0"/>
    <n v="0"/>
    <n v="0"/>
    <n v="0"/>
  </r>
  <r>
    <x v="94"/>
    <n v="1"/>
    <n v="0"/>
    <n v="0"/>
    <n v="0"/>
    <n v="0"/>
    <n v="0"/>
    <n v="0"/>
    <n v="0"/>
    <n v="0"/>
  </r>
  <r>
    <x v="94"/>
    <n v="1"/>
    <n v="0"/>
    <n v="0"/>
    <n v="0"/>
    <n v="0"/>
    <n v="0"/>
    <n v="0"/>
    <n v="0"/>
    <n v="0"/>
  </r>
  <r>
    <x v="94"/>
    <n v="1"/>
    <n v="204"/>
    <n v="1.47E-2"/>
    <n v="3"/>
    <n v="0"/>
    <n v="0.11109999999999999"/>
    <n v="0"/>
    <n v="0"/>
    <n v="0"/>
  </r>
  <r>
    <x v="94"/>
    <n v="1"/>
    <n v="277"/>
    <n v="1.8100000000000002E-2"/>
    <n v="5"/>
    <n v="0"/>
    <n v="0.2"/>
    <n v="0"/>
    <n v="0"/>
    <n v="0"/>
  </r>
  <r>
    <x v="94"/>
    <n v="1"/>
    <n v="0"/>
    <n v="0"/>
    <n v="0"/>
    <n v="0"/>
    <n v="0"/>
    <n v="0"/>
    <n v="0"/>
    <n v="0"/>
  </r>
  <r>
    <x v="94"/>
    <n v="1"/>
    <n v="0"/>
    <n v="0"/>
    <n v="0"/>
    <n v="0"/>
    <n v="0"/>
    <n v="0"/>
    <n v="0"/>
    <n v="0"/>
  </r>
  <r>
    <x v="94"/>
    <n v="1"/>
    <n v="0"/>
    <n v="0"/>
    <n v="0"/>
    <n v="0"/>
    <n v="0"/>
    <n v="0"/>
    <n v="0"/>
    <n v="0"/>
  </r>
  <r>
    <x v="94"/>
    <n v="1"/>
    <n v="0"/>
    <n v="0"/>
    <n v="0"/>
    <n v="0"/>
    <n v="0"/>
    <n v="0"/>
    <n v="0"/>
    <n v="0"/>
  </r>
  <r>
    <x v="94"/>
    <n v="1"/>
    <n v="0"/>
    <n v="0"/>
    <n v="0"/>
    <n v="0"/>
    <n v="0"/>
    <n v="0"/>
    <n v="0"/>
    <n v="0"/>
  </r>
  <r>
    <x v="94"/>
    <n v="1"/>
    <n v="0"/>
    <n v="0"/>
    <n v="0"/>
    <n v="0"/>
    <n v="0"/>
    <n v="0"/>
    <n v="0"/>
    <n v="0"/>
  </r>
  <r>
    <x v="94"/>
    <n v="1"/>
    <n v="83"/>
    <n v="7.2300000000000003E-2"/>
    <n v="6"/>
    <n v="1"/>
    <n v="16.670000000000002"/>
    <n v="2.58"/>
    <n v="15.47"/>
    <n v="15.47"/>
  </r>
  <r>
    <x v="95"/>
    <n v="1"/>
    <n v="0"/>
    <n v="0"/>
    <n v="0"/>
    <n v="0"/>
    <n v="0"/>
    <n v="0"/>
    <n v="0"/>
    <n v="0"/>
  </r>
  <r>
    <x v="95"/>
    <n v="1"/>
    <n v="0"/>
    <n v="0"/>
    <n v="0"/>
    <n v="0"/>
    <n v="0"/>
    <n v="0"/>
    <n v="0"/>
    <n v="0"/>
  </r>
  <r>
    <x v="95"/>
    <n v="1"/>
    <n v="94"/>
    <n v="3.1899999999999998E-2"/>
    <n v="3"/>
    <n v="0"/>
    <n v="0"/>
    <n v="0"/>
    <n v="0"/>
    <n v="0"/>
  </r>
  <r>
    <x v="95"/>
    <n v="1"/>
    <n v="0"/>
    <n v="0"/>
    <n v="0"/>
    <n v="0"/>
    <n v="0"/>
    <n v="0"/>
    <n v="0"/>
    <n v="0"/>
  </r>
  <r>
    <x v="95"/>
    <n v="1"/>
    <n v="0"/>
    <n v="0"/>
    <n v="0"/>
    <n v="0"/>
    <n v="0"/>
    <n v="0"/>
    <n v="0"/>
    <n v="0"/>
  </r>
  <r>
    <x v="95"/>
    <n v="1"/>
    <n v="0"/>
    <n v="0"/>
    <n v="0"/>
    <n v="0"/>
    <n v="0"/>
    <n v="0"/>
    <n v="0"/>
    <n v="0"/>
  </r>
  <r>
    <x v="95"/>
    <n v="1"/>
    <n v="0"/>
    <n v="0"/>
    <n v="0"/>
    <n v="0"/>
    <n v="0"/>
    <n v="0"/>
    <n v="0"/>
    <n v="0"/>
  </r>
  <r>
    <x v="95"/>
    <n v="1"/>
    <n v="0"/>
    <n v="0"/>
    <n v="0"/>
    <n v="0"/>
    <n v="0"/>
    <n v="0"/>
    <n v="0"/>
    <n v="0"/>
  </r>
  <r>
    <x v="95"/>
    <n v="1"/>
    <n v="0"/>
    <n v="0"/>
    <n v="0"/>
    <n v="0"/>
    <n v="0"/>
    <n v="0"/>
    <n v="0"/>
    <n v="0"/>
  </r>
  <r>
    <x v="95"/>
    <n v="1"/>
    <n v="103"/>
    <n v="0"/>
    <n v="0"/>
    <n v="0"/>
    <n v="0"/>
    <n v="0"/>
    <n v="0"/>
    <n v="0"/>
  </r>
  <r>
    <x v="96"/>
    <n v="1"/>
    <n v="0"/>
    <n v="0"/>
    <n v="0"/>
    <n v="0"/>
    <n v="0"/>
    <n v="0"/>
    <n v="0"/>
    <n v="0"/>
  </r>
  <r>
    <x v="96"/>
    <n v="1"/>
    <n v="0"/>
    <n v="0"/>
    <n v="0"/>
    <n v="0"/>
    <n v="0"/>
    <n v="0"/>
    <n v="0"/>
    <n v="0"/>
  </r>
  <r>
    <x v="96"/>
    <n v="1"/>
    <n v="0"/>
    <n v="0"/>
    <n v="0"/>
    <n v="0"/>
    <n v="0"/>
    <n v="0"/>
    <n v="0"/>
    <n v="0"/>
  </r>
  <r>
    <x v="96"/>
    <n v="1"/>
    <n v="469"/>
    <n v="2.7699999999999999E-2"/>
    <n v="13"/>
    <n v="1"/>
    <n v="7.69"/>
    <n v="0.08"/>
    <n v="1.05"/>
    <n v="1.05"/>
  </r>
  <r>
    <x v="96"/>
    <n v="1"/>
    <n v="60"/>
    <n v="0.1167"/>
    <n v="7"/>
    <n v="0"/>
    <n v="0"/>
    <n v="0"/>
    <n v="0"/>
    <n v="0"/>
  </r>
  <r>
    <x v="97"/>
    <n v="1"/>
    <n v="0"/>
    <n v="0"/>
    <n v="0"/>
    <n v="0"/>
    <n v="0"/>
    <n v="0"/>
    <n v="0"/>
    <n v="0"/>
  </r>
  <r>
    <x v="97"/>
    <n v="1"/>
    <n v="0"/>
    <n v="0"/>
    <n v="0"/>
    <n v="0"/>
    <n v="0"/>
    <n v="0"/>
    <n v="0"/>
    <n v="0"/>
  </r>
  <r>
    <x v="89"/>
    <n v="1"/>
    <n v="0"/>
    <n v="0"/>
    <n v="0"/>
    <n v="0"/>
    <n v="0"/>
    <n v="0"/>
    <n v="0"/>
    <n v="0"/>
  </r>
  <r>
    <x v="89"/>
    <n v="1"/>
    <n v="0"/>
    <n v="0"/>
    <n v="0"/>
    <n v="0"/>
    <n v="0"/>
    <n v="0"/>
    <n v="0"/>
    <n v="0"/>
  </r>
  <r>
    <x v="89"/>
    <n v="1"/>
    <n v="0"/>
    <n v="0"/>
    <n v="0"/>
    <n v="0"/>
    <n v="0"/>
    <n v="0"/>
    <n v="0"/>
    <n v="0"/>
  </r>
  <r>
    <x v="89"/>
    <n v="1"/>
    <n v="0"/>
    <n v="0"/>
    <n v="0"/>
    <n v="0"/>
    <n v="0"/>
    <n v="0"/>
    <n v="0"/>
    <n v="0"/>
  </r>
  <r>
    <x v="89"/>
    <n v="1"/>
    <n v="0"/>
    <n v="0"/>
    <n v="0"/>
    <n v="0"/>
    <n v="0"/>
    <n v="0"/>
    <n v="0"/>
    <n v="0"/>
  </r>
  <r>
    <x v="89"/>
    <n v="1"/>
    <n v="0"/>
    <n v="0"/>
    <n v="0"/>
    <n v="0"/>
    <n v="0"/>
    <n v="0"/>
    <n v="0"/>
    <n v="0"/>
  </r>
  <r>
    <x v="89"/>
    <n v="1"/>
    <n v="121"/>
    <n v="4.1299999999999996E-2"/>
    <n v="5"/>
    <n v="0"/>
    <n v="1.4289999999999999E-3"/>
    <n v="0"/>
    <n v="0"/>
    <n v="0"/>
  </r>
  <r>
    <x v="89"/>
    <n v="1"/>
    <n v="144"/>
    <n v="6.8999999999999999E-3"/>
    <n v="1"/>
    <n v="0"/>
    <n v="6.6699999999999995E-4"/>
    <n v="0"/>
    <n v="0"/>
    <n v="0"/>
  </r>
  <r>
    <x v="89"/>
    <n v="1"/>
    <n v="159"/>
    <n v="3.1400000000000004E-2"/>
    <n v="5"/>
    <n v="0"/>
    <n v="8.0000000000000004E-4"/>
    <n v="0"/>
    <n v="0"/>
    <n v="0"/>
  </r>
  <r>
    <x v="89"/>
    <n v="1"/>
    <n v="274"/>
    <n v="1.46E-2"/>
    <n v="4"/>
    <n v="1"/>
    <n v="0.25"/>
    <n v="0"/>
    <n v="0"/>
    <n v="0"/>
  </r>
  <r>
    <x v="89"/>
    <n v="1"/>
    <n v="0"/>
    <n v="0"/>
    <n v="0"/>
    <n v="0"/>
    <n v="0"/>
    <n v="0"/>
    <n v="0"/>
    <n v="0"/>
  </r>
  <r>
    <x v="89"/>
    <n v="1"/>
    <n v="0"/>
    <n v="0"/>
    <n v="0"/>
    <n v="0"/>
    <n v="0"/>
    <n v="0"/>
    <n v="0"/>
    <n v="0"/>
  </r>
  <r>
    <x v="89"/>
    <n v="1"/>
    <n v="81"/>
    <n v="4.9400000000000006E-2"/>
    <n v="4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4474A-D8EA-4A57-A683-05122D326220}" name="Draaitabel1" cacheId="1786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B2:K101" firstHeaderRow="0" firstDataRow="1" firstDataCol="1"/>
  <pivotFields count="10">
    <pivotField axis="axisRow" showAll="0" sortType="ascending">
      <items count="157">
        <item x="0"/>
        <item x="1"/>
        <item m="1" x="98"/>
        <item m="1" x="112"/>
        <item m="1" x="113"/>
        <item m="1" x="99"/>
        <item m="1" x="114"/>
        <item m="1" x="115"/>
        <item m="1" x="116"/>
        <item x="4"/>
        <item x="5"/>
        <item x="6"/>
        <item m="1" x="117"/>
        <item x="7"/>
        <item m="1" x="118"/>
        <item x="3"/>
        <item m="1" x="119"/>
        <item x="8"/>
        <item m="1" x="120"/>
        <item m="1" x="121"/>
        <item x="9"/>
        <item x="10"/>
        <item x="11"/>
        <item x="12"/>
        <item x="13"/>
        <item x="14"/>
        <item x="15"/>
        <item x="16"/>
        <item x="17"/>
        <item m="1" x="122"/>
        <item x="18"/>
        <item x="19"/>
        <item x="20"/>
        <item x="21"/>
        <item x="22"/>
        <item x="23"/>
        <item m="1" x="123"/>
        <item x="24"/>
        <item x="25"/>
        <item m="1" x="154"/>
        <item m="1" x="124"/>
        <item m="1" x="125"/>
        <item x="26"/>
        <item x="27"/>
        <item x="28"/>
        <item x="29"/>
        <item x="30"/>
        <item x="31"/>
        <item x="32"/>
        <item m="1" x="126"/>
        <item x="33"/>
        <item x="34"/>
        <item x="35"/>
        <item x="36"/>
        <item m="1" x="127"/>
        <item x="37"/>
        <item m="1" x="128"/>
        <item x="38"/>
        <item m="1" x="100"/>
        <item m="1" x="101"/>
        <item m="1" x="102"/>
        <item x="39"/>
        <item x="40"/>
        <item m="1" x="129"/>
        <item x="42"/>
        <item x="43"/>
        <item x="44"/>
        <item x="45"/>
        <item x="2"/>
        <item x="46"/>
        <item m="1" x="130"/>
        <item x="47"/>
        <item x="48"/>
        <item x="49"/>
        <item x="50"/>
        <item m="1" x="103"/>
        <item m="1" x="104"/>
        <item m="1" x="105"/>
        <item x="53"/>
        <item x="54"/>
        <item x="55"/>
        <item m="1" x="152"/>
        <item x="56"/>
        <item m="1" x="131"/>
        <item x="57"/>
        <item x="58"/>
        <item x="59"/>
        <item x="60"/>
        <item x="61"/>
        <item x="41"/>
        <item m="1" x="132"/>
        <item m="1" x="133"/>
        <item x="63"/>
        <item x="64"/>
        <item x="65"/>
        <item m="1" x="134"/>
        <item m="1" x="135"/>
        <item m="1" x="136"/>
        <item x="62"/>
        <item x="66"/>
        <item m="1" x="137"/>
        <item m="1" x="106"/>
        <item x="51"/>
        <item x="68"/>
        <item m="1" x="107"/>
        <item m="1" x="108"/>
        <item m="1" x="138"/>
        <item m="1" x="139"/>
        <item x="69"/>
        <item x="67"/>
        <item m="1" x="140"/>
        <item m="1" x="141"/>
        <item m="1" x="109"/>
        <item m="1" x="110"/>
        <item x="72"/>
        <item x="73"/>
        <item x="74"/>
        <item x="75"/>
        <item x="76"/>
        <item x="77"/>
        <item x="78"/>
        <item x="79"/>
        <item m="1" x="142"/>
        <item m="1" x="151"/>
        <item m="1" x="153"/>
        <item x="80"/>
        <item x="70"/>
        <item x="81"/>
        <item m="1" x="143"/>
        <item m="1" x="144"/>
        <item x="82"/>
        <item m="1" x="145"/>
        <item x="83"/>
        <item x="84"/>
        <item x="85"/>
        <item x="71"/>
        <item x="86"/>
        <item x="87"/>
        <item x="88"/>
        <item x="89"/>
        <item x="52"/>
        <item x="90"/>
        <item x="91"/>
        <item x="92"/>
        <item x="93"/>
        <item m="1" x="146"/>
        <item x="94"/>
        <item x="95"/>
        <item m="1" x="147"/>
        <item m="1" x="155"/>
        <item x="96"/>
        <item x="97"/>
        <item m="1" x="111"/>
        <item m="1" x="148"/>
        <item m="1" x="149"/>
        <item m="1" x="150"/>
        <item t="default"/>
      </items>
    </pivotField>
    <pivotField dataField="1" showAll="0"/>
    <pivotField dataField="1" showAll="0"/>
    <pivotField dataField="1" numFmtId="9" showAll="0"/>
    <pivotField dataField="1" showAll="0"/>
    <pivotField dataField="1" showAll="0"/>
    <pivotField dataField="1" showAll="0"/>
    <pivotField dataField="1" showAll="0"/>
    <pivotField dataField="1" showAll="0"/>
    <pivotField dataField="1" numFmtId="8" showAll="0"/>
  </pivotFields>
  <rowFields count="1">
    <field x="0"/>
  </rowFields>
  <rowItems count="99">
    <i>
      <x/>
    </i>
    <i>
      <x v="1"/>
    </i>
    <i>
      <x v="9"/>
    </i>
    <i>
      <x v="10"/>
    </i>
    <i>
      <x v="11"/>
    </i>
    <i>
      <x v="13"/>
    </i>
    <i>
      <x v="15"/>
    </i>
    <i>
      <x v="17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5"/>
    </i>
    <i>
      <x v="57"/>
    </i>
    <i>
      <x v="61"/>
    </i>
    <i>
      <x v="62"/>
    </i>
    <i>
      <x v="64"/>
    </i>
    <i>
      <x v="65"/>
    </i>
    <i>
      <x v="66"/>
    </i>
    <i>
      <x v="67"/>
    </i>
    <i>
      <x v="68"/>
    </i>
    <i>
      <x v="69"/>
    </i>
    <i>
      <x v="71"/>
    </i>
    <i>
      <x v="72"/>
    </i>
    <i>
      <x v="73"/>
    </i>
    <i>
      <x v="74"/>
    </i>
    <i>
      <x v="78"/>
    </i>
    <i>
      <x v="79"/>
    </i>
    <i>
      <x v="80"/>
    </i>
    <i>
      <x v="82"/>
    </i>
    <i>
      <x v="84"/>
    </i>
    <i>
      <x v="85"/>
    </i>
    <i>
      <x v="86"/>
    </i>
    <i>
      <x v="87"/>
    </i>
    <i>
      <x v="88"/>
    </i>
    <i>
      <x v="89"/>
    </i>
    <i>
      <x v="92"/>
    </i>
    <i>
      <x v="93"/>
    </i>
    <i>
      <x v="94"/>
    </i>
    <i>
      <x v="98"/>
    </i>
    <i>
      <x v="99"/>
    </i>
    <i>
      <x v="102"/>
    </i>
    <i>
      <x v="103"/>
    </i>
    <i>
      <x v="108"/>
    </i>
    <i>
      <x v="109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5"/>
    </i>
    <i>
      <x v="126"/>
    </i>
    <i>
      <x v="127"/>
    </i>
    <i>
      <x v="130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6"/>
    </i>
    <i>
      <x v="147"/>
    </i>
    <i>
      <x v="150"/>
    </i>
    <i>
      <x v="15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om van Aantal vacatures" fld="1" baseField="0" baseItem="0"/>
    <dataField name="Som van Impressions (sponsored)" fld="2" baseField="0" baseItem="0"/>
    <dataField name="Som van Clicks (sponsored)" fld="4" baseField="0" baseItem="0"/>
    <dataField name="Gemiddelde van Click through rate (sponsored)" fld="3" subtotal="average" baseField="0" baseItem="0" numFmtId="9"/>
    <dataField name="Gemiddelde van Cost per click" fld="7" subtotal="average" baseField="0" baseItem="0"/>
    <dataField name="Som van Started applications (sponsored)" fld="5" baseField="0" baseItem="0"/>
    <dataField name="Gemiddelde van Application start rate (sponsored)" fld="6" subtotal="average" baseField="0" baseItem="0"/>
    <dataField name="Gemiddelde van Cost per started application" fld="8" subtotal="average" baseField="0" baseItem="0"/>
    <dataField name="Som van Total cost" fld="9" baseField="0" baseItem="0" numFmtId="8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DBB4A-A413-4AB5-883A-C31E59A3734F}" name="Tabel1" displayName="Tabel1" ref="A1:M100" totalsRowCount="1" headerRowDxfId="15">
  <autoFilter ref="A1:M99" xr:uid="{C3EDBB4A-A413-4AB5-883A-C31E59A3734F}"/>
  <sortState xmlns:xlrd2="http://schemas.microsoft.com/office/spreadsheetml/2017/richdata2" ref="A2:M99">
    <sortCondition descending="1" ref="L1:L99"/>
  </sortState>
  <tableColumns count="13">
    <tableColumn id="1" xr3:uid="{2EE68AF9-06B8-404C-B31E-35046EDE0FC1}" name="Vacature" totalsRowLabel="Totaal" dataDxfId="13" totalsRowDxfId="14"/>
    <tableColumn id="2" xr3:uid="{53E35522-2174-48D6-A1B2-6D68EE1E0477}" name="Aantal vacatures" dataDxfId="12"/>
    <tableColumn id="3" xr3:uid="{331D6E99-ECA0-42F6-B097-A9BF1E59E6CC}" name="Som van Impressions" dataDxfId="11"/>
    <tableColumn id="4" xr3:uid="{40707C0F-8742-4F18-82C1-195E51875227}" name="Som van Clicks" dataDxfId="10"/>
    <tableColumn id="5" xr3:uid="{7815FED0-6E2A-40AE-96F2-C0CA0B225462}" name="Gemiddelde van Click through rate" dataDxfId="9"/>
    <tableColumn id="6" xr3:uid="{66EDE455-C2CD-4885-8BDD-35AED6DC3CD6}" name="Gemiddelde van Cost per click" dataDxfId="8"/>
    <tableColumn id="7" xr3:uid="{9877CB85-77BE-4E3B-9D08-5CB6747AC4A1}" name="Som van Started applications" dataDxfId="7"/>
    <tableColumn id="8" xr3:uid="{A8C72E7E-5A51-4ECB-AD51-2550BF98C099}" name="Gemiddelde van Application start rate" dataDxfId="6"/>
    <tableColumn id="9" xr3:uid="{F430A7D5-CB91-4B78-BA6E-3FEEC3D82723}" name="Gemiddelde van Cost per started application" dataDxfId="5"/>
    <tableColumn id="10" xr3:uid="{71E39DEE-EF9D-4BB9-933B-40FC4A21B2F7}" name="Total Cost" totalsRowFunction="sum" dataDxfId="3" totalsRowDxfId="4"/>
    <tableColumn id="13" xr3:uid="{4629CED7-7F9C-48E6-B69C-FE9BC1CB709B}" name="Conversies" dataDxfId="2"/>
    <tableColumn id="14" xr3:uid="{AF6F2DA6-9749-4E97-B27B-B7828707310E}" name="Conversie per vacature" dataDxfId="1">
      <calculatedColumnFormula>Tabel1[[#This Row],[Conversies]]/Tabel1[[#This Row],[Aantal vacatures]]</calculatedColumnFormula>
    </tableColumn>
    <tableColumn id="16" xr3:uid="{1EB80E40-D669-46D4-A0D4-5CA0CF26075D}" name="CPA Totaa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0"/>
  <sheetViews>
    <sheetView topLeftCell="B1" zoomScaleNormal="100" workbookViewId="0">
      <selection sqref="A1:J1"/>
    </sheetView>
  </sheetViews>
  <sheetFormatPr defaultRowHeight="15.6"/>
  <cols>
    <col min="1" max="1" width="46" bestFit="1" customWidth="1"/>
    <col min="2" max="2" width="17.5" bestFit="1" customWidth="1"/>
    <col min="3" max="3" width="24" bestFit="1" customWidth="1"/>
    <col min="4" max="4" width="29.5" bestFit="1" customWidth="1"/>
    <col min="5" max="5" width="18.375" bestFit="1" customWidth="1"/>
    <col min="6" max="6" width="31.375" bestFit="1" customWidth="1"/>
    <col min="7" max="7" width="32.625" style="3" bestFit="1" customWidth="1"/>
    <col min="8" max="8" width="15.375" style="10" bestFit="1" customWidth="1"/>
    <col min="9" max="9" width="28.25" style="10" bestFit="1" customWidth="1"/>
    <col min="10" max="10" width="11.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1" t="s">
        <v>7</v>
      </c>
      <c r="I1" s="11" t="s">
        <v>8</v>
      </c>
      <c r="J1" s="1" t="s">
        <v>9</v>
      </c>
    </row>
    <row r="2" spans="1:10">
      <c r="A2" t="s">
        <v>10</v>
      </c>
      <c r="B2">
        <v>1</v>
      </c>
      <c r="C2">
        <v>0</v>
      </c>
      <c r="D2" s="3">
        <v>0</v>
      </c>
      <c r="E2">
        <v>0</v>
      </c>
      <c r="F2">
        <v>0</v>
      </c>
      <c r="G2" s="3">
        <v>0</v>
      </c>
      <c r="H2" s="10">
        <v>0</v>
      </c>
      <c r="I2" s="10">
        <v>0</v>
      </c>
      <c r="J2" s="6">
        <v>0</v>
      </c>
    </row>
    <row r="3" spans="1:10">
      <c r="A3" t="s">
        <v>10</v>
      </c>
      <c r="B3">
        <v>1</v>
      </c>
      <c r="C3">
        <v>64</v>
      </c>
      <c r="D3" s="3">
        <v>0.125</v>
      </c>
      <c r="E3">
        <v>8</v>
      </c>
      <c r="F3">
        <v>2</v>
      </c>
      <c r="G3" s="3">
        <v>25</v>
      </c>
      <c r="H3" s="10">
        <v>0.46</v>
      </c>
      <c r="I3" s="10">
        <v>1.83</v>
      </c>
      <c r="J3" s="6">
        <v>3.66</v>
      </c>
    </row>
    <row r="4" spans="1:10">
      <c r="A4" t="s">
        <v>11</v>
      </c>
      <c r="B4">
        <v>1</v>
      </c>
      <c r="C4">
        <v>0</v>
      </c>
      <c r="D4" s="3">
        <v>0</v>
      </c>
      <c r="E4">
        <v>0</v>
      </c>
      <c r="F4">
        <v>0</v>
      </c>
      <c r="G4" s="3">
        <v>0</v>
      </c>
      <c r="H4" s="10">
        <v>0</v>
      </c>
      <c r="I4" s="10">
        <v>0</v>
      </c>
      <c r="J4" s="6">
        <v>0</v>
      </c>
    </row>
    <row r="5" spans="1:10">
      <c r="A5" t="s">
        <v>11</v>
      </c>
      <c r="B5">
        <v>1</v>
      </c>
      <c r="C5">
        <v>54</v>
      </c>
      <c r="D5" s="3">
        <v>0</v>
      </c>
      <c r="E5">
        <v>0</v>
      </c>
      <c r="F5">
        <v>0</v>
      </c>
      <c r="G5" s="3">
        <v>0</v>
      </c>
      <c r="H5" s="10">
        <v>0</v>
      </c>
      <c r="I5" s="10">
        <v>0</v>
      </c>
      <c r="J5" s="6">
        <v>0</v>
      </c>
    </row>
    <row r="6" spans="1:10">
      <c r="A6" t="s">
        <v>12</v>
      </c>
      <c r="B6">
        <v>1</v>
      </c>
      <c r="C6">
        <v>0</v>
      </c>
      <c r="D6" s="3">
        <v>0</v>
      </c>
      <c r="E6">
        <v>0</v>
      </c>
      <c r="F6">
        <v>0</v>
      </c>
      <c r="G6" s="3">
        <v>0</v>
      </c>
      <c r="H6" s="10">
        <v>0</v>
      </c>
      <c r="I6" s="10">
        <v>0</v>
      </c>
      <c r="J6" s="6">
        <v>0</v>
      </c>
    </row>
    <row r="7" spans="1:10">
      <c r="A7" t="s">
        <v>12</v>
      </c>
      <c r="B7">
        <v>1</v>
      </c>
      <c r="C7">
        <v>0</v>
      </c>
      <c r="D7" s="3">
        <v>0</v>
      </c>
      <c r="E7">
        <v>0</v>
      </c>
      <c r="F7">
        <v>0</v>
      </c>
      <c r="G7" s="3">
        <v>0</v>
      </c>
      <c r="H7" s="10">
        <v>0</v>
      </c>
      <c r="I7" s="10">
        <v>0</v>
      </c>
      <c r="J7" s="6">
        <v>0</v>
      </c>
    </row>
    <row r="8" spans="1:10">
      <c r="A8" t="s">
        <v>13</v>
      </c>
      <c r="B8">
        <v>1</v>
      </c>
      <c r="C8">
        <v>0</v>
      </c>
      <c r="D8" s="3">
        <v>0</v>
      </c>
      <c r="E8">
        <v>0</v>
      </c>
      <c r="F8">
        <v>0</v>
      </c>
      <c r="G8" s="3">
        <v>0</v>
      </c>
      <c r="H8" s="10">
        <v>0</v>
      </c>
      <c r="I8" s="10">
        <v>0</v>
      </c>
      <c r="J8" s="6">
        <v>0</v>
      </c>
    </row>
    <row r="9" spans="1:10">
      <c r="A9" t="s">
        <v>13</v>
      </c>
      <c r="B9">
        <v>1</v>
      </c>
      <c r="C9">
        <v>0</v>
      </c>
      <c r="D9" s="3">
        <v>0</v>
      </c>
      <c r="E9">
        <v>0</v>
      </c>
      <c r="F9">
        <v>0</v>
      </c>
      <c r="G9" s="3">
        <v>0</v>
      </c>
      <c r="H9" s="10">
        <v>0</v>
      </c>
      <c r="I9" s="10">
        <v>0</v>
      </c>
      <c r="J9" s="6">
        <v>0</v>
      </c>
    </row>
    <row r="10" spans="1:10">
      <c r="A10" t="s">
        <v>13</v>
      </c>
      <c r="B10">
        <v>1</v>
      </c>
      <c r="C10">
        <v>0</v>
      </c>
      <c r="D10" s="3">
        <v>0</v>
      </c>
      <c r="E10">
        <v>0</v>
      </c>
      <c r="F10">
        <v>0</v>
      </c>
      <c r="G10" s="3">
        <v>0</v>
      </c>
      <c r="H10" s="10">
        <v>0</v>
      </c>
      <c r="I10" s="10">
        <v>0</v>
      </c>
      <c r="J10" s="6">
        <v>0</v>
      </c>
    </row>
    <row r="11" spans="1:10">
      <c r="A11" t="s">
        <v>13</v>
      </c>
      <c r="B11">
        <v>1</v>
      </c>
      <c r="C11">
        <v>0</v>
      </c>
      <c r="D11" s="3">
        <v>0</v>
      </c>
      <c r="E11">
        <v>0</v>
      </c>
      <c r="F11">
        <v>0</v>
      </c>
      <c r="G11" s="3">
        <v>0</v>
      </c>
      <c r="H11" s="10">
        <v>0</v>
      </c>
      <c r="I11" s="10">
        <v>0</v>
      </c>
      <c r="J11" s="6">
        <v>0</v>
      </c>
    </row>
    <row r="12" spans="1:10">
      <c r="A12" t="s">
        <v>13</v>
      </c>
      <c r="B12">
        <v>1</v>
      </c>
      <c r="C12">
        <v>0</v>
      </c>
      <c r="D12" s="3">
        <v>0</v>
      </c>
      <c r="E12">
        <v>0</v>
      </c>
      <c r="F12">
        <v>0</v>
      </c>
      <c r="G12" s="3">
        <v>0</v>
      </c>
      <c r="H12" s="10">
        <v>0</v>
      </c>
      <c r="I12" s="10">
        <v>0</v>
      </c>
      <c r="J12" s="6">
        <v>0</v>
      </c>
    </row>
    <row r="13" spans="1:10">
      <c r="A13" t="s">
        <v>14</v>
      </c>
      <c r="B13">
        <v>1</v>
      </c>
      <c r="C13">
        <v>0</v>
      </c>
      <c r="D13" s="3">
        <v>0</v>
      </c>
      <c r="E13">
        <v>0</v>
      </c>
      <c r="F13">
        <v>0</v>
      </c>
      <c r="G13" s="3">
        <v>0</v>
      </c>
      <c r="H13" s="10">
        <v>0</v>
      </c>
      <c r="I13" s="10">
        <v>0</v>
      </c>
      <c r="J13" s="6">
        <v>0</v>
      </c>
    </row>
    <row r="14" spans="1:10">
      <c r="A14" t="s">
        <v>15</v>
      </c>
      <c r="B14">
        <v>1</v>
      </c>
      <c r="C14">
        <v>272</v>
      </c>
      <c r="D14" s="3">
        <v>4.7800000000000002E-2</v>
      </c>
      <c r="E14">
        <v>13</v>
      </c>
      <c r="F14">
        <v>3</v>
      </c>
      <c r="G14" s="3">
        <v>0.2</v>
      </c>
      <c r="H14" s="10">
        <v>2.0299999999999998</v>
      </c>
      <c r="I14" s="10">
        <v>8.81</v>
      </c>
      <c r="J14" s="6">
        <v>26.44</v>
      </c>
    </row>
    <row r="15" spans="1:10">
      <c r="A15" t="s">
        <v>16</v>
      </c>
      <c r="B15">
        <v>1</v>
      </c>
      <c r="C15">
        <v>0</v>
      </c>
      <c r="D15" s="3">
        <v>0</v>
      </c>
      <c r="E15">
        <v>0</v>
      </c>
      <c r="F15">
        <v>0</v>
      </c>
      <c r="G15" s="3">
        <v>0</v>
      </c>
      <c r="H15" s="10">
        <v>0</v>
      </c>
      <c r="I15" s="10">
        <v>0</v>
      </c>
      <c r="J15" s="6">
        <v>0</v>
      </c>
    </row>
    <row r="16" spans="1:10">
      <c r="A16" t="s">
        <v>16</v>
      </c>
      <c r="B16">
        <v>1</v>
      </c>
      <c r="C16">
        <v>0</v>
      </c>
      <c r="D16" s="3">
        <v>0</v>
      </c>
      <c r="E16">
        <v>0</v>
      </c>
      <c r="F16">
        <v>0</v>
      </c>
      <c r="G16" s="3">
        <v>0</v>
      </c>
      <c r="H16" s="10">
        <v>0</v>
      </c>
      <c r="I16" s="10">
        <v>0</v>
      </c>
      <c r="J16" s="6">
        <v>0</v>
      </c>
    </row>
    <row r="17" spans="1:10">
      <c r="A17" t="s">
        <v>16</v>
      </c>
      <c r="B17">
        <v>1</v>
      </c>
      <c r="C17">
        <v>0</v>
      </c>
      <c r="D17" s="3">
        <v>0</v>
      </c>
      <c r="E17">
        <v>0</v>
      </c>
      <c r="F17">
        <v>0</v>
      </c>
      <c r="G17" s="3">
        <v>0</v>
      </c>
      <c r="H17" s="10">
        <v>0</v>
      </c>
      <c r="I17" s="10">
        <v>0</v>
      </c>
      <c r="J17" s="6">
        <v>0</v>
      </c>
    </row>
    <row r="18" spans="1:10">
      <c r="A18" t="s">
        <v>16</v>
      </c>
      <c r="B18">
        <v>1</v>
      </c>
      <c r="C18">
        <v>0</v>
      </c>
      <c r="D18" s="3">
        <v>0</v>
      </c>
      <c r="E18">
        <v>0</v>
      </c>
      <c r="F18">
        <v>0</v>
      </c>
      <c r="G18" s="3">
        <v>0</v>
      </c>
      <c r="H18" s="10">
        <v>0</v>
      </c>
      <c r="I18" s="10">
        <v>0</v>
      </c>
      <c r="J18" s="6">
        <v>0</v>
      </c>
    </row>
    <row r="19" spans="1:10">
      <c r="A19" t="s">
        <v>16</v>
      </c>
      <c r="B19">
        <v>1</v>
      </c>
      <c r="C19">
        <v>0</v>
      </c>
      <c r="D19" s="3">
        <v>0</v>
      </c>
      <c r="E19">
        <v>0</v>
      </c>
      <c r="F19">
        <v>0</v>
      </c>
      <c r="G19" s="3">
        <v>0</v>
      </c>
      <c r="H19" s="10">
        <v>0</v>
      </c>
      <c r="I19" s="10">
        <v>0</v>
      </c>
      <c r="J19" s="6">
        <v>0</v>
      </c>
    </row>
    <row r="20" spans="1:10">
      <c r="A20" t="s">
        <v>16</v>
      </c>
      <c r="B20">
        <v>1</v>
      </c>
      <c r="C20">
        <v>0</v>
      </c>
      <c r="D20" s="3">
        <v>0</v>
      </c>
      <c r="E20">
        <v>0</v>
      </c>
      <c r="F20">
        <v>0</v>
      </c>
      <c r="G20" s="3">
        <v>0</v>
      </c>
      <c r="H20" s="10">
        <v>0</v>
      </c>
      <c r="I20" s="10">
        <v>0</v>
      </c>
      <c r="J20" s="6">
        <v>0</v>
      </c>
    </row>
    <row r="21" spans="1:10">
      <c r="A21" t="s">
        <v>16</v>
      </c>
      <c r="B21">
        <v>1</v>
      </c>
      <c r="C21">
        <v>0</v>
      </c>
      <c r="D21" s="3">
        <v>0</v>
      </c>
      <c r="E21">
        <v>0</v>
      </c>
      <c r="F21">
        <v>0</v>
      </c>
      <c r="G21" s="3">
        <v>0</v>
      </c>
      <c r="H21" s="10">
        <v>0</v>
      </c>
      <c r="I21" s="10">
        <v>0</v>
      </c>
      <c r="J21" s="6">
        <v>0</v>
      </c>
    </row>
    <row r="22" spans="1:10">
      <c r="A22" t="s">
        <v>16</v>
      </c>
      <c r="B22">
        <v>1</v>
      </c>
      <c r="C22">
        <v>0</v>
      </c>
      <c r="D22" s="3">
        <v>0</v>
      </c>
      <c r="E22">
        <v>0</v>
      </c>
      <c r="F22">
        <v>0</v>
      </c>
      <c r="G22" s="3">
        <v>0</v>
      </c>
      <c r="H22" s="10">
        <v>0</v>
      </c>
      <c r="I22" s="10">
        <v>0</v>
      </c>
      <c r="J22" s="6">
        <v>0</v>
      </c>
    </row>
    <row r="23" spans="1:10">
      <c r="A23" t="s">
        <v>16</v>
      </c>
      <c r="B23">
        <v>1</v>
      </c>
      <c r="C23">
        <v>0</v>
      </c>
      <c r="D23" s="3">
        <v>0</v>
      </c>
      <c r="E23">
        <v>0</v>
      </c>
      <c r="F23">
        <v>0</v>
      </c>
      <c r="G23" s="3">
        <v>0</v>
      </c>
      <c r="H23" s="10">
        <v>0</v>
      </c>
      <c r="I23" s="10">
        <v>0</v>
      </c>
      <c r="J23" s="6">
        <v>0</v>
      </c>
    </row>
    <row r="24" spans="1:10">
      <c r="A24" t="s">
        <v>16</v>
      </c>
      <c r="B24">
        <v>1</v>
      </c>
      <c r="C24">
        <v>0</v>
      </c>
      <c r="D24" s="3">
        <v>0</v>
      </c>
      <c r="E24">
        <v>0</v>
      </c>
      <c r="F24">
        <v>0</v>
      </c>
      <c r="G24" s="3">
        <v>0</v>
      </c>
      <c r="H24" s="10">
        <v>0</v>
      </c>
      <c r="I24" s="10">
        <v>0</v>
      </c>
      <c r="J24" s="6">
        <v>0</v>
      </c>
    </row>
    <row r="25" spans="1:10">
      <c r="A25" t="s">
        <v>16</v>
      </c>
      <c r="B25">
        <v>1</v>
      </c>
      <c r="C25">
        <v>0</v>
      </c>
      <c r="D25" s="3">
        <v>0</v>
      </c>
      <c r="E25">
        <v>0</v>
      </c>
      <c r="F25">
        <v>0</v>
      </c>
      <c r="G25" s="3">
        <v>0</v>
      </c>
      <c r="H25" s="10">
        <v>0</v>
      </c>
      <c r="I25" s="10">
        <v>0</v>
      </c>
      <c r="J25" s="6">
        <v>0</v>
      </c>
    </row>
    <row r="26" spans="1:10">
      <c r="A26" t="s">
        <v>16</v>
      </c>
      <c r="B26">
        <v>1</v>
      </c>
      <c r="C26">
        <v>0</v>
      </c>
      <c r="D26" s="3">
        <v>0</v>
      </c>
      <c r="E26">
        <v>0</v>
      </c>
      <c r="F26">
        <v>0</v>
      </c>
      <c r="G26" s="3">
        <v>0</v>
      </c>
      <c r="H26" s="10">
        <v>0</v>
      </c>
      <c r="I26" s="10">
        <v>0</v>
      </c>
      <c r="J26" s="6">
        <v>0</v>
      </c>
    </row>
    <row r="27" spans="1:10">
      <c r="A27" t="s">
        <v>16</v>
      </c>
      <c r="B27">
        <v>1</v>
      </c>
      <c r="C27">
        <v>0</v>
      </c>
      <c r="D27" s="3">
        <v>0</v>
      </c>
      <c r="E27">
        <v>0</v>
      </c>
      <c r="F27">
        <v>0</v>
      </c>
      <c r="G27" s="3">
        <v>0</v>
      </c>
      <c r="H27" s="10">
        <v>0</v>
      </c>
      <c r="I27" s="10">
        <v>0</v>
      </c>
      <c r="J27" s="6">
        <v>0</v>
      </c>
    </row>
    <row r="28" spans="1:10">
      <c r="A28" t="s">
        <v>16</v>
      </c>
      <c r="B28">
        <v>1</v>
      </c>
      <c r="C28">
        <v>0</v>
      </c>
      <c r="D28" s="3">
        <v>0</v>
      </c>
      <c r="E28">
        <v>0</v>
      </c>
      <c r="F28">
        <v>0</v>
      </c>
      <c r="G28" s="3">
        <v>0</v>
      </c>
      <c r="H28" s="10">
        <v>0</v>
      </c>
      <c r="I28" s="10">
        <v>0</v>
      </c>
      <c r="J28" s="6">
        <v>0</v>
      </c>
    </row>
    <row r="29" spans="1:10">
      <c r="A29" t="s">
        <v>16</v>
      </c>
      <c r="B29">
        <v>1</v>
      </c>
      <c r="C29">
        <v>0</v>
      </c>
      <c r="D29" s="3">
        <v>0</v>
      </c>
      <c r="E29">
        <v>0</v>
      </c>
      <c r="F29">
        <v>0</v>
      </c>
      <c r="G29" s="3">
        <v>0</v>
      </c>
      <c r="H29" s="10">
        <v>0</v>
      </c>
      <c r="I29" s="10">
        <v>0</v>
      </c>
      <c r="J29" s="6">
        <v>0</v>
      </c>
    </row>
    <row r="30" spans="1:10">
      <c r="A30" t="s">
        <v>16</v>
      </c>
      <c r="B30">
        <v>1</v>
      </c>
      <c r="C30">
        <v>135</v>
      </c>
      <c r="D30" s="3">
        <v>7.4099999999999999E-2</v>
      </c>
      <c r="E30">
        <v>10</v>
      </c>
      <c r="F30">
        <v>1</v>
      </c>
      <c r="G30" s="3">
        <v>1E-3</v>
      </c>
      <c r="H30" s="10">
        <v>1.1000000000000001</v>
      </c>
      <c r="I30" s="10">
        <v>10.95</v>
      </c>
      <c r="J30" s="6">
        <v>10.95</v>
      </c>
    </row>
    <row r="31" spans="1:10">
      <c r="A31" t="s">
        <v>16</v>
      </c>
      <c r="B31">
        <v>1</v>
      </c>
      <c r="C31">
        <v>144</v>
      </c>
      <c r="D31" s="3">
        <v>8.3299999999999999E-2</v>
      </c>
      <c r="E31">
        <v>12</v>
      </c>
      <c r="F31">
        <v>2</v>
      </c>
      <c r="G31" s="3">
        <v>7.139999999999999E-4</v>
      </c>
      <c r="H31" s="10">
        <v>1.79</v>
      </c>
      <c r="I31" s="10">
        <v>10.73</v>
      </c>
      <c r="J31" s="6">
        <v>21.45</v>
      </c>
    </row>
    <row r="32" spans="1:10">
      <c r="A32" t="s">
        <v>16</v>
      </c>
      <c r="B32">
        <v>1</v>
      </c>
      <c r="C32">
        <v>260</v>
      </c>
      <c r="D32" s="3">
        <v>6.54E-2</v>
      </c>
      <c r="E32">
        <v>17</v>
      </c>
      <c r="F32">
        <v>3</v>
      </c>
      <c r="G32" s="3">
        <v>7.3200000000000001E-2</v>
      </c>
      <c r="H32" s="10">
        <v>0.95</v>
      </c>
      <c r="I32" s="10">
        <v>5.36</v>
      </c>
      <c r="J32" s="6">
        <v>16.079999999999998</v>
      </c>
    </row>
    <row r="33" spans="1:10">
      <c r="A33" t="s">
        <v>16</v>
      </c>
      <c r="B33">
        <v>1</v>
      </c>
      <c r="C33">
        <v>284</v>
      </c>
      <c r="D33" s="3">
        <v>5.28E-2</v>
      </c>
      <c r="E33">
        <v>15</v>
      </c>
      <c r="F33">
        <v>1</v>
      </c>
      <c r="G33" s="3">
        <v>6.67</v>
      </c>
      <c r="H33" s="10">
        <v>0.28999999999999998</v>
      </c>
      <c r="I33" s="10">
        <v>4.33</v>
      </c>
      <c r="J33" s="6">
        <v>4.33</v>
      </c>
    </row>
    <row r="34" spans="1:10">
      <c r="A34" t="s">
        <v>16</v>
      </c>
      <c r="B34">
        <v>1</v>
      </c>
      <c r="C34">
        <v>377</v>
      </c>
      <c r="D34" s="3">
        <v>6.9000000000000006E-2</v>
      </c>
      <c r="E34">
        <v>26</v>
      </c>
      <c r="F34">
        <v>3</v>
      </c>
      <c r="G34" s="3">
        <v>11.54</v>
      </c>
      <c r="H34" s="10">
        <v>1.37</v>
      </c>
      <c r="I34" s="10">
        <v>11.85</v>
      </c>
      <c r="J34" s="6">
        <v>35.54</v>
      </c>
    </row>
    <row r="35" spans="1:10">
      <c r="A35" t="s">
        <v>16</v>
      </c>
      <c r="B35">
        <v>1</v>
      </c>
      <c r="C35">
        <v>205</v>
      </c>
      <c r="D35" s="3">
        <v>2.9300000000000003E-2</v>
      </c>
      <c r="E35">
        <v>6</v>
      </c>
      <c r="F35">
        <v>2</v>
      </c>
      <c r="G35" s="3">
        <v>7.4099999999999999E-2</v>
      </c>
      <c r="H35" s="10">
        <v>3.65</v>
      </c>
      <c r="I35" s="10">
        <v>10.94</v>
      </c>
      <c r="J35" s="6">
        <v>21.87</v>
      </c>
    </row>
    <row r="36" spans="1:10">
      <c r="A36" t="s">
        <v>17</v>
      </c>
      <c r="B36">
        <v>1</v>
      </c>
      <c r="C36">
        <v>307</v>
      </c>
      <c r="D36" s="3">
        <v>6.5099999999999991E-2</v>
      </c>
      <c r="E36">
        <v>20</v>
      </c>
      <c r="F36">
        <v>1</v>
      </c>
      <c r="G36" s="3">
        <v>5</v>
      </c>
      <c r="H36" s="10">
        <v>0.17</v>
      </c>
      <c r="I36" s="10">
        <v>3.34</v>
      </c>
      <c r="J36" s="6">
        <v>3.34</v>
      </c>
    </row>
    <row r="37" spans="1:10">
      <c r="A37" t="s">
        <v>17</v>
      </c>
      <c r="B37">
        <v>1</v>
      </c>
      <c r="C37">
        <v>331</v>
      </c>
      <c r="D37" s="3">
        <v>4.2300000000000004E-2</v>
      </c>
      <c r="E37">
        <v>14</v>
      </c>
      <c r="F37">
        <v>2</v>
      </c>
      <c r="G37" s="3">
        <v>14.29</v>
      </c>
      <c r="H37" s="10">
        <v>1.87</v>
      </c>
      <c r="I37" s="10">
        <v>13.12</v>
      </c>
      <c r="J37" s="6">
        <v>26.23</v>
      </c>
    </row>
    <row r="38" spans="1:10">
      <c r="A38" t="s">
        <v>17</v>
      </c>
      <c r="B38">
        <v>1</v>
      </c>
      <c r="C38">
        <v>334</v>
      </c>
      <c r="D38" s="3">
        <v>7.4900000000000008E-2</v>
      </c>
      <c r="E38">
        <v>25</v>
      </c>
      <c r="F38">
        <v>2</v>
      </c>
      <c r="G38" s="3">
        <v>8</v>
      </c>
      <c r="H38" s="10">
        <v>0.14000000000000001</v>
      </c>
      <c r="I38" s="10">
        <v>1.77</v>
      </c>
      <c r="J38" s="6">
        <v>3.53</v>
      </c>
    </row>
    <row r="39" spans="1:10">
      <c r="A39" t="s">
        <v>17</v>
      </c>
      <c r="B39">
        <v>1</v>
      </c>
      <c r="C39">
        <v>367</v>
      </c>
      <c r="D39" s="3">
        <v>5.1799999999999999E-2</v>
      </c>
      <c r="E39">
        <v>19</v>
      </c>
      <c r="F39">
        <v>5</v>
      </c>
      <c r="G39" s="3">
        <v>26.32</v>
      </c>
      <c r="H39" s="10">
        <v>4.45</v>
      </c>
      <c r="I39" s="10">
        <v>16.899999999999999</v>
      </c>
      <c r="J39" s="6">
        <v>84.48</v>
      </c>
    </row>
    <row r="40" spans="1:10">
      <c r="A40" t="s">
        <v>13</v>
      </c>
      <c r="B40">
        <v>1</v>
      </c>
      <c r="C40">
        <v>0</v>
      </c>
      <c r="D40" s="3">
        <v>0</v>
      </c>
      <c r="E40">
        <v>0</v>
      </c>
      <c r="F40">
        <v>0</v>
      </c>
      <c r="G40" s="3">
        <v>0</v>
      </c>
      <c r="H40" s="10">
        <v>0</v>
      </c>
      <c r="I40" s="10">
        <v>0</v>
      </c>
      <c r="J40" s="6">
        <v>0</v>
      </c>
    </row>
    <row r="41" spans="1:10">
      <c r="A41" t="s">
        <v>13</v>
      </c>
      <c r="B41">
        <v>1</v>
      </c>
      <c r="C41">
        <v>0</v>
      </c>
      <c r="D41" s="3">
        <v>0</v>
      </c>
      <c r="E41">
        <v>0</v>
      </c>
      <c r="F41">
        <v>0</v>
      </c>
      <c r="G41" s="3">
        <v>0</v>
      </c>
      <c r="H41" s="10">
        <v>0</v>
      </c>
      <c r="I41" s="10">
        <v>0</v>
      </c>
      <c r="J41" s="6">
        <v>0</v>
      </c>
    </row>
    <row r="42" spans="1:10">
      <c r="A42" t="s">
        <v>13</v>
      </c>
      <c r="B42">
        <v>1</v>
      </c>
      <c r="C42">
        <v>0</v>
      </c>
      <c r="D42" s="3">
        <v>0</v>
      </c>
      <c r="E42">
        <v>0</v>
      </c>
      <c r="F42">
        <v>0</v>
      </c>
      <c r="G42" s="3">
        <v>0</v>
      </c>
      <c r="H42" s="10">
        <v>0</v>
      </c>
      <c r="I42" s="10">
        <v>0</v>
      </c>
      <c r="J42" s="6">
        <v>0</v>
      </c>
    </row>
    <row r="43" spans="1:10">
      <c r="A43" t="s">
        <v>13</v>
      </c>
      <c r="B43">
        <v>1</v>
      </c>
      <c r="C43">
        <v>0</v>
      </c>
      <c r="D43" s="3">
        <v>0</v>
      </c>
      <c r="E43">
        <v>0</v>
      </c>
      <c r="F43">
        <v>0</v>
      </c>
      <c r="G43" s="3">
        <v>0</v>
      </c>
      <c r="H43" s="10">
        <v>0</v>
      </c>
      <c r="I43" s="10">
        <v>0</v>
      </c>
      <c r="J43" s="6">
        <v>0</v>
      </c>
    </row>
    <row r="44" spans="1:10">
      <c r="A44" t="s">
        <v>13</v>
      </c>
      <c r="B44">
        <v>1</v>
      </c>
      <c r="C44">
        <v>271</v>
      </c>
      <c r="D44" s="3">
        <v>5.1699999999999996E-2</v>
      </c>
      <c r="E44">
        <v>14</v>
      </c>
      <c r="F44">
        <v>1</v>
      </c>
      <c r="G44" s="3">
        <v>0.1429</v>
      </c>
      <c r="H44" s="10">
        <v>0</v>
      </c>
      <c r="I44" s="10">
        <v>0</v>
      </c>
      <c r="J44" s="6">
        <v>0</v>
      </c>
    </row>
    <row r="45" spans="1:10">
      <c r="A45" t="s">
        <v>13</v>
      </c>
      <c r="B45">
        <v>1</v>
      </c>
      <c r="C45">
        <v>280</v>
      </c>
      <c r="D45" s="3">
        <v>4.6399999999999997E-2</v>
      </c>
      <c r="E45">
        <v>13</v>
      </c>
      <c r="F45">
        <v>3</v>
      </c>
      <c r="G45" s="3">
        <v>23.08</v>
      </c>
      <c r="H45" s="10">
        <v>1.4</v>
      </c>
      <c r="I45" s="10">
        <v>6.05</v>
      </c>
      <c r="J45" s="6">
        <v>18.149999999999999</v>
      </c>
    </row>
    <row r="46" spans="1:10">
      <c r="A46" t="s">
        <v>13</v>
      </c>
      <c r="B46">
        <v>1</v>
      </c>
      <c r="C46">
        <v>287</v>
      </c>
      <c r="D46" s="3">
        <v>4.53E-2</v>
      </c>
      <c r="E46">
        <v>13</v>
      </c>
      <c r="F46">
        <v>0</v>
      </c>
      <c r="G46" s="3">
        <v>0</v>
      </c>
      <c r="H46" s="10">
        <v>0</v>
      </c>
      <c r="I46" s="10">
        <v>0</v>
      </c>
      <c r="J46" s="6">
        <v>0</v>
      </c>
    </row>
    <row r="47" spans="1:10">
      <c r="A47" t="s">
        <v>13</v>
      </c>
      <c r="B47">
        <v>1</v>
      </c>
      <c r="C47">
        <v>308</v>
      </c>
      <c r="D47" s="3">
        <v>6.4899999999999999E-2</v>
      </c>
      <c r="E47">
        <v>20</v>
      </c>
      <c r="F47">
        <v>3</v>
      </c>
      <c r="G47" s="3">
        <v>15</v>
      </c>
      <c r="H47" s="10">
        <v>0.65</v>
      </c>
      <c r="I47" s="10">
        <v>4.3</v>
      </c>
      <c r="J47" s="6">
        <v>12.9</v>
      </c>
    </row>
    <row r="48" spans="1:10">
      <c r="A48" t="s">
        <v>13</v>
      </c>
      <c r="B48">
        <v>1</v>
      </c>
      <c r="C48">
        <v>0</v>
      </c>
      <c r="D48" s="3">
        <v>0</v>
      </c>
      <c r="E48">
        <v>0</v>
      </c>
      <c r="F48">
        <v>0</v>
      </c>
      <c r="G48" s="3">
        <v>0</v>
      </c>
      <c r="H48" s="10">
        <v>0</v>
      </c>
      <c r="I48" s="10">
        <v>0</v>
      </c>
      <c r="J48" s="6">
        <v>0</v>
      </c>
    </row>
    <row r="49" spans="1:10">
      <c r="A49" t="s">
        <v>13</v>
      </c>
      <c r="B49">
        <v>1</v>
      </c>
      <c r="C49">
        <v>0</v>
      </c>
      <c r="D49" s="3">
        <v>0</v>
      </c>
      <c r="E49">
        <v>0</v>
      </c>
      <c r="F49">
        <v>0</v>
      </c>
      <c r="G49" s="3">
        <v>0</v>
      </c>
      <c r="H49" s="10">
        <v>0</v>
      </c>
      <c r="I49" s="10">
        <v>0</v>
      </c>
      <c r="J49" s="6">
        <v>0</v>
      </c>
    </row>
    <row r="50" spans="1:10">
      <c r="A50" t="s">
        <v>13</v>
      </c>
      <c r="B50">
        <v>1</v>
      </c>
      <c r="C50">
        <v>0</v>
      </c>
      <c r="D50" s="3">
        <v>0</v>
      </c>
      <c r="E50">
        <v>0</v>
      </c>
      <c r="F50">
        <v>0</v>
      </c>
      <c r="G50" s="3">
        <v>0</v>
      </c>
      <c r="H50" s="10">
        <v>0</v>
      </c>
      <c r="I50" s="10">
        <v>0</v>
      </c>
      <c r="J50" s="6">
        <v>0</v>
      </c>
    </row>
    <row r="51" spans="1:10">
      <c r="A51" t="s">
        <v>13</v>
      </c>
      <c r="B51">
        <v>1</v>
      </c>
      <c r="C51">
        <v>0</v>
      </c>
      <c r="D51" s="3">
        <v>0</v>
      </c>
      <c r="E51">
        <v>0</v>
      </c>
      <c r="F51">
        <v>0</v>
      </c>
      <c r="G51" s="3">
        <v>0</v>
      </c>
      <c r="H51" s="10">
        <v>0</v>
      </c>
      <c r="I51" s="10">
        <v>0</v>
      </c>
      <c r="J51" s="6">
        <v>0</v>
      </c>
    </row>
    <row r="52" spans="1:10">
      <c r="A52" t="s">
        <v>13</v>
      </c>
      <c r="B52">
        <v>1</v>
      </c>
      <c r="C52">
        <v>0</v>
      </c>
      <c r="D52" s="3">
        <v>0</v>
      </c>
      <c r="E52">
        <v>0</v>
      </c>
      <c r="F52">
        <v>0</v>
      </c>
      <c r="G52" s="3">
        <v>0</v>
      </c>
      <c r="H52" s="10">
        <v>0</v>
      </c>
      <c r="I52" s="10">
        <v>0</v>
      </c>
      <c r="J52" s="6">
        <v>0</v>
      </c>
    </row>
    <row r="53" spans="1:10">
      <c r="A53" t="s">
        <v>13</v>
      </c>
      <c r="B53">
        <v>1</v>
      </c>
      <c r="C53">
        <v>0</v>
      </c>
      <c r="D53" s="3">
        <v>0</v>
      </c>
      <c r="E53">
        <v>0</v>
      </c>
      <c r="F53">
        <v>0</v>
      </c>
      <c r="G53" s="3">
        <v>0</v>
      </c>
      <c r="H53" s="10">
        <v>0</v>
      </c>
      <c r="I53" s="10">
        <v>0</v>
      </c>
      <c r="J53" s="6">
        <v>0</v>
      </c>
    </row>
    <row r="54" spans="1:10">
      <c r="A54" t="s">
        <v>13</v>
      </c>
      <c r="B54">
        <v>1</v>
      </c>
      <c r="C54">
        <v>208</v>
      </c>
      <c r="D54" s="3">
        <v>0.1106</v>
      </c>
      <c r="E54">
        <v>23</v>
      </c>
      <c r="F54">
        <v>4</v>
      </c>
      <c r="G54" s="3">
        <v>0.1</v>
      </c>
      <c r="H54" s="10">
        <v>0.32</v>
      </c>
      <c r="I54" s="10">
        <v>1.86</v>
      </c>
      <c r="J54" s="6">
        <v>7.45</v>
      </c>
    </row>
    <row r="55" spans="1:10">
      <c r="A55" t="s">
        <v>13</v>
      </c>
      <c r="B55">
        <v>1</v>
      </c>
      <c r="C55">
        <v>284</v>
      </c>
      <c r="D55" s="3">
        <v>7.7499999999999999E-2</v>
      </c>
      <c r="E55">
        <v>22</v>
      </c>
      <c r="F55">
        <v>1</v>
      </c>
      <c r="G55" s="3">
        <v>4.55</v>
      </c>
      <c r="H55" s="10">
        <v>0.11</v>
      </c>
      <c r="I55" s="10">
        <v>2.4900000000000002</v>
      </c>
      <c r="J55" s="6">
        <v>2.4900000000000002</v>
      </c>
    </row>
    <row r="56" spans="1:10">
      <c r="A56" t="s">
        <v>13</v>
      </c>
      <c r="B56">
        <v>1</v>
      </c>
      <c r="C56">
        <v>0</v>
      </c>
      <c r="D56" s="3">
        <v>0</v>
      </c>
      <c r="E56">
        <v>0</v>
      </c>
      <c r="F56">
        <v>0</v>
      </c>
      <c r="G56" s="3">
        <v>0</v>
      </c>
      <c r="H56" s="10">
        <v>0</v>
      </c>
      <c r="I56" s="10">
        <v>0</v>
      </c>
      <c r="J56" s="6">
        <v>0</v>
      </c>
    </row>
    <row r="57" spans="1:10">
      <c r="A57" t="s">
        <v>13</v>
      </c>
      <c r="B57">
        <v>1</v>
      </c>
      <c r="C57">
        <v>0</v>
      </c>
      <c r="D57" s="3">
        <v>0</v>
      </c>
      <c r="E57">
        <v>0</v>
      </c>
      <c r="F57">
        <v>0</v>
      </c>
      <c r="G57" s="3">
        <v>0</v>
      </c>
      <c r="H57" s="10">
        <v>0</v>
      </c>
      <c r="I57" s="10">
        <v>0</v>
      </c>
      <c r="J57" s="6">
        <v>0</v>
      </c>
    </row>
    <row r="58" spans="1:10">
      <c r="A58" t="s">
        <v>13</v>
      </c>
      <c r="B58">
        <v>1</v>
      </c>
      <c r="C58">
        <v>0</v>
      </c>
      <c r="D58" s="3">
        <v>0</v>
      </c>
      <c r="E58">
        <v>0</v>
      </c>
      <c r="F58">
        <v>0</v>
      </c>
      <c r="G58" s="3">
        <v>0</v>
      </c>
      <c r="H58" s="10">
        <v>0</v>
      </c>
      <c r="I58" s="10">
        <v>0</v>
      </c>
      <c r="J58" s="6">
        <v>0</v>
      </c>
    </row>
    <row r="59" spans="1:10">
      <c r="A59" t="s">
        <v>13</v>
      </c>
      <c r="B59">
        <v>1</v>
      </c>
      <c r="C59">
        <v>0</v>
      </c>
      <c r="D59" s="3">
        <v>0</v>
      </c>
      <c r="E59">
        <v>0</v>
      </c>
      <c r="F59">
        <v>0</v>
      </c>
      <c r="G59" s="3">
        <v>0</v>
      </c>
      <c r="H59" s="10">
        <v>0</v>
      </c>
      <c r="I59" s="10">
        <v>0</v>
      </c>
      <c r="J59" s="6">
        <v>0</v>
      </c>
    </row>
    <row r="60" spans="1:10">
      <c r="A60" t="s">
        <v>18</v>
      </c>
      <c r="B60">
        <v>1</v>
      </c>
      <c r="C60">
        <v>0</v>
      </c>
      <c r="D60" s="3">
        <v>0</v>
      </c>
      <c r="E60">
        <v>0</v>
      </c>
      <c r="F60">
        <v>0</v>
      </c>
      <c r="G60" s="3">
        <v>0</v>
      </c>
      <c r="H60" s="10">
        <v>0</v>
      </c>
      <c r="I60" s="10">
        <v>0</v>
      </c>
      <c r="J60" s="6">
        <v>0</v>
      </c>
    </row>
    <row r="61" spans="1:10">
      <c r="A61" t="s">
        <v>18</v>
      </c>
      <c r="B61">
        <v>1</v>
      </c>
      <c r="C61">
        <v>0</v>
      </c>
      <c r="D61" s="3">
        <v>0</v>
      </c>
      <c r="E61">
        <v>0</v>
      </c>
      <c r="F61">
        <v>0</v>
      </c>
      <c r="G61" s="3">
        <v>0</v>
      </c>
      <c r="H61" s="10">
        <v>0</v>
      </c>
      <c r="I61" s="10">
        <v>0</v>
      </c>
      <c r="J61" s="6">
        <v>0</v>
      </c>
    </row>
    <row r="62" spans="1:10">
      <c r="A62" t="s">
        <v>18</v>
      </c>
      <c r="B62">
        <v>1</v>
      </c>
      <c r="C62">
        <v>0</v>
      </c>
      <c r="D62" s="3">
        <v>0</v>
      </c>
      <c r="E62">
        <v>0</v>
      </c>
      <c r="F62">
        <v>0</v>
      </c>
      <c r="G62" s="3">
        <v>0</v>
      </c>
      <c r="H62" s="10">
        <v>0</v>
      </c>
      <c r="I62" s="10">
        <v>0</v>
      </c>
      <c r="J62" s="6">
        <v>0</v>
      </c>
    </row>
    <row r="63" spans="1:10">
      <c r="A63" t="s">
        <v>19</v>
      </c>
      <c r="B63">
        <v>1</v>
      </c>
      <c r="C63">
        <v>0</v>
      </c>
      <c r="D63" s="3">
        <v>0</v>
      </c>
      <c r="E63">
        <v>0</v>
      </c>
      <c r="F63">
        <v>0</v>
      </c>
      <c r="G63" s="3">
        <v>0</v>
      </c>
      <c r="H63" s="10">
        <v>0</v>
      </c>
      <c r="I63" s="10">
        <v>0</v>
      </c>
      <c r="J63" s="6">
        <v>0</v>
      </c>
    </row>
    <row r="64" spans="1:10">
      <c r="A64" t="s">
        <v>19</v>
      </c>
      <c r="B64">
        <v>1</v>
      </c>
      <c r="C64">
        <v>0</v>
      </c>
      <c r="D64" s="3">
        <v>0</v>
      </c>
      <c r="E64">
        <v>0</v>
      </c>
      <c r="F64">
        <v>0</v>
      </c>
      <c r="G64" s="3">
        <v>0</v>
      </c>
      <c r="H64" s="10">
        <v>0</v>
      </c>
      <c r="I64" s="10">
        <v>0</v>
      </c>
      <c r="J64" s="6">
        <v>0</v>
      </c>
    </row>
    <row r="65" spans="1:10">
      <c r="A65" t="s">
        <v>19</v>
      </c>
      <c r="B65">
        <v>1</v>
      </c>
      <c r="C65">
        <v>0</v>
      </c>
      <c r="D65" s="3">
        <v>0</v>
      </c>
      <c r="E65">
        <v>0</v>
      </c>
      <c r="F65">
        <v>0</v>
      </c>
      <c r="G65" s="3">
        <v>0</v>
      </c>
      <c r="H65" s="10">
        <v>0</v>
      </c>
      <c r="I65" s="10">
        <v>0</v>
      </c>
      <c r="J65" s="6">
        <v>0</v>
      </c>
    </row>
    <row r="66" spans="1:10">
      <c r="A66" t="s">
        <v>19</v>
      </c>
      <c r="B66">
        <v>1</v>
      </c>
      <c r="C66">
        <v>0</v>
      </c>
      <c r="D66" s="3">
        <v>0</v>
      </c>
      <c r="E66">
        <v>0</v>
      </c>
      <c r="F66">
        <v>0</v>
      </c>
      <c r="G66" s="3">
        <v>0</v>
      </c>
      <c r="H66" s="10">
        <v>0</v>
      </c>
      <c r="I66" s="10">
        <v>0</v>
      </c>
      <c r="J66" s="6">
        <v>0</v>
      </c>
    </row>
    <row r="67" spans="1:10">
      <c r="A67" t="s">
        <v>19</v>
      </c>
      <c r="B67">
        <v>1</v>
      </c>
      <c r="C67">
        <v>0</v>
      </c>
      <c r="D67" s="3">
        <v>0</v>
      </c>
      <c r="E67">
        <v>0</v>
      </c>
      <c r="F67">
        <v>0</v>
      </c>
      <c r="G67" s="3">
        <v>0</v>
      </c>
      <c r="H67" s="10">
        <v>0</v>
      </c>
      <c r="I67" s="10">
        <v>0</v>
      </c>
      <c r="J67" s="6">
        <v>0</v>
      </c>
    </row>
    <row r="68" spans="1:10">
      <c r="A68" t="s">
        <v>19</v>
      </c>
      <c r="B68">
        <v>1</v>
      </c>
      <c r="C68">
        <v>0</v>
      </c>
      <c r="D68" s="3">
        <v>0</v>
      </c>
      <c r="E68">
        <v>0</v>
      </c>
      <c r="F68">
        <v>0</v>
      </c>
      <c r="G68" s="3">
        <v>0</v>
      </c>
      <c r="H68" s="10">
        <v>0</v>
      </c>
      <c r="I68" s="10">
        <v>0</v>
      </c>
      <c r="J68" s="6">
        <v>0</v>
      </c>
    </row>
    <row r="69" spans="1:10">
      <c r="A69" t="s">
        <v>20</v>
      </c>
      <c r="B69">
        <v>1</v>
      </c>
      <c r="C69">
        <v>0</v>
      </c>
      <c r="D69" s="3">
        <v>0</v>
      </c>
      <c r="E69">
        <v>0</v>
      </c>
      <c r="F69">
        <v>0</v>
      </c>
      <c r="G69" s="3">
        <v>0</v>
      </c>
      <c r="H69" s="10">
        <v>0</v>
      </c>
      <c r="I69" s="10">
        <v>0</v>
      </c>
      <c r="J69" s="6">
        <v>0</v>
      </c>
    </row>
    <row r="70" spans="1:10">
      <c r="A70" t="s">
        <v>20</v>
      </c>
      <c r="B70">
        <v>1</v>
      </c>
      <c r="C70">
        <v>0</v>
      </c>
      <c r="D70" s="3">
        <v>0</v>
      </c>
      <c r="E70">
        <v>0</v>
      </c>
      <c r="F70">
        <v>0</v>
      </c>
      <c r="G70" s="3">
        <v>0</v>
      </c>
      <c r="H70" s="10">
        <v>0</v>
      </c>
      <c r="I70" s="10">
        <v>0</v>
      </c>
      <c r="J70" s="6">
        <v>0</v>
      </c>
    </row>
    <row r="71" spans="1:10">
      <c r="A71" t="s">
        <v>20</v>
      </c>
      <c r="B71">
        <v>1</v>
      </c>
      <c r="C71">
        <v>0</v>
      </c>
      <c r="D71" s="3">
        <v>0</v>
      </c>
      <c r="E71">
        <v>0</v>
      </c>
      <c r="F71">
        <v>0</v>
      </c>
      <c r="G71" s="3">
        <v>0</v>
      </c>
      <c r="H71" s="10">
        <v>0</v>
      </c>
      <c r="I71" s="10">
        <v>0</v>
      </c>
      <c r="J71" s="6">
        <v>0</v>
      </c>
    </row>
    <row r="72" spans="1:10">
      <c r="A72" t="s">
        <v>20</v>
      </c>
      <c r="B72">
        <v>1</v>
      </c>
      <c r="C72">
        <v>0</v>
      </c>
      <c r="D72" s="3">
        <v>0</v>
      </c>
      <c r="E72">
        <v>0</v>
      </c>
      <c r="F72">
        <v>0</v>
      </c>
      <c r="G72" s="3">
        <v>0</v>
      </c>
      <c r="H72" s="10">
        <v>0</v>
      </c>
      <c r="I72" s="10">
        <v>0</v>
      </c>
      <c r="J72" s="6">
        <v>0</v>
      </c>
    </row>
    <row r="73" spans="1:10">
      <c r="A73" t="s">
        <v>20</v>
      </c>
      <c r="B73">
        <v>1</v>
      </c>
      <c r="C73">
        <v>0</v>
      </c>
      <c r="D73" s="3">
        <v>0</v>
      </c>
      <c r="E73">
        <v>0</v>
      </c>
      <c r="F73">
        <v>0</v>
      </c>
      <c r="G73" s="3">
        <v>0</v>
      </c>
      <c r="H73" s="10">
        <v>0</v>
      </c>
      <c r="I73" s="10">
        <v>0</v>
      </c>
      <c r="J73" s="6">
        <v>0</v>
      </c>
    </row>
    <row r="74" spans="1:10">
      <c r="A74" t="s">
        <v>20</v>
      </c>
      <c r="B74">
        <v>1</v>
      </c>
      <c r="C74">
        <v>0</v>
      </c>
      <c r="D74" s="3">
        <v>0</v>
      </c>
      <c r="E74">
        <v>0</v>
      </c>
      <c r="F74">
        <v>0</v>
      </c>
      <c r="G74" s="3">
        <v>0</v>
      </c>
      <c r="H74" s="10">
        <v>0</v>
      </c>
      <c r="I74" s="10">
        <v>0</v>
      </c>
      <c r="J74" s="6">
        <v>0</v>
      </c>
    </row>
    <row r="75" spans="1:10">
      <c r="A75" t="s">
        <v>20</v>
      </c>
      <c r="B75">
        <v>1</v>
      </c>
      <c r="C75">
        <v>0</v>
      </c>
      <c r="D75" s="3">
        <v>0</v>
      </c>
      <c r="E75">
        <v>0</v>
      </c>
      <c r="F75">
        <v>0</v>
      </c>
      <c r="G75" s="3">
        <v>0</v>
      </c>
      <c r="H75" s="10">
        <v>0</v>
      </c>
      <c r="I75" s="10">
        <v>0</v>
      </c>
      <c r="J75" s="6">
        <v>0</v>
      </c>
    </row>
    <row r="76" spans="1:10">
      <c r="A76" t="s">
        <v>20</v>
      </c>
      <c r="B76">
        <v>1</v>
      </c>
      <c r="C76">
        <v>0</v>
      </c>
      <c r="D76" s="3">
        <v>0</v>
      </c>
      <c r="E76">
        <v>0</v>
      </c>
      <c r="F76">
        <v>0</v>
      </c>
      <c r="G76" s="3">
        <v>0</v>
      </c>
      <c r="H76" s="10">
        <v>0</v>
      </c>
      <c r="I76" s="10">
        <v>0</v>
      </c>
      <c r="J76" s="6">
        <v>0</v>
      </c>
    </row>
    <row r="77" spans="1:10">
      <c r="A77" t="s">
        <v>20</v>
      </c>
      <c r="B77">
        <v>1</v>
      </c>
      <c r="C77">
        <v>0</v>
      </c>
      <c r="D77" s="3">
        <v>0</v>
      </c>
      <c r="E77">
        <v>0</v>
      </c>
      <c r="F77">
        <v>0</v>
      </c>
      <c r="G77" s="3">
        <v>0</v>
      </c>
      <c r="H77" s="10">
        <v>0</v>
      </c>
      <c r="I77" s="10">
        <v>0</v>
      </c>
      <c r="J77" s="6">
        <v>0</v>
      </c>
    </row>
    <row r="78" spans="1:10">
      <c r="A78" t="s">
        <v>20</v>
      </c>
      <c r="B78">
        <v>1</v>
      </c>
      <c r="C78">
        <v>0</v>
      </c>
      <c r="D78" s="3">
        <v>0</v>
      </c>
      <c r="E78">
        <v>0</v>
      </c>
      <c r="F78">
        <v>0</v>
      </c>
      <c r="G78" s="3">
        <v>0</v>
      </c>
      <c r="H78" s="10">
        <v>0</v>
      </c>
      <c r="I78" s="10">
        <v>0</v>
      </c>
      <c r="J78" s="6">
        <v>0</v>
      </c>
    </row>
    <row r="79" spans="1:10">
      <c r="A79" t="s">
        <v>20</v>
      </c>
      <c r="B79">
        <v>1</v>
      </c>
      <c r="C79">
        <v>0</v>
      </c>
      <c r="D79" s="3">
        <v>0</v>
      </c>
      <c r="E79">
        <v>0</v>
      </c>
      <c r="F79">
        <v>0</v>
      </c>
      <c r="G79" s="3">
        <v>0</v>
      </c>
      <c r="H79" s="10">
        <v>0</v>
      </c>
      <c r="I79" s="10">
        <v>0</v>
      </c>
      <c r="J79" s="6">
        <v>0</v>
      </c>
    </row>
    <row r="80" spans="1:10">
      <c r="A80" t="s">
        <v>20</v>
      </c>
      <c r="B80">
        <v>1</v>
      </c>
      <c r="C80">
        <v>270</v>
      </c>
      <c r="D80" s="3">
        <v>6.6699999999999995E-2</v>
      </c>
      <c r="E80">
        <v>18</v>
      </c>
      <c r="F80">
        <v>3</v>
      </c>
      <c r="G80" s="3">
        <v>0.25</v>
      </c>
      <c r="H80" s="10">
        <v>1.59</v>
      </c>
      <c r="I80" s="10">
        <v>9.56</v>
      </c>
      <c r="J80" s="6">
        <v>28.69</v>
      </c>
    </row>
    <row r="81" spans="1:10">
      <c r="A81" t="s">
        <v>20</v>
      </c>
      <c r="B81">
        <v>1</v>
      </c>
      <c r="C81">
        <v>291</v>
      </c>
      <c r="D81" s="3">
        <v>0.10310000000000001</v>
      </c>
      <c r="E81">
        <v>30</v>
      </c>
      <c r="F81">
        <v>1</v>
      </c>
      <c r="G81" s="3">
        <v>3.33</v>
      </c>
      <c r="H81" s="10">
        <v>0.49</v>
      </c>
      <c r="I81" s="10">
        <v>14.73</v>
      </c>
      <c r="J81" s="6">
        <v>14.73</v>
      </c>
    </row>
    <row r="82" spans="1:10">
      <c r="A82" t="s">
        <v>20</v>
      </c>
      <c r="B82">
        <v>1</v>
      </c>
      <c r="C82">
        <v>376</v>
      </c>
      <c r="D82" s="3">
        <v>5.0499999999999996E-2</v>
      </c>
      <c r="E82">
        <v>19</v>
      </c>
      <c r="F82">
        <v>1</v>
      </c>
      <c r="G82" s="3">
        <v>5.26</v>
      </c>
      <c r="H82" s="10">
        <v>0.13</v>
      </c>
      <c r="I82" s="10">
        <v>2.4</v>
      </c>
      <c r="J82" s="6">
        <v>2.4</v>
      </c>
    </row>
    <row r="83" spans="1:10">
      <c r="A83" t="s">
        <v>20</v>
      </c>
      <c r="B83">
        <v>1</v>
      </c>
      <c r="C83">
        <v>438</v>
      </c>
      <c r="D83" s="3">
        <v>6.1600000000000002E-2</v>
      </c>
      <c r="E83">
        <v>27</v>
      </c>
      <c r="F83">
        <v>4</v>
      </c>
      <c r="G83" s="3">
        <v>14.81</v>
      </c>
      <c r="H83" s="10">
        <v>1.83</v>
      </c>
      <c r="I83" s="10">
        <v>12.34</v>
      </c>
      <c r="J83" s="6">
        <v>49.36</v>
      </c>
    </row>
    <row r="84" spans="1:10">
      <c r="A84" t="s">
        <v>21</v>
      </c>
      <c r="B84">
        <v>1</v>
      </c>
      <c r="C84">
        <v>0</v>
      </c>
      <c r="D84" s="3">
        <v>0</v>
      </c>
      <c r="E84">
        <v>0</v>
      </c>
      <c r="F84">
        <v>0</v>
      </c>
      <c r="G84" s="3">
        <v>0</v>
      </c>
      <c r="H84" s="10">
        <v>0</v>
      </c>
      <c r="I84" s="10">
        <v>0</v>
      </c>
      <c r="J84" s="6">
        <v>0</v>
      </c>
    </row>
    <row r="85" spans="1:10">
      <c r="A85" t="s">
        <v>21</v>
      </c>
      <c r="B85">
        <v>1</v>
      </c>
      <c r="C85">
        <v>0</v>
      </c>
      <c r="D85" s="3">
        <v>0</v>
      </c>
      <c r="E85">
        <v>0</v>
      </c>
      <c r="F85">
        <v>0</v>
      </c>
      <c r="G85" s="3">
        <v>0</v>
      </c>
      <c r="H85" s="10">
        <v>0</v>
      </c>
      <c r="I85" s="10">
        <v>0</v>
      </c>
      <c r="J85" s="6">
        <v>0</v>
      </c>
    </row>
    <row r="86" spans="1:10">
      <c r="A86" t="s">
        <v>21</v>
      </c>
      <c r="B86">
        <v>1</v>
      </c>
      <c r="C86">
        <v>0</v>
      </c>
      <c r="D86" s="3">
        <v>0</v>
      </c>
      <c r="E86">
        <v>0</v>
      </c>
      <c r="F86">
        <v>0</v>
      </c>
      <c r="G86" s="3">
        <v>0</v>
      </c>
      <c r="H86" s="10">
        <v>0</v>
      </c>
      <c r="I86" s="10">
        <v>0</v>
      </c>
      <c r="J86" s="6">
        <v>0</v>
      </c>
    </row>
    <row r="87" spans="1:10">
      <c r="A87" t="s">
        <v>21</v>
      </c>
      <c r="B87">
        <v>1</v>
      </c>
      <c r="C87">
        <v>0</v>
      </c>
      <c r="D87" s="3">
        <v>0</v>
      </c>
      <c r="E87">
        <v>0</v>
      </c>
      <c r="F87">
        <v>0</v>
      </c>
      <c r="G87" s="3">
        <v>0</v>
      </c>
      <c r="H87" s="10">
        <v>0</v>
      </c>
      <c r="I87" s="10">
        <v>0</v>
      </c>
      <c r="J87" s="6">
        <v>0</v>
      </c>
    </row>
    <row r="88" spans="1:10">
      <c r="A88" t="s">
        <v>21</v>
      </c>
      <c r="B88">
        <v>1</v>
      </c>
      <c r="C88">
        <v>0</v>
      </c>
      <c r="D88" s="3">
        <v>0</v>
      </c>
      <c r="E88">
        <v>0</v>
      </c>
      <c r="F88">
        <v>0</v>
      </c>
      <c r="G88" s="3">
        <v>0</v>
      </c>
      <c r="H88" s="10">
        <v>0</v>
      </c>
      <c r="I88" s="10">
        <v>0</v>
      </c>
      <c r="J88" s="6">
        <v>0</v>
      </c>
    </row>
    <row r="89" spans="1:10">
      <c r="A89" t="s">
        <v>21</v>
      </c>
      <c r="B89">
        <v>1</v>
      </c>
      <c r="C89">
        <v>0</v>
      </c>
      <c r="D89" s="3">
        <v>0</v>
      </c>
      <c r="E89">
        <v>0</v>
      </c>
      <c r="F89">
        <v>0</v>
      </c>
      <c r="G89" s="3">
        <v>0</v>
      </c>
      <c r="H89" s="10">
        <v>0</v>
      </c>
      <c r="I89" s="10">
        <v>0</v>
      </c>
      <c r="J89" s="6">
        <v>0</v>
      </c>
    </row>
    <row r="90" spans="1:10">
      <c r="A90" t="s">
        <v>21</v>
      </c>
      <c r="B90">
        <v>1</v>
      </c>
      <c r="C90">
        <v>0</v>
      </c>
      <c r="D90" s="3">
        <v>0</v>
      </c>
      <c r="E90">
        <v>0</v>
      </c>
      <c r="F90">
        <v>0</v>
      </c>
      <c r="G90" s="3">
        <v>0</v>
      </c>
      <c r="H90" s="10">
        <v>0</v>
      </c>
      <c r="I90" s="10">
        <v>0</v>
      </c>
      <c r="J90" s="6">
        <v>0</v>
      </c>
    </row>
    <row r="91" spans="1:10">
      <c r="A91" t="s">
        <v>21</v>
      </c>
      <c r="B91">
        <v>1</v>
      </c>
      <c r="C91">
        <v>0</v>
      </c>
      <c r="D91" s="3">
        <v>0</v>
      </c>
      <c r="E91">
        <v>0</v>
      </c>
      <c r="F91">
        <v>0</v>
      </c>
      <c r="G91" s="3">
        <v>0</v>
      </c>
      <c r="H91" s="10">
        <v>0</v>
      </c>
      <c r="I91" s="10">
        <v>0</v>
      </c>
      <c r="J91" s="6">
        <v>0</v>
      </c>
    </row>
    <row r="92" spans="1:10">
      <c r="A92" t="s">
        <v>21</v>
      </c>
      <c r="B92">
        <v>1</v>
      </c>
      <c r="C92">
        <v>0</v>
      </c>
      <c r="D92" s="3">
        <v>0</v>
      </c>
      <c r="E92">
        <v>0</v>
      </c>
      <c r="F92">
        <v>0</v>
      </c>
      <c r="G92" s="3">
        <v>0</v>
      </c>
      <c r="H92" s="10">
        <v>0</v>
      </c>
      <c r="I92" s="10">
        <v>0</v>
      </c>
      <c r="J92" s="6">
        <v>0</v>
      </c>
    </row>
    <row r="93" spans="1:10">
      <c r="A93" t="s">
        <v>21</v>
      </c>
      <c r="B93">
        <v>1</v>
      </c>
      <c r="C93">
        <v>0</v>
      </c>
      <c r="D93" s="3">
        <v>0</v>
      </c>
      <c r="E93">
        <v>0</v>
      </c>
      <c r="F93">
        <v>0</v>
      </c>
      <c r="G93" s="3">
        <v>0</v>
      </c>
      <c r="H93" s="10">
        <v>0</v>
      </c>
      <c r="I93" s="10">
        <v>0</v>
      </c>
      <c r="J93" s="6">
        <v>0</v>
      </c>
    </row>
    <row r="94" spans="1:10">
      <c r="A94" t="s">
        <v>21</v>
      </c>
      <c r="B94">
        <v>1</v>
      </c>
      <c r="C94">
        <v>0</v>
      </c>
      <c r="D94" s="3">
        <v>0</v>
      </c>
      <c r="E94">
        <v>0</v>
      </c>
      <c r="F94">
        <v>0</v>
      </c>
      <c r="G94" s="3">
        <v>0</v>
      </c>
      <c r="H94" s="10">
        <v>0</v>
      </c>
      <c r="I94" s="10">
        <v>0</v>
      </c>
      <c r="J94" s="6">
        <v>0</v>
      </c>
    </row>
    <row r="95" spans="1:10">
      <c r="A95" t="s">
        <v>21</v>
      </c>
      <c r="B95">
        <v>1</v>
      </c>
      <c r="C95">
        <v>0</v>
      </c>
      <c r="D95" s="3">
        <v>0</v>
      </c>
      <c r="E95">
        <v>0</v>
      </c>
      <c r="F95">
        <v>0</v>
      </c>
      <c r="G95" s="3">
        <v>0</v>
      </c>
      <c r="H95" s="10">
        <v>0</v>
      </c>
      <c r="I95" s="10">
        <v>0</v>
      </c>
      <c r="J95" s="6">
        <v>0</v>
      </c>
    </row>
    <row r="96" spans="1:10">
      <c r="A96" t="s">
        <v>21</v>
      </c>
      <c r="B96">
        <v>1</v>
      </c>
      <c r="C96">
        <v>0</v>
      </c>
      <c r="D96" s="3">
        <v>0</v>
      </c>
      <c r="E96">
        <v>0</v>
      </c>
      <c r="F96">
        <v>0</v>
      </c>
      <c r="G96" s="3">
        <v>0</v>
      </c>
      <c r="H96" s="10">
        <v>0</v>
      </c>
      <c r="I96" s="10">
        <v>0</v>
      </c>
      <c r="J96" s="6">
        <v>0</v>
      </c>
    </row>
    <row r="97" spans="1:10">
      <c r="A97" t="s">
        <v>21</v>
      </c>
      <c r="B97">
        <v>1</v>
      </c>
      <c r="C97">
        <v>0</v>
      </c>
      <c r="D97" s="3">
        <v>0</v>
      </c>
      <c r="E97">
        <v>0</v>
      </c>
      <c r="F97">
        <v>0</v>
      </c>
      <c r="G97" s="3">
        <v>0</v>
      </c>
      <c r="H97" s="10">
        <v>0</v>
      </c>
      <c r="I97" s="10">
        <v>0</v>
      </c>
      <c r="J97" s="6">
        <v>0</v>
      </c>
    </row>
    <row r="98" spans="1:10">
      <c r="A98" t="s">
        <v>21</v>
      </c>
      <c r="B98">
        <v>1</v>
      </c>
      <c r="C98">
        <v>0</v>
      </c>
      <c r="D98" s="3">
        <v>0</v>
      </c>
      <c r="E98">
        <v>0</v>
      </c>
      <c r="F98">
        <v>0</v>
      </c>
      <c r="G98" s="3">
        <v>0</v>
      </c>
      <c r="H98" s="10">
        <v>0</v>
      </c>
      <c r="I98" s="10">
        <v>0</v>
      </c>
      <c r="J98" s="6">
        <v>0</v>
      </c>
    </row>
    <row r="99" spans="1:10">
      <c r="A99" t="s">
        <v>21</v>
      </c>
      <c r="B99">
        <v>1</v>
      </c>
      <c r="C99">
        <v>0</v>
      </c>
      <c r="D99" s="3">
        <v>0</v>
      </c>
      <c r="E99">
        <v>0</v>
      </c>
      <c r="F99">
        <v>0</v>
      </c>
      <c r="G99" s="3">
        <v>0</v>
      </c>
      <c r="H99" s="10">
        <v>0</v>
      </c>
      <c r="I99" s="10">
        <v>0</v>
      </c>
      <c r="J99" s="6">
        <v>0</v>
      </c>
    </row>
    <row r="100" spans="1:10">
      <c r="A100" t="s">
        <v>21</v>
      </c>
      <c r="B100">
        <v>1</v>
      </c>
      <c r="C100">
        <v>194</v>
      </c>
      <c r="D100" s="3">
        <v>5.67E-2</v>
      </c>
      <c r="E100">
        <v>11</v>
      </c>
      <c r="F100">
        <v>3</v>
      </c>
      <c r="G100" s="3">
        <v>0.125</v>
      </c>
      <c r="H100" s="10">
        <v>2.08</v>
      </c>
      <c r="I100" s="10">
        <v>7.63</v>
      </c>
      <c r="J100" s="6">
        <v>22.89</v>
      </c>
    </row>
    <row r="101" spans="1:10">
      <c r="A101" t="s">
        <v>22</v>
      </c>
      <c r="B101">
        <v>1</v>
      </c>
      <c r="C101">
        <v>0</v>
      </c>
      <c r="D101" s="3">
        <v>0</v>
      </c>
      <c r="E101">
        <v>0</v>
      </c>
      <c r="F101">
        <v>0</v>
      </c>
      <c r="G101" s="3">
        <v>0</v>
      </c>
      <c r="H101" s="10">
        <v>0</v>
      </c>
      <c r="I101" s="10">
        <v>0</v>
      </c>
      <c r="J101" s="6">
        <v>0</v>
      </c>
    </row>
    <row r="102" spans="1:10">
      <c r="A102" t="s">
        <v>22</v>
      </c>
      <c r="B102">
        <v>1</v>
      </c>
      <c r="C102">
        <v>0</v>
      </c>
      <c r="D102" s="3">
        <v>0</v>
      </c>
      <c r="E102">
        <v>0</v>
      </c>
      <c r="F102">
        <v>0</v>
      </c>
      <c r="G102" s="3">
        <v>0</v>
      </c>
      <c r="H102" s="10">
        <v>0</v>
      </c>
      <c r="I102" s="10">
        <v>0</v>
      </c>
      <c r="J102" s="6">
        <v>0</v>
      </c>
    </row>
    <row r="103" spans="1:10">
      <c r="A103" t="s">
        <v>22</v>
      </c>
      <c r="B103">
        <v>1</v>
      </c>
      <c r="C103">
        <v>0</v>
      </c>
      <c r="D103" s="3">
        <v>0</v>
      </c>
      <c r="E103">
        <v>0</v>
      </c>
      <c r="F103">
        <v>0</v>
      </c>
      <c r="G103" s="3">
        <v>0</v>
      </c>
      <c r="H103" s="10">
        <v>0</v>
      </c>
      <c r="I103" s="10">
        <v>0</v>
      </c>
      <c r="J103" s="6">
        <v>0</v>
      </c>
    </row>
    <row r="104" spans="1:10">
      <c r="A104" t="s">
        <v>22</v>
      </c>
      <c r="B104">
        <v>1</v>
      </c>
      <c r="C104">
        <v>117</v>
      </c>
      <c r="D104" s="3">
        <v>6.8400000000000002E-2</v>
      </c>
      <c r="E104">
        <v>8</v>
      </c>
      <c r="F104">
        <v>0</v>
      </c>
      <c r="G104" s="3">
        <v>1.333E-3</v>
      </c>
      <c r="H104" s="10">
        <v>0</v>
      </c>
      <c r="I104" s="10">
        <v>0</v>
      </c>
      <c r="J104" s="6">
        <v>0</v>
      </c>
    </row>
    <row r="105" spans="1:10">
      <c r="A105" t="s">
        <v>22</v>
      </c>
      <c r="B105">
        <v>1</v>
      </c>
      <c r="C105">
        <v>131</v>
      </c>
      <c r="D105" s="3">
        <v>0.13739999999999999</v>
      </c>
      <c r="E105">
        <v>18</v>
      </c>
      <c r="F105">
        <v>1</v>
      </c>
      <c r="G105" s="3">
        <v>8.3299999999999997E-4</v>
      </c>
      <c r="H105" s="10">
        <v>0.35</v>
      </c>
      <c r="I105" s="10">
        <v>6.32</v>
      </c>
      <c r="J105" s="6">
        <v>6.32</v>
      </c>
    </row>
    <row r="106" spans="1:10">
      <c r="A106" t="s">
        <v>22</v>
      </c>
      <c r="B106">
        <v>1</v>
      </c>
      <c r="C106">
        <v>134</v>
      </c>
      <c r="D106" s="3">
        <v>0.1119</v>
      </c>
      <c r="E106">
        <v>15</v>
      </c>
      <c r="F106">
        <v>2</v>
      </c>
      <c r="G106" s="3">
        <v>1.6670000000000001E-3</v>
      </c>
      <c r="H106" s="10">
        <v>0.35</v>
      </c>
      <c r="I106" s="10">
        <v>2.66</v>
      </c>
      <c r="J106" s="6">
        <v>5.32</v>
      </c>
    </row>
    <row r="107" spans="1:10">
      <c r="A107" t="s">
        <v>22</v>
      </c>
      <c r="B107">
        <v>1</v>
      </c>
      <c r="C107">
        <v>188</v>
      </c>
      <c r="D107" s="3">
        <v>6.9099999999999995E-2</v>
      </c>
      <c r="E107">
        <v>13</v>
      </c>
      <c r="F107">
        <v>2</v>
      </c>
      <c r="G107" s="3">
        <v>0.33329999999999999</v>
      </c>
      <c r="H107" s="10">
        <v>0.48</v>
      </c>
      <c r="I107" s="10">
        <v>3.12</v>
      </c>
      <c r="J107" s="6">
        <v>6.24</v>
      </c>
    </row>
    <row r="108" spans="1:10">
      <c r="A108" t="s">
        <v>22</v>
      </c>
      <c r="B108">
        <v>1</v>
      </c>
      <c r="C108">
        <v>193</v>
      </c>
      <c r="D108" s="3">
        <v>8.2899999999999988E-2</v>
      </c>
      <c r="E108">
        <v>16</v>
      </c>
      <c r="F108">
        <v>1</v>
      </c>
      <c r="G108" s="3">
        <v>2.5000000000000001E-2</v>
      </c>
      <c r="H108" s="10">
        <v>0</v>
      </c>
      <c r="I108" s="10">
        <v>0</v>
      </c>
      <c r="J108" s="6">
        <v>0</v>
      </c>
    </row>
    <row r="109" spans="1:10">
      <c r="A109" t="s">
        <v>22</v>
      </c>
      <c r="B109">
        <v>1</v>
      </c>
      <c r="C109">
        <v>28</v>
      </c>
      <c r="D109" s="3">
        <v>3.5699999999999996E-2</v>
      </c>
      <c r="E109">
        <v>1</v>
      </c>
      <c r="F109">
        <v>0</v>
      </c>
      <c r="G109" s="3">
        <v>0.16670000000000001</v>
      </c>
      <c r="H109" s="10">
        <v>0</v>
      </c>
      <c r="I109" s="10">
        <v>0</v>
      </c>
      <c r="J109" s="6">
        <v>0</v>
      </c>
    </row>
    <row r="110" spans="1:10">
      <c r="A110" t="s">
        <v>22</v>
      </c>
      <c r="B110">
        <v>1</v>
      </c>
      <c r="C110">
        <v>39</v>
      </c>
      <c r="D110" s="3">
        <v>0.15380000000000002</v>
      </c>
      <c r="E110">
        <v>6</v>
      </c>
      <c r="F110">
        <v>1</v>
      </c>
      <c r="G110" s="3">
        <v>16.670000000000002</v>
      </c>
      <c r="H110" s="10">
        <v>0.89</v>
      </c>
      <c r="I110" s="10">
        <v>5.31</v>
      </c>
      <c r="J110" s="6">
        <v>5.31</v>
      </c>
    </row>
    <row r="111" spans="1:10">
      <c r="A111" t="s">
        <v>22</v>
      </c>
      <c r="B111">
        <v>1</v>
      </c>
      <c r="C111">
        <v>44</v>
      </c>
      <c r="D111" s="3">
        <v>6.8199999999999997E-2</v>
      </c>
      <c r="E111">
        <v>3</v>
      </c>
      <c r="F111">
        <v>1</v>
      </c>
      <c r="G111" s="3">
        <v>33.33</v>
      </c>
      <c r="H111" s="10">
        <v>1.03</v>
      </c>
      <c r="I111" s="10">
        <v>3.1</v>
      </c>
      <c r="J111" s="6">
        <v>3.1</v>
      </c>
    </row>
    <row r="112" spans="1:10">
      <c r="A112" t="s">
        <v>22</v>
      </c>
      <c r="B112">
        <v>1</v>
      </c>
      <c r="C112">
        <v>47</v>
      </c>
      <c r="D112" s="3">
        <v>0.17019999999999999</v>
      </c>
      <c r="E112">
        <v>8</v>
      </c>
      <c r="F112">
        <v>3</v>
      </c>
      <c r="G112" s="3">
        <v>37.5</v>
      </c>
      <c r="H112" s="10">
        <v>1.1599999999999999</v>
      </c>
      <c r="I112" s="10">
        <v>3.09</v>
      </c>
      <c r="J112" s="6">
        <v>9.26</v>
      </c>
    </row>
    <row r="113" spans="1:10">
      <c r="A113" t="s">
        <v>22</v>
      </c>
      <c r="B113">
        <v>1</v>
      </c>
      <c r="C113">
        <v>5</v>
      </c>
      <c r="D113" s="3">
        <v>0.2</v>
      </c>
      <c r="E113">
        <v>1</v>
      </c>
      <c r="F113">
        <v>0</v>
      </c>
      <c r="G113" s="3">
        <v>0</v>
      </c>
      <c r="H113" s="10">
        <v>0</v>
      </c>
      <c r="I113" s="10">
        <v>0</v>
      </c>
      <c r="J113" s="6">
        <v>0</v>
      </c>
    </row>
    <row r="114" spans="1:10">
      <c r="A114" t="s">
        <v>22</v>
      </c>
      <c r="B114">
        <v>1</v>
      </c>
      <c r="C114">
        <v>56</v>
      </c>
      <c r="D114" s="3">
        <v>1.7899999999999999E-2</v>
      </c>
      <c r="E114">
        <v>1</v>
      </c>
      <c r="F114">
        <v>0</v>
      </c>
      <c r="G114" s="3">
        <v>0</v>
      </c>
      <c r="H114" s="10">
        <v>0</v>
      </c>
      <c r="I114" s="10">
        <v>0</v>
      </c>
      <c r="J114" s="6">
        <v>0</v>
      </c>
    </row>
    <row r="115" spans="1:10">
      <c r="A115" t="s">
        <v>22</v>
      </c>
      <c r="B115">
        <v>1</v>
      </c>
      <c r="C115">
        <v>85</v>
      </c>
      <c r="D115" s="3">
        <v>8.2400000000000001E-2</v>
      </c>
      <c r="E115">
        <v>7</v>
      </c>
      <c r="F115">
        <v>0</v>
      </c>
      <c r="G115" s="3">
        <v>0</v>
      </c>
      <c r="H115" s="10">
        <v>0</v>
      </c>
      <c r="I115" s="10">
        <v>0</v>
      </c>
      <c r="J115" s="6">
        <v>0</v>
      </c>
    </row>
    <row r="116" spans="1:10">
      <c r="A116" t="s">
        <v>23</v>
      </c>
      <c r="B116">
        <v>1</v>
      </c>
      <c r="C116">
        <v>0</v>
      </c>
      <c r="D116" s="3">
        <v>0</v>
      </c>
      <c r="E116">
        <v>0</v>
      </c>
      <c r="F116">
        <v>0</v>
      </c>
      <c r="G116" s="3">
        <v>0</v>
      </c>
      <c r="H116" s="10">
        <v>0</v>
      </c>
      <c r="I116" s="10">
        <v>0</v>
      </c>
      <c r="J116" s="6">
        <v>0</v>
      </c>
    </row>
    <row r="117" spans="1:10">
      <c r="A117" t="s">
        <v>23</v>
      </c>
      <c r="B117">
        <v>1</v>
      </c>
      <c r="C117">
        <v>0</v>
      </c>
      <c r="D117" s="3">
        <v>0</v>
      </c>
      <c r="E117">
        <v>0</v>
      </c>
      <c r="F117">
        <v>0</v>
      </c>
      <c r="G117" s="3">
        <v>0</v>
      </c>
      <c r="H117" s="10">
        <v>0</v>
      </c>
      <c r="I117" s="10">
        <v>0</v>
      </c>
      <c r="J117" s="6">
        <v>0</v>
      </c>
    </row>
    <row r="118" spans="1:10">
      <c r="A118" t="s">
        <v>23</v>
      </c>
      <c r="B118">
        <v>1</v>
      </c>
      <c r="C118">
        <v>0</v>
      </c>
      <c r="D118" s="3">
        <v>0</v>
      </c>
      <c r="E118">
        <v>0</v>
      </c>
      <c r="F118">
        <v>0</v>
      </c>
      <c r="G118" s="3">
        <v>0</v>
      </c>
      <c r="H118" s="10">
        <v>0</v>
      </c>
      <c r="I118" s="10">
        <v>0</v>
      </c>
      <c r="J118" s="6">
        <v>0</v>
      </c>
    </row>
    <row r="119" spans="1:10">
      <c r="A119" t="s">
        <v>23</v>
      </c>
      <c r="B119">
        <v>1</v>
      </c>
      <c r="C119">
        <v>0</v>
      </c>
      <c r="D119" s="3">
        <v>0</v>
      </c>
      <c r="E119">
        <v>0</v>
      </c>
      <c r="F119">
        <v>0</v>
      </c>
      <c r="G119" s="3">
        <v>0</v>
      </c>
      <c r="H119" s="10">
        <v>0</v>
      </c>
      <c r="I119" s="10">
        <v>0</v>
      </c>
      <c r="J119" s="6">
        <v>0</v>
      </c>
    </row>
    <row r="120" spans="1:10">
      <c r="A120" t="s">
        <v>23</v>
      </c>
      <c r="B120">
        <v>1</v>
      </c>
      <c r="C120">
        <v>0</v>
      </c>
      <c r="D120" s="3">
        <v>0</v>
      </c>
      <c r="E120">
        <v>0</v>
      </c>
      <c r="F120">
        <v>0</v>
      </c>
      <c r="G120" s="3">
        <v>0</v>
      </c>
      <c r="H120" s="10">
        <v>0</v>
      </c>
      <c r="I120" s="10">
        <v>0</v>
      </c>
      <c r="J120" s="6">
        <v>0</v>
      </c>
    </row>
    <row r="121" spans="1:10">
      <c r="A121" t="s">
        <v>23</v>
      </c>
      <c r="B121">
        <v>1</v>
      </c>
      <c r="C121">
        <v>0</v>
      </c>
      <c r="D121" s="3">
        <v>0</v>
      </c>
      <c r="E121">
        <v>0</v>
      </c>
      <c r="F121">
        <v>0</v>
      </c>
      <c r="G121" s="3">
        <v>0</v>
      </c>
      <c r="H121" s="10">
        <v>0</v>
      </c>
      <c r="I121" s="10">
        <v>0</v>
      </c>
      <c r="J121" s="6">
        <v>0</v>
      </c>
    </row>
    <row r="122" spans="1:10">
      <c r="A122" t="s">
        <v>23</v>
      </c>
      <c r="B122">
        <v>1</v>
      </c>
      <c r="C122">
        <v>134</v>
      </c>
      <c r="D122" s="3">
        <v>0.1119</v>
      </c>
      <c r="E122">
        <v>15</v>
      </c>
      <c r="F122">
        <v>2</v>
      </c>
      <c r="G122" s="3">
        <v>1.25E-3</v>
      </c>
      <c r="H122" s="10">
        <v>1.1200000000000001</v>
      </c>
      <c r="I122" s="10">
        <v>8.3800000000000008</v>
      </c>
      <c r="J122" s="6">
        <v>16.760000000000002</v>
      </c>
    </row>
    <row r="123" spans="1:10">
      <c r="A123" t="s">
        <v>24</v>
      </c>
      <c r="B123">
        <v>1</v>
      </c>
      <c r="C123">
        <v>0</v>
      </c>
      <c r="D123" s="3">
        <v>0</v>
      </c>
      <c r="E123">
        <v>0</v>
      </c>
      <c r="F123">
        <v>0</v>
      </c>
      <c r="G123" s="3">
        <v>0</v>
      </c>
      <c r="H123" s="10">
        <v>0</v>
      </c>
      <c r="I123" s="10">
        <v>0</v>
      </c>
      <c r="J123" s="6">
        <v>0</v>
      </c>
    </row>
    <row r="124" spans="1:10">
      <c r="A124" t="s">
        <v>24</v>
      </c>
      <c r="B124">
        <v>1</v>
      </c>
      <c r="C124">
        <v>0</v>
      </c>
      <c r="D124" s="3">
        <v>0</v>
      </c>
      <c r="E124">
        <v>0</v>
      </c>
      <c r="F124">
        <v>0</v>
      </c>
      <c r="G124" s="3">
        <v>0</v>
      </c>
      <c r="H124" s="10">
        <v>0</v>
      </c>
      <c r="I124" s="10">
        <v>0</v>
      </c>
      <c r="J124" s="6">
        <v>0</v>
      </c>
    </row>
    <row r="125" spans="1:10">
      <c r="A125" t="s">
        <v>24</v>
      </c>
      <c r="B125">
        <v>1</v>
      </c>
      <c r="C125">
        <v>0</v>
      </c>
      <c r="D125" s="3">
        <v>0</v>
      </c>
      <c r="E125">
        <v>0</v>
      </c>
      <c r="F125">
        <v>0</v>
      </c>
      <c r="G125" s="3">
        <v>0</v>
      </c>
      <c r="H125" s="10">
        <v>0</v>
      </c>
      <c r="I125" s="10">
        <v>0</v>
      </c>
      <c r="J125" s="6">
        <v>0</v>
      </c>
    </row>
    <row r="126" spans="1:10">
      <c r="A126" t="s">
        <v>24</v>
      </c>
      <c r="B126">
        <v>1</v>
      </c>
      <c r="C126">
        <v>0</v>
      </c>
      <c r="D126" s="3">
        <v>0</v>
      </c>
      <c r="E126">
        <v>0</v>
      </c>
      <c r="F126">
        <v>0</v>
      </c>
      <c r="G126" s="3">
        <v>0</v>
      </c>
      <c r="H126" s="10">
        <v>0</v>
      </c>
      <c r="I126" s="10">
        <v>0</v>
      </c>
      <c r="J126" s="6">
        <v>0</v>
      </c>
    </row>
    <row r="127" spans="1:10">
      <c r="A127" t="s">
        <v>24</v>
      </c>
      <c r="B127">
        <v>1</v>
      </c>
      <c r="C127">
        <v>0</v>
      </c>
      <c r="D127" s="3">
        <v>0</v>
      </c>
      <c r="E127">
        <v>0</v>
      </c>
      <c r="F127">
        <v>0</v>
      </c>
      <c r="G127" s="3">
        <v>0</v>
      </c>
      <c r="H127" s="10">
        <v>0</v>
      </c>
      <c r="I127" s="10">
        <v>0</v>
      </c>
      <c r="J127" s="6">
        <v>0</v>
      </c>
    </row>
    <row r="128" spans="1:10">
      <c r="A128" t="s">
        <v>24</v>
      </c>
      <c r="B128">
        <v>1</v>
      </c>
      <c r="C128">
        <v>0</v>
      </c>
      <c r="D128" s="3">
        <v>0</v>
      </c>
      <c r="E128">
        <v>0</v>
      </c>
      <c r="F128">
        <v>0</v>
      </c>
      <c r="G128" s="3">
        <v>0</v>
      </c>
      <c r="H128" s="10">
        <v>0</v>
      </c>
      <c r="I128" s="10">
        <v>0</v>
      </c>
      <c r="J128" s="6">
        <v>0</v>
      </c>
    </row>
    <row r="129" spans="1:10">
      <c r="A129" t="s">
        <v>24</v>
      </c>
      <c r="B129">
        <v>1</v>
      </c>
      <c r="C129">
        <v>0</v>
      </c>
      <c r="D129" s="3">
        <v>0</v>
      </c>
      <c r="E129">
        <v>0</v>
      </c>
      <c r="F129">
        <v>0</v>
      </c>
      <c r="G129" s="3">
        <v>0</v>
      </c>
      <c r="H129" s="10">
        <v>0</v>
      </c>
      <c r="I129" s="10">
        <v>0</v>
      </c>
      <c r="J129" s="6">
        <v>0</v>
      </c>
    </row>
    <row r="130" spans="1:10">
      <c r="A130" t="s">
        <v>24</v>
      </c>
      <c r="B130">
        <v>1</v>
      </c>
      <c r="C130">
        <v>0</v>
      </c>
      <c r="D130" s="3">
        <v>0</v>
      </c>
      <c r="E130">
        <v>0</v>
      </c>
      <c r="F130">
        <v>0</v>
      </c>
      <c r="G130" s="3">
        <v>0</v>
      </c>
      <c r="H130" s="10">
        <v>0</v>
      </c>
      <c r="I130" s="10">
        <v>0</v>
      </c>
      <c r="J130" s="6">
        <v>0</v>
      </c>
    </row>
    <row r="131" spans="1:10">
      <c r="A131" t="s">
        <v>24</v>
      </c>
      <c r="B131">
        <v>1</v>
      </c>
      <c r="C131">
        <v>0</v>
      </c>
      <c r="D131" s="3">
        <v>0</v>
      </c>
      <c r="E131">
        <v>0</v>
      </c>
      <c r="F131">
        <v>0</v>
      </c>
      <c r="G131" s="3">
        <v>0</v>
      </c>
      <c r="H131" s="10">
        <v>0</v>
      </c>
      <c r="I131" s="10">
        <v>0</v>
      </c>
      <c r="J131" s="6">
        <v>0</v>
      </c>
    </row>
    <row r="132" spans="1:10">
      <c r="A132" t="s">
        <v>24</v>
      </c>
      <c r="B132">
        <v>1</v>
      </c>
      <c r="C132">
        <v>0</v>
      </c>
      <c r="D132" s="3">
        <v>0</v>
      </c>
      <c r="E132">
        <v>0</v>
      </c>
      <c r="F132">
        <v>0</v>
      </c>
      <c r="G132" s="3">
        <v>0</v>
      </c>
      <c r="H132" s="10">
        <v>0</v>
      </c>
      <c r="I132" s="10">
        <v>0</v>
      </c>
      <c r="J132" s="6">
        <v>0</v>
      </c>
    </row>
    <row r="133" spans="1:10">
      <c r="A133" t="s">
        <v>25</v>
      </c>
      <c r="B133">
        <v>1</v>
      </c>
      <c r="C133">
        <v>0</v>
      </c>
      <c r="D133" s="3">
        <v>0</v>
      </c>
      <c r="E133">
        <v>0</v>
      </c>
      <c r="F133">
        <v>0</v>
      </c>
      <c r="G133" s="3">
        <v>0</v>
      </c>
      <c r="H133" s="10">
        <v>0</v>
      </c>
      <c r="I133" s="10">
        <v>0</v>
      </c>
      <c r="J133" s="6">
        <v>0</v>
      </c>
    </row>
    <row r="134" spans="1:10">
      <c r="A134" t="s">
        <v>25</v>
      </c>
      <c r="B134">
        <v>1</v>
      </c>
      <c r="C134">
        <v>0</v>
      </c>
      <c r="D134" s="3">
        <v>0</v>
      </c>
      <c r="E134">
        <v>0</v>
      </c>
      <c r="F134">
        <v>0</v>
      </c>
      <c r="G134" s="3">
        <v>0</v>
      </c>
      <c r="H134" s="10">
        <v>0</v>
      </c>
      <c r="I134" s="10">
        <v>0</v>
      </c>
      <c r="J134" s="6">
        <v>0</v>
      </c>
    </row>
    <row r="135" spans="1:10">
      <c r="A135" t="s">
        <v>25</v>
      </c>
      <c r="B135">
        <v>1</v>
      </c>
      <c r="C135">
        <v>0</v>
      </c>
      <c r="D135" s="3">
        <v>0</v>
      </c>
      <c r="E135">
        <v>0</v>
      </c>
      <c r="F135">
        <v>0</v>
      </c>
      <c r="G135" s="3">
        <v>0</v>
      </c>
      <c r="H135" s="10">
        <v>0</v>
      </c>
      <c r="I135" s="10">
        <v>0</v>
      </c>
      <c r="J135" s="6">
        <v>0</v>
      </c>
    </row>
    <row r="136" spans="1:10">
      <c r="A136" t="s">
        <v>25</v>
      </c>
      <c r="B136">
        <v>1</v>
      </c>
      <c r="C136">
        <v>0</v>
      </c>
      <c r="D136" s="3">
        <v>0</v>
      </c>
      <c r="E136">
        <v>0</v>
      </c>
      <c r="F136">
        <v>0</v>
      </c>
      <c r="G136" s="3">
        <v>0</v>
      </c>
      <c r="H136" s="10">
        <v>0</v>
      </c>
      <c r="I136" s="10">
        <v>0</v>
      </c>
      <c r="J136" s="6">
        <v>0</v>
      </c>
    </row>
    <row r="137" spans="1:10">
      <c r="A137" t="s">
        <v>25</v>
      </c>
      <c r="B137">
        <v>1</v>
      </c>
      <c r="C137">
        <v>0</v>
      </c>
      <c r="D137" s="3">
        <v>0</v>
      </c>
      <c r="E137">
        <v>0</v>
      </c>
      <c r="F137">
        <v>0</v>
      </c>
      <c r="G137" s="3">
        <v>0</v>
      </c>
      <c r="H137" s="10">
        <v>0</v>
      </c>
      <c r="I137" s="10">
        <v>0</v>
      </c>
      <c r="J137" s="6">
        <v>0</v>
      </c>
    </row>
    <row r="138" spans="1:10">
      <c r="A138" t="s">
        <v>25</v>
      </c>
      <c r="B138">
        <v>1</v>
      </c>
      <c r="C138">
        <v>0</v>
      </c>
      <c r="D138" s="3">
        <v>0</v>
      </c>
      <c r="E138">
        <v>0</v>
      </c>
      <c r="F138">
        <v>0</v>
      </c>
      <c r="G138" s="3">
        <v>0</v>
      </c>
      <c r="H138" s="10">
        <v>0</v>
      </c>
      <c r="I138" s="10">
        <v>0</v>
      </c>
      <c r="J138" s="6">
        <v>0</v>
      </c>
    </row>
    <row r="139" spans="1:10">
      <c r="A139" t="s">
        <v>25</v>
      </c>
      <c r="B139">
        <v>1</v>
      </c>
      <c r="C139">
        <v>0</v>
      </c>
      <c r="D139" s="3">
        <v>0</v>
      </c>
      <c r="E139">
        <v>0</v>
      </c>
      <c r="F139">
        <v>0</v>
      </c>
      <c r="G139" s="3">
        <v>0</v>
      </c>
      <c r="H139" s="10">
        <v>0</v>
      </c>
      <c r="I139" s="10">
        <v>0</v>
      </c>
      <c r="J139" s="6">
        <v>0</v>
      </c>
    </row>
    <row r="140" spans="1:10">
      <c r="A140" t="s">
        <v>26</v>
      </c>
      <c r="B140">
        <v>1</v>
      </c>
      <c r="C140">
        <v>0</v>
      </c>
      <c r="D140" s="3">
        <v>0</v>
      </c>
      <c r="E140">
        <v>0</v>
      </c>
      <c r="F140">
        <v>0</v>
      </c>
      <c r="G140" s="3">
        <v>0</v>
      </c>
      <c r="H140" s="10">
        <v>0</v>
      </c>
      <c r="I140" s="10">
        <v>0</v>
      </c>
      <c r="J140" s="6">
        <v>0</v>
      </c>
    </row>
    <row r="141" spans="1:10">
      <c r="A141" t="s">
        <v>26</v>
      </c>
      <c r="B141">
        <v>1</v>
      </c>
      <c r="C141">
        <v>0</v>
      </c>
      <c r="D141" s="3">
        <v>0</v>
      </c>
      <c r="E141">
        <v>0</v>
      </c>
      <c r="F141">
        <v>0</v>
      </c>
      <c r="G141" s="3">
        <v>0</v>
      </c>
      <c r="H141" s="10">
        <v>0</v>
      </c>
      <c r="I141" s="10">
        <v>0</v>
      </c>
      <c r="J141" s="6">
        <v>0</v>
      </c>
    </row>
    <row r="142" spans="1:10">
      <c r="A142" t="s">
        <v>26</v>
      </c>
      <c r="B142">
        <v>1</v>
      </c>
      <c r="C142">
        <v>0</v>
      </c>
      <c r="D142" s="3">
        <v>0</v>
      </c>
      <c r="E142">
        <v>0</v>
      </c>
      <c r="F142">
        <v>0</v>
      </c>
      <c r="G142" s="3">
        <v>0</v>
      </c>
      <c r="H142" s="10">
        <v>0</v>
      </c>
      <c r="I142" s="10">
        <v>0</v>
      </c>
      <c r="J142" s="6">
        <v>0</v>
      </c>
    </row>
    <row r="143" spans="1:10">
      <c r="A143" t="s">
        <v>26</v>
      </c>
      <c r="B143">
        <v>1</v>
      </c>
      <c r="C143">
        <v>0</v>
      </c>
      <c r="D143" s="3">
        <v>0</v>
      </c>
      <c r="E143">
        <v>0</v>
      </c>
      <c r="F143">
        <v>0</v>
      </c>
      <c r="G143" s="3">
        <v>0</v>
      </c>
      <c r="H143" s="10">
        <v>0</v>
      </c>
      <c r="I143" s="10">
        <v>0</v>
      </c>
      <c r="J143" s="6">
        <v>0</v>
      </c>
    </row>
    <row r="144" spans="1:10">
      <c r="A144" t="s">
        <v>26</v>
      </c>
      <c r="B144">
        <v>1</v>
      </c>
      <c r="C144">
        <v>135</v>
      </c>
      <c r="D144" s="3">
        <v>9.6300000000000011E-2</v>
      </c>
      <c r="E144">
        <v>13</v>
      </c>
      <c r="F144">
        <v>1</v>
      </c>
      <c r="G144" s="3">
        <v>9.0899999999999998E-4</v>
      </c>
      <c r="H144" s="10">
        <v>0.39</v>
      </c>
      <c r="I144" s="10">
        <v>5.1100000000000003</v>
      </c>
      <c r="J144" s="6">
        <v>5.1100000000000003</v>
      </c>
    </row>
    <row r="145" spans="1:10">
      <c r="A145" t="s">
        <v>26</v>
      </c>
      <c r="B145">
        <v>1</v>
      </c>
      <c r="C145">
        <v>152</v>
      </c>
      <c r="D145" s="3">
        <v>6.5799999999999997E-2</v>
      </c>
      <c r="E145">
        <v>10</v>
      </c>
      <c r="F145">
        <v>1</v>
      </c>
      <c r="G145" s="3">
        <v>1.25E-3</v>
      </c>
      <c r="H145" s="10">
        <v>1.99</v>
      </c>
      <c r="I145" s="10">
        <v>19.850000000000001</v>
      </c>
      <c r="J145" s="6">
        <v>19.850000000000001</v>
      </c>
    </row>
    <row r="146" spans="1:10">
      <c r="A146" t="s">
        <v>26</v>
      </c>
      <c r="B146">
        <v>1</v>
      </c>
      <c r="C146">
        <v>221</v>
      </c>
      <c r="D146" s="3">
        <v>8.5999999999999993E-2</v>
      </c>
      <c r="E146">
        <v>19</v>
      </c>
      <c r="F146">
        <v>3</v>
      </c>
      <c r="G146" s="3">
        <v>0.1429</v>
      </c>
      <c r="H146" s="10">
        <v>0.38</v>
      </c>
      <c r="I146" s="10">
        <v>2.38</v>
      </c>
      <c r="J146" s="6">
        <v>7.13</v>
      </c>
    </row>
    <row r="147" spans="1:10">
      <c r="A147" t="s">
        <v>26</v>
      </c>
      <c r="B147">
        <v>1</v>
      </c>
      <c r="C147">
        <v>231</v>
      </c>
      <c r="D147" s="3">
        <v>7.3599999999999999E-2</v>
      </c>
      <c r="E147">
        <v>17</v>
      </c>
      <c r="F147">
        <v>0</v>
      </c>
      <c r="G147" s="3">
        <v>0.15380000000000002</v>
      </c>
      <c r="H147" s="10">
        <v>0</v>
      </c>
      <c r="I147" s="10">
        <v>0</v>
      </c>
      <c r="J147" s="6">
        <v>0</v>
      </c>
    </row>
    <row r="148" spans="1:10">
      <c r="A148" t="s">
        <v>26</v>
      </c>
      <c r="B148">
        <v>1</v>
      </c>
      <c r="C148">
        <v>245</v>
      </c>
      <c r="D148" s="3">
        <v>8.9800000000000005E-2</v>
      </c>
      <c r="E148">
        <v>22</v>
      </c>
      <c r="F148">
        <v>5</v>
      </c>
      <c r="G148" s="3">
        <v>7.690000000000001E-2</v>
      </c>
      <c r="H148" s="10">
        <v>0.93</v>
      </c>
      <c r="I148" s="10">
        <v>4.0999999999999996</v>
      </c>
      <c r="J148" s="6">
        <v>20.48</v>
      </c>
    </row>
    <row r="149" spans="1:10">
      <c r="A149" t="s">
        <v>26</v>
      </c>
      <c r="B149">
        <v>1</v>
      </c>
      <c r="C149">
        <v>254</v>
      </c>
      <c r="D149" s="3">
        <v>7.8700000000000006E-2</v>
      </c>
      <c r="E149">
        <v>20</v>
      </c>
      <c r="F149">
        <v>0</v>
      </c>
      <c r="G149" s="3">
        <v>0.11109999999999999</v>
      </c>
      <c r="H149" s="10">
        <v>0</v>
      </c>
      <c r="I149" s="10">
        <v>0</v>
      </c>
      <c r="J149" s="6">
        <v>0</v>
      </c>
    </row>
    <row r="150" spans="1:10">
      <c r="A150" t="s">
        <v>26</v>
      </c>
      <c r="B150">
        <v>1</v>
      </c>
      <c r="C150">
        <v>348</v>
      </c>
      <c r="D150" s="3">
        <v>6.6100000000000006E-2</v>
      </c>
      <c r="E150">
        <v>23</v>
      </c>
      <c r="F150">
        <v>4</v>
      </c>
      <c r="G150" s="3">
        <v>17.39</v>
      </c>
      <c r="H150" s="10">
        <v>0.98</v>
      </c>
      <c r="I150" s="10">
        <v>5.63</v>
      </c>
      <c r="J150" s="6">
        <v>22.5</v>
      </c>
    </row>
    <row r="151" spans="1:10">
      <c r="A151" t="s">
        <v>26</v>
      </c>
      <c r="B151">
        <v>1</v>
      </c>
      <c r="C151">
        <v>551</v>
      </c>
      <c r="D151" s="3">
        <v>4.9000000000000002E-2</v>
      </c>
      <c r="E151">
        <v>27</v>
      </c>
      <c r="F151">
        <v>3</v>
      </c>
      <c r="G151" s="3">
        <v>11.11</v>
      </c>
      <c r="H151" s="10">
        <v>0.27</v>
      </c>
      <c r="I151" s="10">
        <v>2.4700000000000002</v>
      </c>
      <c r="J151" s="6">
        <v>7.4</v>
      </c>
    </row>
    <row r="152" spans="1:10">
      <c r="A152" t="s">
        <v>26</v>
      </c>
      <c r="B152">
        <v>1</v>
      </c>
      <c r="C152">
        <v>59</v>
      </c>
      <c r="D152" s="3">
        <v>8.4700000000000011E-2</v>
      </c>
      <c r="E152">
        <v>5</v>
      </c>
      <c r="F152">
        <v>0</v>
      </c>
      <c r="G152" s="3">
        <v>0</v>
      </c>
      <c r="H152" s="10">
        <v>0</v>
      </c>
      <c r="I152" s="10">
        <v>0</v>
      </c>
      <c r="J152" s="6">
        <v>0</v>
      </c>
    </row>
    <row r="153" spans="1:10">
      <c r="A153" t="s">
        <v>27</v>
      </c>
      <c r="B153">
        <v>1</v>
      </c>
      <c r="C153">
        <v>310</v>
      </c>
      <c r="D153" s="3">
        <v>8.7100000000000011E-2</v>
      </c>
      <c r="E153">
        <v>27</v>
      </c>
      <c r="F153">
        <v>3</v>
      </c>
      <c r="G153" s="3">
        <v>11.11</v>
      </c>
      <c r="H153" s="10">
        <v>0.2</v>
      </c>
      <c r="I153" s="10">
        <v>1.8</v>
      </c>
      <c r="J153" s="6">
        <v>5.4</v>
      </c>
    </row>
    <row r="154" spans="1:10">
      <c r="A154" t="s">
        <v>27</v>
      </c>
      <c r="B154">
        <v>1</v>
      </c>
      <c r="C154">
        <v>368</v>
      </c>
      <c r="D154" s="3">
        <v>8.6999999999999994E-2</v>
      </c>
      <c r="E154">
        <v>32</v>
      </c>
      <c r="F154">
        <v>6</v>
      </c>
      <c r="G154" s="3">
        <v>18.75</v>
      </c>
      <c r="H154" s="10">
        <v>0.87</v>
      </c>
      <c r="I154" s="10">
        <v>4.63</v>
      </c>
      <c r="J154" s="6">
        <v>27.8</v>
      </c>
    </row>
    <row r="155" spans="1:10">
      <c r="A155" t="s">
        <v>28</v>
      </c>
      <c r="B155">
        <v>1</v>
      </c>
      <c r="C155">
        <v>0</v>
      </c>
      <c r="D155" s="3">
        <v>0</v>
      </c>
      <c r="E155">
        <v>0</v>
      </c>
      <c r="F155">
        <v>0</v>
      </c>
      <c r="G155" s="3">
        <v>0</v>
      </c>
      <c r="H155" s="10">
        <v>0</v>
      </c>
      <c r="I155" s="10">
        <v>0</v>
      </c>
      <c r="J155" s="6">
        <v>0</v>
      </c>
    </row>
    <row r="156" spans="1:10">
      <c r="A156" t="s">
        <v>28</v>
      </c>
      <c r="B156">
        <v>1</v>
      </c>
      <c r="C156">
        <v>0</v>
      </c>
      <c r="D156" s="3">
        <v>0</v>
      </c>
      <c r="E156">
        <v>0</v>
      </c>
      <c r="F156">
        <v>0</v>
      </c>
      <c r="G156" s="3">
        <v>0</v>
      </c>
      <c r="H156" s="10">
        <v>0</v>
      </c>
      <c r="I156" s="10">
        <v>0</v>
      </c>
      <c r="J156" s="6">
        <v>0</v>
      </c>
    </row>
    <row r="157" spans="1:10">
      <c r="A157" t="s">
        <v>28</v>
      </c>
      <c r="B157">
        <v>1</v>
      </c>
      <c r="C157">
        <v>0</v>
      </c>
      <c r="D157" s="3">
        <v>0</v>
      </c>
      <c r="E157">
        <v>0</v>
      </c>
      <c r="F157">
        <v>0</v>
      </c>
      <c r="G157" s="3">
        <v>0</v>
      </c>
      <c r="H157" s="10">
        <v>0</v>
      </c>
      <c r="I157" s="10">
        <v>0</v>
      </c>
      <c r="J157" s="6">
        <v>0</v>
      </c>
    </row>
    <row r="158" spans="1:10">
      <c r="A158" t="s">
        <v>28</v>
      </c>
      <c r="B158">
        <v>1</v>
      </c>
      <c r="C158">
        <v>0</v>
      </c>
      <c r="D158" s="3">
        <v>0</v>
      </c>
      <c r="E158">
        <v>0</v>
      </c>
      <c r="F158">
        <v>0</v>
      </c>
      <c r="G158" s="3">
        <v>0</v>
      </c>
      <c r="H158" s="10">
        <v>0</v>
      </c>
      <c r="I158" s="10">
        <v>0</v>
      </c>
      <c r="J158" s="6">
        <v>0</v>
      </c>
    </row>
    <row r="159" spans="1:10">
      <c r="A159" t="s">
        <v>28</v>
      </c>
      <c r="B159">
        <v>1</v>
      </c>
      <c r="C159">
        <v>0</v>
      </c>
      <c r="D159" s="3">
        <v>0</v>
      </c>
      <c r="E159">
        <v>0</v>
      </c>
      <c r="F159">
        <v>0</v>
      </c>
      <c r="G159" s="3">
        <v>0</v>
      </c>
      <c r="H159" s="10">
        <v>0</v>
      </c>
      <c r="I159" s="10">
        <v>0</v>
      </c>
      <c r="J159" s="6">
        <v>0</v>
      </c>
    </row>
    <row r="160" spans="1:10">
      <c r="A160" t="s">
        <v>28</v>
      </c>
      <c r="B160">
        <v>1</v>
      </c>
      <c r="C160">
        <v>0</v>
      </c>
      <c r="D160" s="3">
        <v>0</v>
      </c>
      <c r="E160">
        <v>0</v>
      </c>
      <c r="F160">
        <v>0</v>
      </c>
      <c r="G160" s="3">
        <v>0</v>
      </c>
      <c r="H160" s="10">
        <v>0</v>
      </c>
      <c r="I160" s="10">
        <v>0</v>
      </c>
      <c r="J160" s="6">
        <v>0</v>
      </c>
    </row>
    <row r="161" spans="1:10">
      <c r="A161" t="s">
        <v>28</v>
      </c>
      <c r="B161">
        <v>1</v>
      </c>
      <c r="C161">
        <v>0</v>
      </c>
      <c r="D161" s="3">
        <v>0</v>
      </c>
      <c r="E161">
        <v>0</v>
      </c>
      <c r="F161">
        <v>0</v>
      </c>
      <c r="G161" s="3">
        <v>0</v>
      </c>
      <c r="H161" s="10">
        <v>0</v>
      </c>
      <c r="I161" s="10">
        <v>0</v>
      </c>
      <c r="J161" s="6">
        <v>0</v>
      </c>
    </row>
    <row r="162" spans="1:10">
      <c r="A162" t="s">
        <v>28</v>
      </c>
      <c r="B162">
        <v>1</v>
      </c>
      <c r="C162">
        <v>0</v>
      </c>
      <c r="D162" s="3">
        <v>0</v>
      </c>
      <c r="E162">
        <v>0</v>
      </c>
      <c r="F162">
        <v>0</v>
      </c>
      <c r="G162" s="3">
        <v>0</v>
      </c>
      <c r="H162" s="10">
        <v>0</v>
      </c>
      <c r="I162" s="10">
        <v>0</v>
      </c>
      <c r="J162" s="6">
        <v>0</v>
      </c>
    </row>
    <row r="163" spans="1:10">
      <c r="A163" t="s">
        <v>28</v>
      </c>
      <c r="B163">
        <v>1</v>
      </c>
      <c r="C163">
        <v>0</v>
      </c>
      <c r="D163" s="3">
        <v>0</v>
      </c>
      <c r="E163">
        <v>0</v>
      </c>
      <c r="F163">
        <v>0</v>
      </c>
      <c r="G163" s="3">
        <v>0</v>
      </c>
      <c r="H163" s="10">
        <v>0</v>
      </c>
      <c r="I163" s="10">
        <v>0</v>
      </c>
      <c r="J163" s="6">
        <v>0</v>
      </c>
    </row>
    <row r="164" spans="1:10">
      <c r="A164" t="s">
        <v>28</v>
      </c>
      <c r="B164">
        <v>1</v>
      </c>
      <c r="C164">
        <v>0</v>
      </c>
      <c r="D164" s="3">
        <v>0</v>
      </c>
      <c r="E164">
        <v>0</v>
      </c>
      <c r="F164">
        <v>0</v>
      </c>
      <c r="G164" s="3">
        <v>0</v>
      </c>
      <c r="H164" s="10">
        <v>0</v>
      </c>
      <c r="I164" s="10">
        <v>0</v>
      </c>
      <c r="J164" s="6">
        <v>0</v>
      </c>
    </row>
    <row r="165" spans="1:10">
      <c r="A165" t="s">
        <v>28</v>
      </c>
      <c r="B165">
        <v>1</v>
      </c>
      <c r="C165">
        <v>0</v>
      </c>
      <c r="D165" s="3">
        <v>0</v>
      </c>
      <c r="E165">
        <v>0</v>
      </c>
      <c r="F165">
        <v>0</v>
      </c>
      <c r="G165" s="3">
        <v>0</v>
      </c>
      <c r="H165" s="10">
        <v>0</v>
      </c>
      <c r="I165" s="10">
        <v>0</v>
      </c>
      <c r="J165" s="6">
        <v>0</v>
      </c>
    </row>
    <row r="166" spans="1:10">
      <c r="A166" t="s">
        <v>28</v>
      </c>
      <c r="B166">
        <v>1</v>
      </c>
      <c r="C166">
        <v>0</v>
      </c>
      <c r="D166" s="3">
        <v>0</v>
      </c>
      <c r="E166">
        <v>0</v>
      </c>
      <c r="F166">
        <v>0</v>
      </c>
      <c r="G166" s="3">
        <v>0</v>
      </c>
      <c r="H166" s="10">
        <v>0</v>
      </c>
      <c r="I166" s="10">
        <v>0</v>
      </c>
      <c r="J166" s="6">
        <v>0</v>
      </c>
    </row>
    <row r="167" spans="1:10">
      <c r="A167" t="s">
        <v>29</v>
      </c>
      <c r="B167">
        <v>1</v>
      </c>
      <c r="C167">
        <v>0</v>
      </c>
      <c r="D167" s="3">
        <v>0</v>
      </c>
      <c r="E167">
        <v>0</v>
      </c>
      <c r="F167">
        <v>0</v>
      </c>
      <c r="G167" s="3">
        <v>0</v>
      </c>
      <c r="H167" s="10">
        <v>0</v>
      </c>
      <c r="I167" s="10">
        <v>0</v>
      </c>
      <c r="J167" s="6">
        <v>0</v>
      </c>
    </row>
    <row r="168" spans="1:10">
      <c r="A168" t="s">
        <v>29</v>
      </c>
      <c r="B168">
        <v>1</v>
      </c>
      <c r="C168">
        <v>0</v>
      </c>
      <c r="D168" s="3">
        <v>0</v>
      </c>
      <c r="E168">
        <v>0</v>
      </c>
      <c r="F168">
        <v>0</v>
      </c>
      <c r="G168" s="3">
        <v>0</v>
      </c>
      <c r="H168" s="10">
        <v>0</v>
      </c>
      <c r="I168" s="10">
        <v>0</v>
      </c>
      <c r="J168" s="6">
        <v>0</v>
      </c>
    </row>
    <row r="169" spans="1:10">
      <c r="A169" t="s">
        <v>29</v>
      </c>
      <c r="B169">
        <v>1</v>
      </c>
      <c r="C169">
        <v>0</v>
      </c>
      <c r="D169" s="3">
        <v>0</v>
      </c>
      <c r="E169">
        <v>0</v>
      </c>
      <c r="F169">
        <v>0</v>
      </c>
      <c r="G169" s="3">
        <v>0</v>
      </c>
      <c r="H169" s="10">
        <v>0</v>
      </c>
      <c r="I169" s="10">
        <v>0</v>
      </c>
      <c r="J169" s="6">
        <v>0</v>
      </c>
    </row>
    <row r="170" spans="1:10">
      <c r="A170" t="s">
        <v>29</v>
      </c>
      <c r="B170">
        <v>1</v>
      </c>
      <c r="C170">
        <v>0</v>
      </c>
      <c r="D170" s="3">
        <v>0</v>
      </c>
      <c r="E170">
        <v>0</v>
      </c>
      <c r="F170">
        <v>0</v>
      </c>
      <c r="G170" s="3">
        <v>0</v>
      </c>
      <c r="H170" s="10">
        <v>0</v>
      </c>
      <c r="I170" s="10">
        <v>0</v>
      </c>
      <c r="J170" s="6">
        <v>0</v>
      </c>
    </row>
    <row r="171" spans="1:10">
      <c r="A171" t="s">
        <v>29</v>
      </c>
      <c r="B171">
        <v>1</v>
      </c>
      <c r="C171">
        <v>0</v>
      </c>
      <c r="D171" s="3">
        <v>0</v>
      </c>
      <c r="E171">
        <v>0</v>
      </c>
      <c r="F171">
        <v>0</v>
      </c>
      <c r="G171" s="3">
        <v>0</v>
      </c>
      <c r="H171" s="10">
        <v>0</v>
      </c>
      <c r="I171" s="10">
        <v>0</v>
      </c>
      <c r="J171" s="6">
        <v>0</v>
      </c>
    </row>
    <row r="172" spans="1:10">
      <c r="A172" t="s">
        <v>29</v>
      </c>
      <c r="B172">
        <v>1</v>
      </c>
      <c r="C172">
        <v>0</v>
      </c>
      <c r="D172" s="3">
        <v>0</v>
      </c>
      <c r="E172">
        <v>0</v>
      </c>
      <c r="F172">
        <v>0</v>
      </c>
      <c r="G172" s="3">
        <v>0</v>
      </c>
      <c r="H172" s="10">
        <v>0</v>
      </c>
      <c r="I172" s="10">
        <v>0</v>
      </c>
      <c r="J172" s="6">
        <v>0</v>
      </c>
    </row>
    <row r="173" spans="1:10">
      <c r="A173" t="s">
        <v>29</v>
      </c>
      <c r="B173">
        <v>1</v>
      </c>
      <c r="C173">
        <v>0</v>
      </c>
      <c r="D173" s="3">
        <v>0</v>
      </c>
      <c r="E173">
        <v>0</v>
      </c>
      <c r="F173">
        <v>0</v>
      </c>
      <c r="G173" s="3">
        <v>0</v>
      </c>
      <c r="H173" s="10">
        <v>0</v>
      </c>
      <c r="I173" s="10">
        <v>0</v>
      </c>
      <c r="J173" s="6">
        <v>0</v>
      </c>
    </row>
    <row r="174" spans="1:10">
      <c r="A174" t="s">
        <v>29</v>
      </c>
      <c r="B174">
        <v>1</v>
      </c>
      <c r="C174">
        <v>0</v>
      </c>
      <c r="D174" s="3">
        <v>0</v>
      </c>
      <c r="E174">
        <v>0</v>
      </c>
      <c r="F174">
        <v>0</v>
      </c>
      <c r="G174" s="3">
        <v>0</v>
      </c>
      <c r="H174" s="10">
        <v>0</v>
      </c>
      <c r="I174" s="10">
        <v>0</v>
      </c>
      <c r="J174" s="6">
        <v>0</v>
      </c>
    </row>
    <row r="175" spans="1:10">
      <c r="A175" t="s">
        <v>29</v>
      </c>
      <c r="B175">
        <v>1</v>
      </c>
      <c r="C175">
        <v>0</v>
      </c>
      <c r="D175" s="3">
        <v>0</v>
      </c>
      <c r="E175">
        <v>0</v>
      </c>
      <c r="F175">
        <v>0</v>
      </c>
      <c r="G175" s="3">
        <v>0</v>
      </c>
      <c r="H175" s="10">
        <v>0</v>
      </c>
      <c r="I175" s="10">
        <v>0</v>
      </c>
      <c r="J175" s="6">
        <v>0</v>
      </c>
    </row>
    <row r="176" spans="1:10">
      <c r="A176" t="s">
        <v>29</v>
      </c>
      <c r="B176">
        <v>1</v>
      </c>
      <c r="C176">
        <v>0</v>
      </c>
      <c r="D176" s="3">
        <v>0</v>
      </c>
      <c r="E176">
        <v>0</v>
      </c>
      <c r="F176">
        <v>0</v>
      </c>
      <c r="G176" s="3">
        <v>0</v>
      </c>
      <c r="H176" s="10">
        <v>0</v>
      </c>
      <c r="I176" s="10">
        <v>0</v>
      </c>
      <c r="J176" s="6">
        <v>0</v>
      </c>
    </row>
    <row r="177" spans="1:10">
      <c r="A177" t="s">
        <v>30</v>
      </c>
      <c r="B177">
        <v>1</v>
      </c>
      <c r="C177">
        <v>141</v>
      </c>
      <c r="D177" s="3">
        <v>2.8399999999999998E-2</v>
      </c>
      <c r="E177">
        <v>4</v>
      </c>
      <c r="F177">
        <v>0</v>
      </c>
      <c r="G177" s="3">
        <v>1.6670000000000001E-3</v>
      </c>
      <c r="H177" s="10">
        <v>0</v>
      </c>
      <c r="I177" s="10">
        <v>0</v>
      </c>
      <c r="J177" s="6">
        <v>0</v>
      </c>
    </row>
    <row r="178" spans="1:10">
      <c r="A178" t="s">
        <v>30</v>
      </c>
      <c r="B178">
        <v>1</v>
      </c>
      <c r="C178">
        <v>208</v>
      </c>
      <c r="D178" s="3">
        <v>2.8799999999999999E-2</v>
      </c>
      <c r="E178">
        <v>6</v>
      </c>
      <c r="F178">
        <v>1</v>
      </c>
      <c r="G178" s="3">
        <v>0.1429</v>
      </c>
      <c r="H178" s="10">
        <v>1.5</v>
      </c>
      <c r="I178" s="10">
        <v>9.0299999999999994</v>
      </c>
      <c r="J178" s="6">
        <v>9.0299999999999994</v>
      </c>
    </row>
    <row r="179" spans="1:10">
      <c r="A179" t="s">
        <v>30</v>
      </c>
      <c r="B179">
        <v>1</v>
      </c>
      <c r="C179">
        <v>252</v>
      </c>
      <c r="D179" s="3">
        <v>5.16E-2</v>
      </c>
      <c r="E179">
        <v>13</v>
      </c>
      <c r="F179">
        <v>0</v>
      </c>
      <c r="G179" s="3">
        <v>0.18179999999999999</v>
      </c>
      <c r="H179" s="10">
        <v>0</v>
      </c>
      <c r="I179" s="10">
        <v>0</v>
      </c>
      <c r="J179" s="6">
        <v>0</v>
      </c>
    </row>
    <row r="180" spans="1:10">
      <c r="A180" t="s">
        <v>30</v>
      </c>
      <c r="B180">
        <v>1</v>
      </c>
      <c r="C180">
        <v>92</v>
      </c>
      <c r="D180" s="3">
        <v>3.2599999999999997E-2</v>
      </c>
      <c r="E180">
        <v>3</v>
      </c>
      <c r="F180">
        <v>1</v>
      </c>
      <c r="G180" s="3">
        <v>33.33</v>
      </c>
      <c r="H180" s="10">
        <v>4.91</v>
      </c>
      <c r="I180" s="10">
        <v>14.73</v>
      </c>
      <c r="J180" s="6">
        <v>14.73</v>
      </c>
    </row>
    <row r="181" spans="1:10">
      <c r="A181" t="s">
        <v>31</v>
      </c>
      <c r="B181">
        <v>1</v>
      </c>
      <c r="C181">
        <v>0</v>
      </c>
      <c r="D181" s="3">
        <v>0</v>
      </c>
      <c r="E181">
        <v>0</v>
      </c>
      <c r="F181">
        <v>0</v>
      </c>
      <c r="G181" s="3">
        <v>0</v>
      </c>
      <c r="H181" s="10">
        <v>0</v>
      </c>
      <c r="I181" s="10">
        <v>0</v>
      </c>
      <c r="J181" s="6">
        <v>0</v>
      </c>
    </row>
    <row r="182" spans="1:10">
      <c r="A182" t="s">
        <v>31</v>
      </c>
      <c r="B182">
        <v>1</v>
      </c>
      <c r="C182">
        <v>0</v>
      </c>
      <c r="D182" s="3">
        <v>0</v>
      </c>
      <c r="E182">
        <v>0</v>
      </c>
      <c r="F182">
        <v>0</v>
      </c>
      <c r="G182" s="3">
        <v>0</v>
      </c>
      <c r="H182" s="10">
        <v>0</v>
      </c>
      <c r="I182" s="10">
        <v>0</v>
      </c>
      <c r="J182" s="6">
        <v>0</v>
      </c>
    </row>
    <row r="183" spans="1:10">
      <c r="A183" t="s">
        <v>32</v>
      </c>
      <c r="B183">
        <v>1</v>
      </c>
      <c r="C183">
        <v>0</v>
      </c>
      <c r="D183" s="3">
        <v>0</v>
      </c>
      <c r="E183">
        <v>0</v>
      </c>
      <c r="F183">
        <v>0</v>
      </c>
      <c r="G183" s="3">
        <v>0</v>
      </c>
      <c r="H183" s="10">
        <v>0</v>
      </c>
      <c r="I183" s="10">
        <v>0</v>
      </c>
      <c r="J183" s="6">
        <v>0</v>
      </c>
    </row>
    <row r="184" spans="1:10">
      <c r="A184" t="s">
        <v>32</v>
      </c>
      <c r="B184">
        <v>1</v>
      </c>
      <c r="C184">
        <v>0</v>
      </c>
      <c r="D184" s="3">
        <v>0</v>
      </c>
      <c r="E184">
        <v>0</v>
      </c>
      <c r="F184">
        <v>0</v>
      </c>
      <c r="G184" s="3">
        <v>0</v>
      </c>
      <c r="H184" s="10">
        <v>0</v>
      </c>
      <c r="I184" s="10">
        <v>0</v>
      </c>
      <c r="J184" s="6">
        <v>0</v>
      </c>
    </row>
    <row r="185" spans="1:10">
      <c r="A185" t="s">
        <v>32</v>
      </c>
      <c r="B185">
        <v>1</v>
      </c>
      <c r="C185">
        <v>0</v>
      </c>
      <c r="D185" s="3">
        <v>0</v>
      </c>
      <c r="E185">
        <v>0</v>
      </c>
      <c r="F185">
        <v>0</v>
      </c>
      <c r="G185" s="3">
        <v>0</v>
      </c>
      <c r="H185" s="10">
        <v>0</v>
      </c>
      <c r="I185" s="10">
        <v>0</v>
      </c>
      <c r="J185" s="6">
        <v>0</v>
      </c>
    </row>
    <row r="186" spans="1:10">
      <c r="A186" t="s">
        <v>32</v>
      </c>
      <c r="B186">
        <v>1</v>
      </c>
      <c r="C186">
        <v>0</v>
      </c>
      <c r="D186" s="3">
        <v>0</v>
      </c>
      <c r="E186">
        <v>0</v>
      </c>
      <c r="F186">
        <v>0</v>
      </c>
      <c r="G186" s="3">
        <v>0</v>
      </c>
      <c r="H186" s="10">
        <v>0</v>
      </c>
      <c r="I186" s="10">
        <v>0</v>
      </c>
      <c r="J186" s="6">
        <v>0</v>
      </c>
    </row>
    <row r="187" spans="1:10">
      <c r="A187" t="s">
        <v>32</v>
      </c>
      <c r="B187">
        <v>1</v>
      </c>
      <c r="C187">
        <v>0</v>
      </c>
      <c r="D187" s="3">
        <v>0</v>
      </c>
      <c r="E187">
        <v>0</v>
      </c>
      <c r="F187">
        <v>0</v>
      </c>
      <c r="G187" s="3">
        <v>0</v>
      </c>
      <c r="H187" s="10">
        <v>0</v>
      </c>
      <c r="I187" s="10">
        <v>0</v>
      </c>
      <c r="J187" s="6">
        <v>0</v>
      </c>
    </row>
    <row r="188" spans="1:10">
      <c r="A188" t="s">
        <v>32</v>
      </c>
      <c r="B188">
        <v>1</v>
      </c>
      <c r="C188">
        <v>0</v>
      </c>
      <c r="D188" s="3">
        <v>0</v>
      </c>
      <c r="E188">
        <v>0</v>
      </c>
      <c r="F188">
        <v>0</v>
      </c>
      <c r="G188" s="3">
        <v>0</v>
      </c>
      <c r="H188" s="10">
        <v>0</v>
      </c>
      <c r="I188" s="10">
        <v>0</v>
      </c>
      <c r="J188" s="6">
        <v>0</v>
      </c>
    </row>
    <row r="189" spans="1:10">
      <c r="A189" t="s">
        <v>32</v>
      </c>
      <c r="B189">
        <v>1</v>
      </c>
      <c r="C189">
        <v>0</v>
      </c>
      <c r="D189" s="3">
        <v>0</v>
      </c>
      <c r="E189">
        <v>0</v>
      </c>
      <c r="F189">
        <v>0</v>
      </c>
      <c r="G189" s="3">
        <v>0</v>
      </c>
      <c r="H189" s="10">
        <v>0</v>
      </c>
      <c r="I189" s="10">
        <v>0</v>
      </c>
      <c r="J189" s="6">
        <v>0</v>
      </c>
    </row>
    <row r="190" spans="1:10">
      <c r="A190" t="s">
        <v>32</v>
      </c>
      <c r="B190">
        <v>1</v>
      </c>
      <c r="C190">
        <v>0</v>
      </c>
      <c r="D190" s="3">
        <v>0</v>
      </c>
      <c r="E190">
        <v>0</v>
      </c>
      <c r="F190">
        <v>0</v>
      </c>
      <c r="G190" s="3">
        <v>0</v>
      </c>
      <c r="H190" s="10">
        <v>0</v>
      </c>
      <c r="I190" s="10">
        <v>0</v>
      </c>
      <c r="J190" s="6">
        <v>0</v>
      </c>
    </row>
    <row r="191" spans="1:10">
      <c r="A191" t="s">
        <v>32</v>
      </c>
      <c r="B191">
        <v>1</v>
      </c>
      <c r="C191">
        <v>0</v>
      </c>
      <c r="D191" s="3">
        <v>0</v>
      </c>
      <c r="E191">
        <v>0</v>
      </c>
      <c r="F191">
        <v>0</v>
      </c>
      <c r="G191" s="3">
        <v>0</v>
      </c>
      <c r="H191" s="10">
        <v>0</v>
      </c>
      <c r="I191" s="10">
        <v>0</v>
      </c>
      <c r="J191" s="6">
        <v>0</v>
      </c>
    </row>
    <row r="192" spans="1:10">
      <c r="A192" t="s">
        <v>32</v>
      </c>
      <c r="B192">
        <v>1</v>
      </c>
      <c r="C192">
        <v>0</v>
      </c>
      <c r="D192" s="3">
        <v>0</v>
      </c>
      <c r="E192">
        <v>0</v>
      </c>
      <c r="F192">
        <v>0</v>
      </c>
      <c r="G192" s="3">
        <v>0</v>
      </c>
      <c r="H192" s="10">
        <v>0</v>
      </c>
      <c r="I192" s="10">
        <v>0</v>
      </c>
      <c r="J192" s="6">
        <v>0</v>
      </c>
    </row>
    <row r="193" spans="1:10">
      <c r="A193" t="s">
        <v>32</v>
      </c>
      <c r="B193">
        <v>1</v>
      </c>
      <c r="C193">
        <v>0</v>
      </c>
      <c r="D193" s="3">
        <v>0</v>
      </c>
      <c r="E193">
        <v>0</v>
      </c>
      <c r="F193">
        <v>0</v>
      </c>
      <c r="G193" s="3">
        <v>0</v>
      </c>
      <c r="H193" s="10">
        <v>0</v>
      </c>
      <c r="I193" s="10">
        <v>0</v>
      </c>
      <c r="J193" s="6">
        <v>0</v>
      </c>
    </row>
    <row r="194" spans="1:10">
      <c r="A194" t="s">
        <v>33</v>
      </c>
      <c r="B194">
        <v>1</v>
      </c>
      <c r="C194">
        <v>0</v>
      </c>
      <c r="D194" s="3">
        <v>0</v>
      </c>
      <c r="E194">
        <v>0</v>
      </c>
      <c r="F194">
        <v>0</v>
      </c>
      <c r="G194" s="3">
        <v>0</v>
      </c>
      <c r="H194" s="10">
        <v>0</v>
      </c>
      <c r="I194" s="10">
        <v>0</v>
      </c>
      <c r="J194" s="6">
        <v>0</v>
      </c>
    </row>
    <row r="195" spans="1:10">
      <c r="A195" t="s">
        <v>33</v>
      </c>
      <c r="B195">
        <v>1</v>
      </c>
      <c r="C195">
        <v>0</v>
      </c>
      <c r="D195" s="3">
        <v>0</v>
      </c>
      <c r="E195">
        <v>0</v>
      </c>
      <c r="F195">
        <v>0</v>
      </c>
      <c r="G195" s="3">
        <v>0</v>
      </c>
      <c r="H195" s="10">
        <v>0</v>
      </c>
      <c r="I195" s="10">
        <v>0</v>
      </c>
      <c r="J195" s="6">
        <v>0</v>
      </c>
    </row>
    <row r="196" spans="1:10">
      <c r="A196" t="s">
        <v>34</v>
      </c>
      <c r="B196">
        <v>1</v>
      </c>
      <c r="C196">
        <v>0</v>
      </c>
      <c r="D196" s="3">
        <v>0</v>
      </c>
      <c r="E196">
        <v>0</v>
      </c>
      <c r="F196">
        <v>0</v>
      </c>
      <c r="G196" s="3">
        <v>0</v>
      </c>
      <c r="H196" s="10">
        <v>0</v>
      </c>
      <c r="I196" s="10">
        <v>0</v>
      </c>
      <c r="J196" s="6">
        <v>0</v>
      </c>
    </row>
    <row r="197" spans="1:10">
      <c r="A197" t="s">
        <v>34</v>
      </c>
      <c r="B197">
        <v>1</v>
      </c>
      <c r="C197">
        <v>0</v>
      </c>
      <c r="D197" s="3">
        <v>0</v>
      </c>
      <c r="E197">
        <v>0</v>
      </c>
      <c r="F197">
        <v>0</v>
      </c>
      <c r="G197" s="3">
        <v>0</v>
      </c>
      <c r="H197" s="10">
        <v>0</v>
      </c>
      <c r="I197" s="10">
        <v>0</v>
      </c>
      <c r="J197" s="6">
        <v>0</v>
      </c>
    </row>
    <row r="198" spans="1:10">
      <c r="A198" t="s">
        <v>34</v>
      </c>
      <c r="B198">
        <v>1</v>
      </c>
      <c r="C198">
        <v>0</v>
      </c>
      <c r="D198" s="3">
        <v>0</v>
      </c>
      <c r="E198">
        <v>0</v>
      </c>
      <c r="F198">
        <v>0</v>
      </c>
      <c r="G198" s="3">
        <v>0</v>
      </c>
      <c r="H198" s="10">
        <v>0</v>
      </c>
      <c r="I198" s="10">
        <v>0</v>
      </c>
      <c r="J198" s="6">
        <v>0</v>
      </c>
    </row>
    <row r="199" spans="1:10">
      <c r="A199" t="s">
        <v>34</v>
      </c>
      <c r="B199">
        <v>1</v>
      </c>
      <c r="C199">
        <v>0</v>
      </c>
      <c r="D199" s="3">
        <v>0</v>
      </c>
      <c r="E199">
        <v>0</v>
      </c>
      <c r="F199">
        <v>0</v>
      </c>
      <c r="G199" s="3">
        <v>0</v>
      </c>
      <c r="H199" s="10">
        <v>0</v>
      </c>
      <c r="I199" s="10">
        <v>0</v>
      </c>
      <c r="J199" s="6">
        <v>0</v>
      </c>
    </row>
    <row r="200" spans="1:10">
      <c r="A200" t="s">
        <v>34</v>
      </c>
      <c r="B200">
        <v>1</v>
      </c>
      <c r="C200">
        <v>0</v>
      </c>
      <c r="D200" s="3">
        <v>0</v>
      </c>
      <c r="E200">
        <v>0</v>
      </c>
      <c r="F200">
        <v>0</v>
      </c>
      <c r="G200" s="3">
        <v>0</v>
      </c>
      <c r="H200" s="10">
        <v>0</v>
      </c>
      <c r="I200" s="10">
        <v>0</v>
      </c>
      <c r="J200" s="6">
        <v>0</v>
      </c>
    </row>
    <row r="201" spans="1:10">
      <c r="A201" t="s">
        <v>34</v>
      </c>
      <c r="B201">
        <v>1</v>
      </c>
      <c r="C201">
        <v>0</v>
      </c>
      <c r="D201" s="3">
        <v>0</v>
      </c>
      <c r="E201">
        <v>0</v>
      </c>
      <c r="F201">
        <v>0</v>
      </c>
      <c r="G201" s="3">
        <v>0</v>
      </c>
      <c r="H201" s="10">
        <v>0</v>
      </c>
      <c r="I201" s="10">
        <v>0</v>
      </c>
      <c r="J201" s="6">
        <v>0</v>
      </c>
    </row>
    <row r="202" spans="1:10">
      <c r="A202" t="s">
        <v>34</v>
      </c>
      <c r="B202">
        <v>1</v>
      </c>
      <c r="C202">
        <v>0</v>
      </c>
      <c r="D202" s="3">
        <v>0</v>
      </c>
      <c r="E202">
        <v>0</v>
      </c>
      <c r="F202">
        <v>0</v>
      </c>
      <c r="G202" s="3">
        <v>0</v>
      </c>
      <c r="H202" s="10">
        <v>0</v>
      </c>
      <c r="I202" s="10">
        <v>0</v>
      </c>
      <c r="J202" s="6">
        <v>0</v>
      </c>
    </row>
    <row r="203" spans="1:10">
      <c r="A203" t="s">
        <v>34</v>
      </c>
      <c r="B203">
        <v>1</v>
      </c>
      <c r="C203">
        <v>0</v>
      </c>
      <c r="D203" s="3">
        <v>0</v>
      </c>
      <c r="E203">
        <v>0</v>
      </c>
      <c r="F203">
        <v>0</v>
      </c>
      <c r="G203" s="3">
        <v>0</v>
      </c>
      <c r="H203" s="10">
        <v>0</v>
      </c>
      <c r="I203" s="10">
        <v>0</v>
      </c>
      <c r="J203" s="6">
        <v>0</v>
      </c>
    </row>
    <row r="204" spans="1:10">
      <c r="A204" t="s">
        <v>34</v>
      </c>
      <c r="B204">
        <v>1</v>
      </c>
      <c r="C204">
        <v>0</v>
      </c>
      <c r="D204" s="3">
        <v>0</v>
      </c>
      <c r="E204">
        <v>0</v>
      </c>
      <c r="F204">
        <v>0</v>
      </c>
      <c r="G204" s="3">
        <v>0</v>
      </c>
      <c r="H204" s="10">
        <v>0</v>
      </c>
      <c r="I204" s="10">
        <v>0</v>
      </c>
      <c r="J204" s="6">
        <v>0</v>
      </c>
    </row>
    <row r="205" spans="1:10">
      <c r="A205" t="s">
        <v>34</v>
      </c>
      <c r="B205">
        <v>1</v>
      </c>
      <c r="C205">
        <v>0</v>
      </c>
      <c r="D205" s="3">
        <v>0</v>
      </c>
      <c r="E205">
        <v>0</v>
      </c>
      <c r="F205">
        <v>0</v>
      </c>
      <c r="G205" s="3">
        <v>0</v>
      </c>
      <c r="H205" s="10">
        <v>0</v>
      </c>
      <c r="I205" s="10">
        <v>0</v>
      </c>
      <c r="J205" s="6">
        <v>0</v>
      </c>
    </row>
    <row r="206" spans="1:10">
      <c r="A206" t="s">
        <v>34</v>
      </c>
      <c r="B206">
        <v>1</v>
      </c>
      <c r="C206">
        <v>332</v>
      </c>
      <c r="D206" s="3">
        <v>4.5199999999999997E-2</v>
      </c>
      <c r="E206">
        <v>15</v>
      </c>
      <c r="F206">
        <v>4</v>
      </c>
      <c r="G206" s="3">
        <v>26.67</v>
      </c>
      <c r="H206" s="10">
        <v>2.6</v>
      </c>
      <c r="I206" s="10">
        <v>9.76</v>
      </c>
      <c r="J206" s="6">
        <v>39.049999999999997</v>
      </c>
    </row>
    <row r="207" spans="1:10">
      <c r="A207" t="s">
        <v>34</v>
      </c>
      <c r="B207">
        <v>1</v>
      </c>
      <c r="C207">
        <v>404</v>
      </c>
      <c r="D207" s="3">
        <v>6.6799999999999998E-2</v>
      </c>
      <c r="E207">
        <v>27</v>
      </c>
      <c r="F207">
        <v>3</v>
      </c>
      <c r="G207" s="3">
        <v>11.11</v>
      </c>
      <c r="H207" s="10">
        <v>1.61</v>
      </c>
      <c r="I207" s="10">
        <v>14.49</v>
      </c>
      <c r="J207" s="6">
        <v>43.47</v>
      </c>
    </row>
    <row r="208" spans="1:10">
      <c r="A208" t="s">
        <v>34</v>
      </c>
      <c r="B208">
        <v>1</v>
      </c>
      <c r="C208">
        <v>444</v>
      </c>
      <c r="D208" s="3">
        <v>6.08E-2</v>
      </c>
      <c r="E208">
        <v>27</v>
      </c>
      <c r="F208">
        <v>0</v>
      </c>
      <c r="G208" s="3">
        <v>0</v>
      </c>
      <c r="H208" s="10">
        <v>0</v>
      </c>
      <c r="I208" s="10">
        <v>0</v>
      </c>
      <c r="J208" s="6">
        <v>0</v>
      </c>
    </row>
    <row r="209" spans="1:10">
      <c r="A209" t="s">
        <v>34</v>
      </c>
      <c r="B209">
        <v>1</v>
      </c>
      <c r="C209">
        <v>575</v>
      </c>
      <c r="D209" s="3">
        <v>7.1300000000000002E-2</v>
      </c>
      <c r="E209">
        <v>41</v>
      </c>
      <c r="F209">
        <v>3</v>
      </c>
      <c r="G209" s="3">
        <v>7.32</v>
      </c>
      <c r="H209" s="10">
        <v>0.77</v>
      </c>
      <c r="I209" s="10">
        <v>10.53</v>
      </c>
      <c r="J209" s="6">
        <v>31.58</v>
      </c>
    </row>
    <row r="210" spans="1:10">
      <c r="A210" t="s">
        <v>35</v>
      </c>
      <c r="B210">
        <v>1</v>
      </c>
      <c r="C210">
        <v>0</v>
      </c>
      <c r="D210" s="3">
        <v>0</v>
      </c>
      <c r="E210">
        <v>0</v>
      </c>
      <c r="F210">
        <v>0</v>
      </c>
      <c r="G210" s="3">
        <v>0</v>
      </c>
      <c r="H210" s="10">
        <v>0</v>
      </c>
      <c r="I210" s="10">
        <v>0</v>
      </c>
      <c r="J210" s="6">
        <v>0</v>
      </c>
    </row>
    <row r="211" spans="1:10">
      <c r="A211" t="s">
        <v>35</v>
      </c>
      <c r="B211">
        <v>1</v>
      </c>
      <c r="C211">
        <v>0</v>
      </c>
      <c r="D211" s="3">
        <v>0</v>
      </c>
      <c r="E211">
        <v>0</v>
      </c>
      <c r="F211">
        <v>0</v>
      </c>
      <c r="G211" s="3">
        <v>0</v>
      </c>
      <c r="H211" s="10">
        <v>0</v>
      </c>
      <c r="I211" s="10">
        <v>0</v>
      </c>
      <c r="J211" s="6">
        <v>0</v>
      </c>
    </row>
    <row r="212" spans="1:10">
      <c r="A212" t="s">
        <v>35</v>
      </c>
      <c r="B212">
        <v>1</v>
      </c>
      <c r="C212">
        <v>0</v>
      </c>
      <c r="D212" s="3">
        <v>0</v>
      </c>
      <c r="E212">
        <v>0</v>
      </c>
      <c r="F212">
        <v>0</v>
      </c>
      <c r="G212" s="3">
        <v>0</v>
      </c>
      <c r="H212" s="10">
        <v>0</v>
      </c>
      <c r="I212" s="10">
        <v>0</v>
      </c>
      <c r="J212" s="6">
        <v>0</v>
      </c>
    </row>
    <row r="213" spans="1:10">
      <c r="A213" t="s">
        <v>35</v>
      </c>
      <c r="B213">
        <v>1</v>
      </c>
      <c r="C213">
        <v>0</v>
      </c>
      <c r="D213" s="3">
        <v>0</v>
      </c>
      <c r="E213">
        <v>0</v>
      </c>
      <c r="F213">
        <v>0</v>
      </c>
      <c r="G213" s="3">
        <v>0</v>
      </c>
      <c r="H213" s="10">
        <v>0</v>
      </c>
      <c r="I213" s="10">
        <v>0</v>
      </c>
      <c r="J213" s="6">
        <v>0</v>
      </c>
    </row>
    <row r="214" spans="1:10">
      <c r="A214" t="s">
        <v>35</v>
      </c>
      <c r="B214">
        <v>1</v>
      </c>
      <c r="C214">
        <v>0</v>
      </c>
      <c r="D214" s="3">
        <v>0</v>
      </c>
      <c r="E214">
        <v>0</v>
      </c>
      <c r="F214">
        <v>0</v>
      </c>
      <c r="G214" s="3">
        <v>0</v>
      </c>
      <c r="H214" s="10">
        <v>0</v>
      </c>
      <c r="I214" s="10">
        <v>0</v>
      </c>
      <c r="J214" s="6">
        <v>0</v>
      </c>
    </row>
    <row r="215" spans="1:10">
      <c r="A215" t="s">
        <v>35</v>
      </c>
      <c r="B215">
        <v>1</v>
      </c>
      <c r="C215">
        <v>0</v>
      </c>
      <c r="D215" s="3">
        <v>0</v>
      </c>
      <c r="E215">
        <v>0</v>
      </c>
      <c r="F215">
        <v>0</v>
      </c>
      <c r="G215" s="3">
        <v>0</v>
      </c>
      <c r="H215" s="10">
        <v>0</v>
      </c>
      <c r="I215" s="10">
        <v>0</v>
      </c>
      <c r="J215" s="6">
        <v>0</v>
      </c>
    </row>
    <row r="216" spans="1:10">
      <c r="A216" t="s">
        <v>35</v>
      </c>
      <c r="B216">
        <v>1</v>
      </c>
      <c r="C216">
        <v>0</v>
      </c>
      <c r="D216" s="3">
        <v>0</v>
      </c>
      <c r="E216">
        <v>0</v>
      </c>
      <c r="F216">
        <v>0</v>
      </c>
      <c r="G216" s="3">
        <v>0</v>
      </c>
      <c r="H216" s="10">
        <v>0</v>
      </c>
      <c r="I216" s="10">
        <v>0</v>
      </c>
      <c r="J216" s="6">
        <v>0</v>
      </c>
    </row>
    <row r="217" spans="1:10">
      <c r="A217" t="s">
        <v>35</v>
      </c>
      <c r="B217">
        <v>1</v>
      </c>
      <c r="C217">
        <v>0</v>
      </c>
      <c r="D217" s="3">
        <v>0</v>
      </c>
      <c r="E217">
        <v>0</v>
      </c>
      <c r="F217">
        <v>0</v>
      </c>
      <c r="G217" s="3">
        <v>0</v>
      </c>
      <c r="H217" s="10">
        <v>0</v>
      </c>
      <c r="I217" s="10">
        <v>0</v>
      </c>
      <c r="J217" s="6">
        <v>0</v>
      </c>
    </row>
    <row r="218" spans="1:10">
      <c r="A218" t="s">
        <v>35</v>
      </c>
      <c r="B218">
        <v>1</v>
      </c>
      <c r="C218">
        <v>132</v>
      </c>
      <c r="D218" s="3">
        <v>7.5800000000000006E-2</v>
      </c>
      <c r="E218">
        <v>10</v>
      </c>
      <c r="F218">
        <v>1</v>
      </c>
      <c r="G218" s="3">
        <v>1.7390000000000001E-3</v>
      </c>
      <c r="H218" s="10">
        <v>3.6</v>
      </c>
      <c r="I218" s="10">
        <v>35.97</v>
      </c>
      <c r="J218" s="6">
        <v>35.97</v>
      </c>
    </row>
    <row r="219" spans="1:10">
      <c r="A219" t="s">
        <v>35</v>
      </c>
      <c r="B219">
        <v>1</v>
      </c>
      <c r="C219">
        <v>235</v>
      </c>
      <c r="D219" s="3">
        <v>9.3599999999999989E-2</v>
      </c>
      <c r="E219">
        <v>22</v>
      </c>
      <c r="F219">
        <v>2</v>
      </c>
      <c r="G219" s="3">
        <v>0.11109999999999999</v>
      </c>
      <c r="H219" s="10">
        <v>0.09</v>
      </c>
      <c r="I219" s="10">
        <v>0.98</v>
      </c>
      <c r="J219" s="6">
        <v>1.96</v>
      </c>
    </row>
    <row r="220" spans="1:10">
      <c r="A220" t="s">
        <v>35</v>
      </c>
      <c r="B220">
        <v>1</v>
      </c>
      <c r="C220">
        <v>318</v>
      </c>
      <c r="D220" s="3">
        <v>6.2899999999999998E-2</v>
      </c>
      <c r="E220">
        <v>20</v>
      </c>
      <c r="F220">
        <v>2</v>
      </c>
      <c r="G220" s="3">
        <v>10</v>
      </c>
      <c r="H220" s="10">
        <v>0.2</v>
      </c>
      <c r="I220" s="10">
        <v>2.0299999999999998</v>
      </c>
      <c r="J220" s="6">
        <v>4.05</v>
      </c>
    </row>
    <row r="221" spans="1:10">
      <c r="A221" t="s">
        <v>35</v>
      </c>
      <c r="B221">
        <v>1</v>
      </c>
      <c r="C221">
        <v>373</v>
      </c>
      <c r="D221" s="3">
        <v>7.7699999999999991E-2</v>
      </c>
      <c r="E221">
        <v>29</v>
      </c>
      <c r="F221">
        <v>4</v>
      </c>
      <c r="G221" s="3">
        <v>13.79</v>
      </c>
      <c r="H221" s="10">
        <v>0.31</v>
      </c>
      <c r="I221" s="10">
        <v>2.2400000000000002</v>
      </c>
      <c r="J221" s="6">
        <v>8.9700000000000006</v>
      </c>
    </row>
    <row r="222" spans="1:10">
      <c r="A222" t="s">
        <v>35</v>
      </c>
      <c r="B222">
        <v>1</v>
      </c>
      <c r="C222">
        <v>444</v>
      </c>
      <c r="D222" s="3">
        <v>4.4999999999999998E-2</v>
      </c>
      <c r="E222">
        <v>20</v>
      </c>
      <c r="F222">
        <v>1</v>
      </c>
      <c r="G222" s="3">
        <v>5</v>
      </c>
      <c r="H222" s="10">
        <v>0.61</v>
      </c>
      <c r="I222" s="10">
        <v>12.18</v>
      </c>
      <c r="J222" s="6">
        <v>12.18</v>
      </c>
    </row>
    <row r="223" spans="1:10">
      <c r="A223" t="s">
        <v>35</v>
      </c>
      <c r="B223">
        <v>1</v>
      </c>
      <c r="C223">
        <v>632</v>
      </c>
      <c r="D223" s="3">
        <v>6.8000000000000005E-2</v>
      </c>
      <c r="E223">
        <v>43</v>
      </c>
      <c r="F223">
        <v>3</v>
      </c>
      <c r="G223" s="3">
        <v>6.98</v>
      </c>
      <c r="H223" s="10">
        <v>1.04</v>
      </c>
      <c r="I223" s="10">
        <v>14.92</v>
      </c>
      <c r="J223" s="6">
        <v>44.77</v>
      </c>
    </row>
    <row r="224" spans="1:10">
      <c r="A224" t="s">
        <v>35</v>
      </c>
      <c r="B224">
        <v>1</v>
      </c>
      <c r="C224">
        <v>8</v>
      </c>
      <c r="D224" s="3">
        <v>0</v>
      </c>
      <c r="E224">
        <v>0</v>
      </c>
      <c r="F224">
        <v>0</v>
      </c>
      <c r="G224" s="3">
        <v>0</v>
      </c>
      <c r="H224" s="10">
        <v>0</v>
      </c>
      <c r="I224" s="10">
        <v>0</v>
      </c>
      <c r="J224" s="6">
        <v>0</v>
      </c>
    </row>
    <row r="225" spans="1:10">
      <c r="A225" t="s">
        <v>35</v>
      </c>
      <c r="B225">
        <v>1</v>
      </c>
      <c r="C225">
        <v>232</v>
      </c>
      <c r="D225" s="3">
        <v>6.9000000000000006E-2</v>
      </c>
      <c r="E225">
        <v>16</v>
      </c>
      <c r="F225">
        <v>1</v>
      </c>
      <c r="G225" s="3">
        <v>0.16670000000000001</v>
      </c>
      <c r="H225" s="10">
        <v>0.69</v>
      </c>
      <c r="I225" s="10">
        <v>11.02</v>
      </c>
      <c r="J225" s="6">
        <v>11.02</v>
      </c>
    </row>
    <row r="226" spans="1:10">
      <c r="A226" t="s">
        <v>35</v>
      </c>
      <c r="B226">
        <v>1</v>
      </c>
      <c r="C226">
        <v>0</v>
      </c>
      <c r="D226" s="3">
        <v>0</v>
      </c>
      <c r="E226">
        <v>0</v>
      </c>
      <c r="F226">
        <v>0</v>
      </c>
      <c r="G226" s="3">
        <v>0</v>
      </c>
      <c r="H226" s="10">
        <v>0</v>
      </c>
      <c r="I226" s="10">
        <v>0</v>
      </c>
      <c r="J226" s="6">
        <v>0</v>
      </c>
    </row>
    <row r="227" spans="1:10">
      <c r="A227" t="s">
        <v>35</v>
      </c>
      <c r="B227">
        <v>1</v>
      </c>
      <c r="C227">
        <v>188</v>
      </c>
      <c r="D227" s="3">
        <v>9.5700000000000007E-2</v>
      </c>
      <c r="E227">
        <v>18</v>
      </c>
      <c r="F227">
        <v>2</v>
      </c>
      <c r="G227" s="3">
        <v>0.23079999999999998</v>
      </c>
      <c r="H227" s="10">
        <v>0.4</v>
      </c>
      <c r="I227" s="10">
        <v>3.6</v>
      </c>
      <c r="J227" s="6">
        <v>7.2</v>
      </c>
    </row>
    <row r="228" spans="1:10">
      <c r="A228" t="s">
        <v>35</v>
      </c>
      <c r="B228">
        <v>1</v>
      </c>
      <c r="C228">
        <v>0</v>
      </c>
      <c r="D228" s="3">
        <v>0</v>
      </c>
      <c r="E228">
        <v>0</v>
      </c>
      <c r="F228">
        <v>0</v>
      </c>
      <c r="G228" s="3">
        <v>0</v>
      </c>
      <c r="H228" s="10">
        <v>0</v>
      </c>
      <c r="I228" s="10">
        <v>0</v>
      </c>
      <c r="J228" s="6">
        <v>0</v>
      </c>
    </row>
    <row r="229" spans="1:10">
      <c r="A229" t="s">
        <v>35</v>
      </c>
      <c r="B229">
        <v>1</v>
      </c>
      <c r="C229">
        <v>0</v>
      </c>
      <c r="D229" s="3">
        <v>0</v>
      </c>
      <c r="E229">
        <v>0</v>
      </c>
      <c r="F229">
        <v>0</v>
      </c>
      <c r="G229" s="3">
        <v>0</v>
      </c>
      <c r="H229" s="10">
        <v>0</v>
      </c>
      <c r="I229" s="10">
        <v>0</v>
      </c>
      <c r="J229" s="6">
        <v>0</v>
      </c>
    </row>
    <row r="230" spans="1:10">
      <c r="A230" t="s">
        <v>35</v>
      </c>
      <c r="B230">
        <v>1</v>
      </c>
      <c r="C230">
        <v>0</v>
      </c>
      <c r="D230" s="3">
        <v>0</v>
      </c>
      <c r="E230">
        <v>0</v>
      </c>
      <c r="F230">
        <v>0</v>
      </c>
      <c r="G230" s="3">
        <v>0</v>
      </c>
      <c r="H230" s="10">
        <v>0</v>
      </c>
      <c r="I230" s="10">
        <v>0</v>
      </c>
      <c r="J230" s="6">
        <v>0</v>
      </c>
    </row>
    <row r="231" spans="1:10">
      <c r="A231" t="s">
        <v>35</v>
      </c>
      <c r="B231">
        <v>1</v>
      </c>
      <c r="C231">
        <v>0</v>
      </c>
      <c r="D231" s="3">
        <v>0</v>
      </c>
      <c r="E231">
        <v>0</v>
      </c>
      <c r="F231">
        <v>0</v>
      </c>
      <c r="G231" s="3">
        <v>0</v>
      </c>
      <c r="H231" s="10">
        <v>0</v>
      </c>
      <c r="I231" s="10">
        <v>0</v>
      </c>
      <c r="J231" s="6">
        <v>0</v>
      </c>
    </row>
    <row r="232" spans="1:10">
      <c r="A232" t="s">
        <v>35</v>
      </c>
      <c r="B232">
        <v>1</v>
      </c>
      <c r="C232">
        <v>575</v>
      </c>
      <c r="D232" s="3">
        <v>7.4800000000000005E-2</v>
      </c>
      <c r="E232">
        <v>43</v>
      </c>
      <c r="F232">
        <v>4</v>
      </c>
      <c r="G232" s="3">
        <v>9.3000000000000007</v>
      </c>
      <c r="H232" s="10">
        <v>0.88</v>
      </c>
      <c r="I232" s="10">
        <v>9.42</v>
      </c>
      <c r="J232" s="6">
        <v>37.68</v>
      </c>
    </row>
    <row r="233" spans="1:10">
      <c r="A233" t="s">
        <v>35</v>
      </c>
      <c r="B233">
        <v>1</v>
      </c>
      <c r="C233">
        <v>9</v>
      </c>
      <c r="D233" s="3">
        <v>0.11109999999999999</v>
      </c>
      <c r="E233">
        <v>1</v>
      </c>
      <c r="F233">
        <v>0</v>
      </c>
      <c r="G233" s="3">
        <v>0</v>
      </c>
      <c r="H233" s="10">
        <v>0</v>
      </c>
      <c r="I233" s="10">
        <v>0</v>
      </c>
      <c r="J233" s="6">
        <v>0</v>
      </c>
    </row>
    <row r="234" spans="1:10">
      <c r="A234" t="s">
        <v>36</v>
      </c>
      <c r="B234">
        <v>1</v>
      </c>
      <c r="C234">
        <v>0</v>
      </c>
      <c r="D234" s="3">
        <v>0</v>
      </c>
      <c r="E234">
        <v>0</v>
      </c>
      <c r="F234">
        <v>0</v>
      </c>
      <c r="G234" s="3">
        <v>0</v>
      </c>
      <c r="H234" s="10">
        <v>0</v>
      </c>
      <c r="I234" s="10">
        <v>0</v>
      </c>
      <c r="J234" s="6">
        <v>0</v>
      </c>
    </row>
    <row r="235" spans="1:10">
      <c r="A235" t="s">
        <v>37</v>
      </c>
      <c r="B235">
        <v>1</v>
      </c>
      <c r="C235">
        <v>0</v>
      </c>
      <c r="D235" s="3">
        <v>0</v>
      </c>
      <c r="E235">
        <v>0</v>
      </c>
      <c r="F235">
        <v>0</v>
      </c>
      <c r="G235" s="3">
        <v>0</v>
      </c>
      <c r="H235" s="10">
        <v>0</v>
      </c>
      <c r="I235" s="10">
        <v>0</v>
      </c>
      <c r="J235" s="6">
        <v>0</v>
      </c>
    </row>
    <row r="236" spans="1:10">
      <c r="A236" t="s">
        <v>38</v>
      </c>
      <c r="B236">
        <v>1</v>
      </c>
      <c r="C236">
        <v>0</v>
      </c>
      <c r="D236" s="3">
        <v>0</v>
      </c>
      <c r="E236">
        <v>0</v>
      </c>
      <c r="F236">
        <v>0</v>
      </c>
      <c r="G236" s="3">
        <v>0</v>
      </c>
      <c r="H236" s="10">
        <v>0</v>
      </c>
      <c r="I236" s="10">
        <v>0</v>
      </c>
      <c r="J236" s="6">
        <v>0</v>
      </c>
    </row>
    <row r="237" spans="1:10">
      <c r="A237" t="s">
        <v>39</v>
      </c>
      <c r="B237">
        <v>1</v>
      </c>
      <c r="C237">
        <v>0</v>
      </c>
      <c r="D237" s="3">
        <v>0</v>
      </c>
      <c r="E237">
        <v>0</v>
      </c>
      <c r="F237">
        <v>0</v>
      </c>
      <c r="G237" s="3">
        <v>0</v>
      </c>
      <c r="H237" s="10">
        <v>0</v>
      </c>
      <c r="I237" s="10">
        <v>0</v>
      </c>
      <c r="J237" s="6">
        <v>0</v>
      </c>
    </row>
    <row r="238" spans="1:10">
      <c r="A238" t="s">
        <v>40</v>
      </c>
      <c r="B238">
        <v>1</v>
      </c>
      <c r="C238">
        <v>0</v>
      </c>
      <c r="D238" s="3">
        <v>0</v>
      </c>
      <c r="E238">
        <v>0</v>
      </c>
      <c r="F238">
        <v>0</v>
      </c>
      <c r="G238" s="3">
        <v>0</v>
      </c>
      <c r="H238" s="10">
        <v>0</v>
      </c>
      <c r="I238" s="10">
        <v>0</v>
      </c>
      <c r="J238" s="6">
        <v>0</v>
      </c>
    </row>
    <row r="239" spans="1:10">
      <c r="A239" t="s">
        <v>41</v>
      </c>
      <c r="B239">
        <v>1</v>
      </c>
      <c r="C239">
        <v>0</v>
      </c>
      <c r="D239" s="3">
        <v>0</v>
      </c>
      <c r="E239">
        <v>0</v>
      </c>
      <c r="F239">
        <v>0</v>
      </c>
      <c r="G239" s="3">
        <v>0</v>
      </c>
      <c r="H239" s="10">
        <v>0</v>
      </c>
      <c r="I239" s="10">
        <v>0</v>
      </c>
      <c r="J239" s="6">
        <v>0</v>
      </c>
    </row>
    <row r="240" spans="1:10">
      <c r="A240" t="s">
        <v>42</v>
      </c>
      <c r="B240">
        <v>1</v>
      </c>
      <c r="C240">
        <v>0</v>
      </c>
      <c r="D240" s="3">
        <v>0</v>
      </c>
      <c r="E240">
        <v>0</v>
      </c>
      <c r="F240">
        <v>0</v>
      </c>
      <c r="G240" s="3">
        <v>0</v>
      </c>
      <c r="H240" s="10">
        <v>0</v>
      </c>
      <c r="I240" s="10">
        <v>0</v>
      </c>
      <c r="J240" s="6">
        <v>0</v>
      </c>
    </row>
    <row r="241" spans="1:10">
      <c r="A241" t="s">
        <v>42</v>
      </c>
      <c r="B241">
        <v>1</v>
      </c>
      <c r="C241">
        <v>167</v>
      </c>
      <c r="D241" s="3">
        <v>0.1198</v>
      </c>
      <c r="E241">
        <v>20</v>
      </c>
      <c r="F241">
        <v>4</v>
      </c>
      <c r="G241" s="3">
        <v>5.0000000000000001E-4</v>
      </c>
      <c r="H241" s="10">
        <v>0.88</v>
      </c>
      <c r="I241" s="10">
        <v>4.38</v>
      </c>
      <c r="J241" s="6">
        <v>17.5</v>
      </c>
    </row>
    <row r="242" spans="1:10">
      <c r="A242" t="s">
        <v>42</v>
      </c>
      <c r="B242">
        <v>1</v>
      </c>
      <c r="C242">
        <v>0</v>
      </c>
      <c r="D242" s="3">
        <v>0</v>
      </c>
      <c r="E242">
        <v>0</v>
      </c>
      <c r="F242">
        <v>0</v>
      </c>
      <c r="G242" s="3">
        <v>0</v>
      </c>
      <c r="H242" s="10">
        <v>0</v>
      </c>
      <c r="I242" s="10">
        <v>0</v>
      </c>
      <c r="J242" s="6">
        <v>0</v>
      </c>
    </row>
    <row r="243" spans="1:10">
      <c r="A243" t="s">
        <v>42</v>
      </c>
      <c r="B243">
        <v>1</v>
      </c>
      <c r="C243">
        <v>225</v>
      </c>
      <c r="D243" s="3">
        <v>0.10220000000000001</v>
      </c>
      <c r="E243">
        <v>23</v>
      </c>
      <c r="F243">
        <v>4</v>
      </c>
      <c r="G243" s="3">
        <v>0.13789999999999999</v>
      </c>
      <c r="H243" s="10">
        <v>1.05</v>
      </c>
      <c r="I243" s="10">
        <v>6.04</v>
      </c>
      <c r="J243" s="6">
        <v>24.14</v>
      </c>
    </row>
    <row r="244" spans="1:10">
      <c r="A244" t="s">
        <v>43</v>
      </c>
      <c r="B244">
        <v>1</v>
      </c>
      <c r="C244">
        <v>0</v>
      </c>
      <c r="D244" s="3">
        <v>0</v>
      </c>
      <c r="E244">
        <v>0</v>
      </c>
      <c r="F244">
        <v>0</v>
      </c>
      <c r="G244" s="3">
        <v>0</v>
      </c>
      <c r="H244" s="10">
        <v>0</v>
      </c>
      <c r="I244" s="10">
        <v>0</v>
      </c>
      <c r="J244" s="6">
        <v>0</v>
      </c>
    </row>
    <row r="245" spans="1:10">
      <c r="A245" t="s">
        <v>44</v>
      </c>
      <c r="B245">
        <v>1</v>
      </c>
      <c r="C245">
        <v>0</v>
      </c>
      <c r="D245" s="3">
        <v>0</v>
      </c>
      <c r="E245">
        <v>0</v>
      </c>
      <c r="F245">
        <v>0</v>
      </c>
      <c r="G245" s="3">
        <v>0</v>
      </c>
      <c r="H245" s="10">
        <v>0</v>
      </c>
      <c r="I245" s="10">
        <v>0</v>
      </c>
      <c r="J245" s="6">
        <v>0</v>
      </c>
    </row>
    <row r="246" spans="1:10">
      <c r="A246" t="s">
        <v>44</v>
      </c>
      <c r="B246">
        <v>1</v>
      </c>
      <c r="C246">
        <v>0</v>
      </c>
      <c r="D246" s="3">
        <v>0</v>
      </c>
      <c r="E246">
        <v>0</v>
      </c>
      <c r="F246">
        <v>0</v>
      </c>
      <c r="G246" s="3">
        <v>0</v>
      </c>
      <c r="H246" s="10">
        <v>0</v>
      </c>
      <c r="I246" s="10">
        <v>0</v>
      </c>
      <c r="J246" s="6">
        <v>0</v>
      </c>
    </row>
    <row r="247" spans="1:10">
      <c r="A247" t="s">
        <v>44</v>
      </c>
      <c r="B247">
        <v>1</v>
      </c>
      <c r="C247">
        <v>0</v>
      </c>
      <c r="D247" s="3">
        <v>0</v>
      </c>
      <c r="E247">
        <v>0</v>
      </c>
      <c r="F247">
        <v>0</v>
      </c>
      <c r="G247" s="3">
        <v>0</v>
      </c>
      <c r="H247" s="10">
        <v>0</v>
      </c>
      <c r="I247" s="10">
        <v>0</v>
      </c>
      <c r="J247" s="6">
        <v>0</v>
      </c>
    </row>
    <row r="248" spans="1:10">
      <c r="A248" t="s">
        <v>45</v>
      </c>
      <c r="B248">
        <v>1</v>
      </c>
      <c r="C248">
        <v>0</v>
      </c>
      <c r="D248" s="3">
        <v>0</v>
      </c>
      <c r="E248">
        <v>0</v>
      </c>
      <c r="F248">
        <v>0</v>
      </c>
      <c r="G248" s="3">
        <v>0</v>
      </c>
      <c r="H248" s="10">
        <v>0</v>
      </c>
      <c r="I248" s="10">
        <v>0</v>
      </c>
      <c r="J248" s="6">
        <v>0</v>
      </c>
    </row>
    <row r="249" spans="1:10">
      <c r="A249" t="s">
        <v>45</v>
      </c>
      <c r="B249">
        <v>1</v>
      </c>
      <c r="C249">
        <v>0</v>
      </c>
      <c r="D249" s="3">
        <v>0</v>
      </c>
      <c r="E249">
        <v>0</v>
      </c>
      <c r="F249">
        <v>0</v>
      </c>
      <c r="G249" s="3">
        <v>0</v>
      </c>
      <c r="H249" s="10">
        <v>0</v>
      </c>
      <c r="I249" s="10">
        <v>0</v>
      </c>
      <c r="J249" s="6">
        <v>0</v>
      </c>
    </row>
    <row r="250" spans="1:10">
      <c r="A250" t="s">
        <v>45</v>
      </c>
      <c r="B250">
        <v>1</v>
      </c>
      <c r="C250">
        <v>0</v>
      </c>
      <c r="D250" s="3">
        <v>0</v>
      </c>
      <c r="E250">
        <v>0</v>
      </c>
      <c r="F250">
        <v>0</v>
      </c>
      <c r="G250" s="3">
        <v>0</v>
      </c>
      <c r="H250" s="10">
        <v>0</v>
      </c>
      <c r="I250" s="10">
        <v>0</v>
      </c>
      <c r="J250" s="6">
        <v>0</v>
      </c>
    </row>
    <row r="251" spans="1:10">
      <c r="A251" t="s">
        <v>45</v>
      </c>
      <c r="B251">
        <v>1</v>
      </c>
      <c r="C251">
        <v>0</v>
      </c>
      <c r="D251" s="3">
        <v>0</v>
      </c>
      <c r="E251">
        <v>0</v>
      </c>
      <c r="F251">
        <v>0</v>
      </c>
      <c r="G251" s="3">
        <v>0</v>
      </c>
      <c r="H251" s="10">
        <v>0</v>
      </c>
      <c r="I251" s="10">
        <v>0</v>
      </c>
      <c r="J251" s="6">
        <v>0</v>
      </c>
    </row>
    <row r="252" spans="1:10">
      <c r="A252" t="s">
        <v>45</v>
      </c>
      <c r="B252">
        <v>1</v>
      </c>
      <c r="C252">
        <v>0</v>
      </c>
      <c r="D252" s="3">
        <v>0</v>
      </c>
      <c r="E252">
        <v>0</v>
      </c>
      <c r="F252">
        <v>0</v>
      </c>
      <c r="G252" s="3">
        <v>0</v>
      </c>
      <c r="H252" s="10">
        <v>0</v>
      </c>
      <c r="I252" s="10">
        <v>0</v>
      </c>
      <c r="J252" s="6">
        <v>0</v>
      </c>
    </row>
    <row r="253" spans="1:10">
      <c r="A253" t="s">
        <v>45</v>
      </c>
      <c r="B253">
        <v>1</v>
      </c>
      <c r="C253">
        <v>0</v>
      </c>
      <c r="D253" s="3">
        <v>0</v>
      </c>
      <c r="E253">
        <v>0</v>
      </c>
      <c r="F253">
        <v>0</v>
      </c>
      <c r="G253" s="3">
        <v>0</v>
      </c>
      <c r="H253" s="10">
        <v>0</v>
      </c>
      <c r="I253" s="10">
        <v>0</v>
      </c>
      <c r="J253" s="6">
        <v>0</v>
      </c>
    </row>
    <row r="254" spans="1:10">
      <c r="A254" t="s">
        <v>45</v>
      </c>
      <c r="B254">
        <v>1</v>
      </c>
      <c r="C254">
        <v>0</v>
      </c>
      <c r="D254" s="3">
        <v>0</v>
      </c>
      <c r="E254">
        <v>0</v>
      </c>
      <c r="F254">
        <v>0</v>
      </c>
      <c r="G254" s="3">
        <v>0</v>
      </c>
      <c r="H254" s="10">
        <v>0</v>
      </c>
      <c r="I254" s="10">
        <v>0</v>
      </c>
      <c r="J254" s="6">
        <v>0</v>
      </c>
    </row>
    <row r="255" spans="1:10">
      <c r="A255" t="s">
        <v>45</v>
      </c>
      <c r="B255">
        <v>1</v>
      </c>
      <c r="C255">
        <v>0</v>
      </c>
      <c r="D255" s="3">
        <v>0</v>
      </c>
      <c r="E255">
        <v>0</v>
      </c>
      <c r="F255">
        <v>0</v>
      </c>
      <c r="G255" s="3">
        <v>0</v>
      </c>
      <c r="H255" s="10">
        <v>0</v>
      </c>
      <c r="I255" s="10">
        <v>0</v>
      </c>
      <c r="J255" s="6">
        <v>0</v>
      </c>
    </row>
    <row r="256" spans="1:10">
      <c r="A256" t="s">
        <v>45</v>
      </c>
      <c r="B256">
        <v>1</v>
      </c>
      <c r="C256">
        <v>0</v>
      </c>
      <c r="D256" s="3">
        <v>0</v>
      </c>
      <c r="E256">
        <v>0</v>
      </c>
      <c r="F256">
        <v>0</v>
      </c>
      <c r="G256" s="3">
        <v>0</v>
      </c>
      <c r="H256" s="10">
        <v>0</v>
      </c>
      <c r="I256" s="10">
        <v>0</v>
      </c>
      <c r="J256" s="6">
        <v>0</v>
      </c>
    </row>
    <row r="257" spans="1:10">
      <c r="A257" t="s">
        <v>45</v>
      </c>
      <c r="B257">
        <v>1</v>
      </c>
      <c r="C257">
        <v>0</v>
      </c>
      <c r="D257" s="3">
        <v>0</v>
      </c>
      <c r="E257">
        <v>0</v>
      </c>
      <c r="F257">
        <v>0</v>
      </c>
      <c r="G257" s="3">
        <v>0</v>
      </c>
      <c r="H257" s="10">
        <v>0</v>
      </c>
      <c r="I257" s="10">
        <v>0</v>
      </c>
      <c r="J257" s="6">
        <v>0</v>
      </c>
    </row>
    <row r="258" spans="1:10">
      <c r="A258" t="s">
        <v>45</v>
      </c>
      <c r="B258">
        <v>1</v>
      </c>
      <c r="C258">
        <v>0</v>
      </c>
      <c r="D258" s="3">
        <v>0</v>
      </c>
      <c r="E258">
        <v>0</v>
      </c>
      <c r="F258">
        <v>0</v>
      </c>
      <c r="G258" s="3">
        <v>0</v>
      </c>
      <c r="H258" s="10">
        <v>0</v>
      </c>
      <c r="I258" s="10">
        <v>0</v>
      </c>
      <c r="J258" s="6">
        <v>0</v>
      </c>
    </row>
    <row r="259" spans="1:10">
      <c r="A259" t="s">
        <v>45</v>
      </c>
      <c r="B259">
        <v>1</v>
      </c>
      <c r="C259">
        <v>0</v>
      </c>
      <c r="D259" s="3">
        <v>0</v>
      </c>
      <c r="E259">
        <v>0</v>
      </c>
      <c r="F259">
        <v>0</v>
      </c>
      <c r="G259" s="3">
        <v>0</v>
      </c>
      <c r="H259" s="10">
        <v>0</v>
      </c>
      <c r="I259" s="10">
        <v>0</v>
      </c>
      <c r="J259" s="6">
        <v>0</v>
      </c>
    </row>
    <row r="260" spans="1:10">
      <c r="A260" t="s">
        <v>45</v>
      </c>
      <c r="B260">
        <v>1</v>
      </c>
      <c r="C260">
        <v>238</v>
      </c>
      <c r="D260" s="3">
        <v>5.04E-2</v>
      </c>
      <c r="E260">
        <v>12</v>
      </c>
      <c r="F260">
        <v>1</v>
      </c>
      <c r="G260" s="3">
        <v>0.33329999999999999</v>
      </c>
      <c r="H260" s="10">
        <v>1.38</v>
      </c>
      <c r="I260" s="10">
        <v>16.57</v>
      </c>
      <c r="J260" s="6">
        <v>16.57</v>
      </c>
    </row>
    <row r="261" spans="1:10">
      <c r="A261" t="s">
        <v>45</v>
      </c>
      <c r="B261">
        <v>1</v>
      </c>
      <c r="C261">
        <v>377</v>
      </c>
      <c r="D261" s="3">
        <v>3.4500000000000003E-2</v>
      </c>
      <c r="E261">
        <v>13</v>
      </c>
      <c r="F261">
        <v>2</v>
      </c>
      <c r="G261" s="3">
        <v>15.38</v>
      </c>
      <c r="H261" s="10">
        <v>1.66</v>
      </c>
      <c r="I261" s="10">
        <v>10.81</v>
      </c>
      <c r="J261" s="6">
        <v>21.61</v>
      </c>
    </row>
    <row r="262" spans="1:10">
      <c r="A262" t="s">
        <v>45</v>
      </c>
      <c r="B262">
        <v>1</v>
      </c>
      <c r="C262">
        <v>410</v>
      </c>
      <c r="D262" s="3">
        <v>2.9300000000000003E-2</v>
      </c>
      <c r="E262">
        <v>12</v>
      </c>
      <c r="F262">
        <v>2</v>
      </c>
      <c r="G262" s="3">
        <v>16.670000000000002</v>
      </c>
      <c r="H262" s="10">
        <v>1.24</v>
      </c>
      <c r="I262" s="10">
        <v>7.41</v>
      </c>
      <c r="J262" s="6">
        <v>14.82</v>
      </c>
    </row>
    <row r="263" spans="1:10">
      <c r="A263" t="s">
        <v>46</v>
      </c>
      <c r="B263">
        <v>1</v>
      </c>
      <c r="C263">
        <v>0</v>
      </c>
      <c r="D263" s="3">
        <v>0</v>
      </c>
      <c r="E263">
        <v>0</v>
      </c>
      <c r="F263">
        <v>0</v>
      </c>
      <c r="G263" s="3">
        <v>0</v>
      </c>
      <c r="H263" s="10">
        <v>0</v>
      </c>
      <c r="I263" s="10">
        <v>0</v>
      </c>
      <c r="J263" s="6">
        <v>0</v>
      </c>
    </row>
    <row r="264" spans="1:10">
      <c r="A264" t="s">
        <v>46</v>
      </c>
      <c r="B264">
        <v>1</v>
      </c>
      <c r="C264">
        <v>144</v>
      </c>
      <c r="D264" s="3">
        <v>5.5599999999999997E-2</v>
      </c>
      <c r="E264">
        <v>8</v>
      </c>
      <c r="F264">
        <v>0</v>
      </c>
      <c r="G264" s="3">
        <v>2.5000000000000001E-3</v>
      </c>
      <c r="H264" s="10">
        <v>0</v>
      </c>
      <c r="I264" s="10">
        <v>0</v>
      </c>
      <c r="J264" s="6">
        <v>0</v>
      </c>
    </row>
    <row r="265" spans="1:10">
      <c r="A265" t="s">
        <v>46</v>
      </c>
      <c r="B265">
        <v>1</v>
      </c>
      <c r="C265">
        <v>224</v>
      </c>
      <c r="D265" s="3">
        <v>4.4600000000000001E-2</v>
      </c>
      <c r="E265">
        <v>10</v>
      </c>
      <c r="F265">
        <v>1</v>
      </c>
      <c r="G265" s="3">
        <v>0.1875</v>
      </c>
      <c r="H265" s="10">
        <v>1.32</v>
      </c>
      <c r="I265" s="10">
        <v>13.18</v>
      </c>
      <c r="J265" s="6">
        <v>13.18</v>
      </c>
    </row>
    <row r="266" spans="1:10">
      <c r="A266" t="s">
        <v>46</v>
      </c>
      <c r="B266">
        <v>1</v>
      </c>
      <c r="C266">
        <v>296</v>
      </c>
      <c r="D266" s="3">
        <v>3.3799999999999997E-2</v>
      </c>
      <c r="E266">
        <v>10</v>
      </c>
      <c r="F266">
        <v>1</v>
      </c>
      <c r="G266" s="3">
        <v>10</v>
      </c>
      <c r="H266" s="10">
        <v>1.63</v>
      </c>
      <c r="I266" s="10">
        <v>16.309999999999999</v>
      </c>
      <c r="J266" s="6">
        <v>16.309999999999999</v>
      </c>
    </row>
    <row r="267" spans="1:10">
      <c r="A267" t="s">
        <v>46</v>
      </c>
      <c r="B267">
        <v>1</v>
      </c>
      <c r="C267">
        <v>301</v>
      </c>
      <c r="D267" s="3">
        <v>3.9900000000000005E-2</v>
      </c>
      <c r="E267">
        <v>12</v>
      </c>
      <c r="F267">
        <v>2</v>
      </c>
      <c r="G267" s="3">
        <v>16.670000000000002</v>
      </c>
      <c r="H267" s="10">
        <v>0.94</v>
      </c>
      <c r="I267" s="10">
        <v>5.67</v>
      </c>
      <c r="J267" s="6">
        <v>11.33</v>
      </c>
    </row>
    <row r="268" spans="1:10">
      <c r="A268" t="s">
        <v>18</v>
      </c>
      <c r="B268">
        <v>1</v>
      </c>
      <c r="C268">
        <v>0</v>
      </c>
      <c r="D268" s="3">
        <v>0</v>
      </c>
      <c r="E268">
        <v>0</v>
      </c>
      <c r="F268">
        <v>0</v>
      </c>
      <c r="G268" s="3">
        <v>0</v>
      </c>
      <c r="H268" s="10">
        <v>0</v>
      </c>
      <c r="I268" s="10">
        <v>0</v>
      </c>
      <c r="J268" s="6">
        <v>0</v>
      </c>
    </row>
    <row r="269" spans="1:10">
      <c r="A269" t="s">
        <v>47</v>
      </c>
      <c r="B269">
        <v>1</v>
      </c>
      <c r="C269">
        <v>0</v>
      </c>
      <c r="D269" s="3">
        <v>0</v>
      </c>
      <c r="E269">
        <v>0</v>
      </c>
      <c r="F269">
        <v>0</v>
      </c>
      <c r="G269" s="3">
        <v>0</v>
      </c>
      <c r="H269" s="10">
        <v>0</v>
      </c>
      <c r="I269" s="10">
        <v>0</v>
      </c>
      <c r="J269" s="6">
        <v>0</v>
      </c>
    </row>
    <row r="270" spans="1:10">
      <c r="A270" t="s">
        <v>48</v>
      </c>
      <c r="B270">
        <v>1</v>
      </c>
      <c r="C270">
        <v>0</v>
      </c>
      <c r="D270" s="3">
        <v>0</v>
      </c>
      <c r="E270">
        <v>0</v>
      </c>
      <c r="F270">
        <v>0</v>
      </c>
      <c r="G270" s="3">
        <v>0</v>
      </c>
      <c r="H270" s="10">
        <v>0</v>
      </c>
      <c r="I270" s="10">
        <v>0</v>
      </c>
      <c r="J270" s="6">
        <v>0</v>
      </c>
    </row>
    <row r="271" spans="1:10">
      <c r="A271" t="s">
        <v>48</v>
      </c>
      <c r="B271">
        <v>1</v>
      </c>
      <c r="C271">
        <v>0</v>
      </c>
      <c r="D271" s="3">
        <v>0</v>
      </c>
      <c r="E271">
        <v>0</v>
      </c>
      <c r="F271">
        <v>0</v>
      </c>
      <c r="G271" s="3">
        <v>0</v>
      </c>
      <c r="H271" s="10">
        <v>0</v>
      </c>
      <c r="I271" s="10">
        <v>0</v>
      </c>
      <c r="J271" s="6">
        <v>0</v>
      </c>
    </row>
    <row r="272" spans="1:10">
      <c r="A272" t="s">
        <v>48</v>
      </c>
      <c r="B272">
        <v>1</v>
      </c>
      <c r="C272">
        <v>0</v>
      </c>
      <c r="D272" s="3">
        <v>0</v>
      </c>
      <c r="E272">
        <v>0</v>
      </c>
      <c r="F272">
        <v>0</v>
      </c>
      <c r="G272" s="3">
        <v>0</v>
      </c>
      <c r="H272" s="10">
        <v>0</v>
      </c>
      <c r="I272" s="10">
        <v>0</v>
      </c>
      <c r="J272" s="6">
        <v>0</v>
      </c>
    </row>
    <row r="273" spans="1:10">
      <c r="A273" t="s">
        <v>48</v>
      </c>
      <c r="B273">
        <v>1</v>
      </c>
      <c r="C273">
        <v>159</v>
      </c>
      <c r="D273" s="3">
        <v>6.9199999999999998E-2</v>
      </c>
      <c r="E273">
        <v>11</v>
      </c>
      <c r="F273">
        <v>1</v>
      </c>
      <c r="G273" s="3">
        <v>2.6670000000000001E-3</v>
      </c>
      <c r="H273" s="10">
        <v>0.18</v>
      </c>
      <c r="I273" s="10">
        <v>1.97</v>
      </c>
      <c r="J273" s="6">
        <v>1.97</v>
      </c>
    </row>
    <row r="274" spans="1:10">
      <c r="A274" t="s">
        <v>48</v>
      </c>
      <c r="B274">
        <v>1</v>
      </c>
      <c r="C274">
        <v>172</v>
      </c>
      <c r="D274" s="3">
        <v>7.5600000000000001E-2</v>
      </c>
      <c r="E274">
        <v>13</v>
      </c>
      <c r="F274">
        <v>2</v>
      </c>
      <c r="G274" s="3">
        <v>7.3200000000000001E-4</v>
      </c>
      <c r="H274" s="10">
        <v>2.11</v>
      </c>
      <c r="I274" s="10">
        <v>13.72</v>
      </c>
      <c r="J274" s="6">
        <v>27.44</v>
      </c>
    </row>
    <row r="275" spans="1:10">
      <c r="A275" t="s">
        <v>48</v>
      </c>
      <c r="B275">
        <v>1</v>
      </c>
      <c r="C275">
        <v>228</v>
      </c>
      <c r="D275" s="3">
        <v>4.3899999999999995E-2</v>
      </c>
      <c r="E275">
        <v>10</v>
      </c>
      <c r="F275">
        <v>0</v>
      </c>
      <c r="G275" s="3">
        <v>0.11539999999999999</v>
      </c>
      <c r="H275" s="10">
        <v>0</v>
      </c>
      <c r="I275" s="10">
        <v>0</v>
      </c>
      <c r="J275" s="6">
        <v>0</v>
      </c>
    </row>
    <row r="276" spans="1:10">
      <c r="A276" t="s">
        <v>48</v>
      </c>
      <c r="B276">
        <v>1</v>
      </c>
      <c r="C276">
        <v>252</v>
      </c>
      <c r="D276" s="3">
        <v>4.7599999999999996E-2</v>
      </c>
      <c r="E276">
        <v>12</v>
      </c>
      <c r="F276">
        <v>2</v>
      </c>
      <c r="G276" s="3">
        <v>0.11109999999999999</v>
      </c>
      <c r="H276" s="10">
        <v>2.15</v>
      </c>
      <c r="I276" s="10">
        <v>12.92</v>
      </c>
      <c r="J276" s="6">
        <v>25.83</v>
      </c>
    </row>
    <row r="277" spans="1:10">
      <c r="A277" t="s">
        <v>48</v>
      </c>
      <c r="B277">
        <v>1</v>
      </c>
      <c r="C277">
        <v>0</v>
      </c>
      <c r="D277" s="3">
        <v>0</v>
      </c>
      <c r="E277">
        <v>0</v>
      </c>
      <c r="F277">
        <v>0</v>
      </c>
      <c r="G277" s="3">
        <v>0</v>
      </c>
      <c r="H277" s="10">
        <v>0</v>
      </c>
      <c r="I277" s="10">
        <v>0</v>
      </c>
      <c r="J277" s="6">
        <v>0</v>
      </c>
    </row>
    <row r="278" spans="1:10">
      <c r="A278" t="s">
        <v>48</v>
      </c>
      <c r="B278">
        <v>1</v>
      </c>
      <c r="C278">
        <v>0</v>
      </c>
      <c r="D278" s="3">
        <v>0</v>
      </c>
      <c r="E278">
        <v>0</v>
      </c>
      <c r="F278">
        <v>0</v>
      </c>
      <c r="G278" s="3">
        <v>0</v>
      </c>
      <c r="H278" s="10">
        <v>0</v>
      </c>
      <c r="I278" s="10">
        <v>0</v>
      </c>
      <c r="J278" s="6">
        <v>0</v>
      </c>
    </row>
    <row r="279" spans="1:10">
      <c r="A279" t="s">
        <v>49</v>
      </c>
      <c r="B279">
        <v>1</v>
      </c>
      <c r="C279">
        <v>0</v>
      </c>
      <c r="D279" s="3">
        <v>0</v>
      </c>
      <c r="E279">
        <v>0</v>
      </c>
      <c r="F279">
        <v>0</v>
      </c>
      <c r="G279" s="3">
        <v>0</v>
      </c>
      <c r="H279" s="10">
        <v>0</v>
      </c>
      <c r="I279" s="10">
        <v>0</v>
      </c>
      <c r="J279" s="6">
        <v>0</v>
      </c>
    </row>
    <row r="280" spans="1:10">
      <c r="A280" t="s">
        <v>49</v>
      </c>
      <c r="B280">
        <v>1</v>
      </c>
      <c r="C280">
        <v>28</v>
      </c>
      <c r="D280" s="3">
        <v>0.10710000000000001</v>
      </c>
      <c r="E280">
        <v>3</v>
      </c>
      <c r="F280">
        <v>1</v>
      </c>
      <c r="G280" s="3">
        <v>0.33329999999999999</v>
      </c>
      <c r="H280" s="10">
        <v>4.9800000000000004</v>
      </c>
      <c r="I280" s="10">
        <v>14.94</v>
      </c>
      <c r="J280" s="6">
        <v>14.94</v>
      </c>
    </row>
    <row r="281" spans="1:10">
      <c r="A281" t="s">
        <v>50</v>
      </c>
      <c r="B281">
        <v>1</v>
      </c>
      <c r="C281">
        <v>126</v>
      </c>
      <c r="D281" s="3">
        <v>7.1399999999999991E-2</v>
      </c>
      <c r="E281">
        <v>9</v>
      </c>
      <c r="F281">
        <v>0</v>
      </c>
      <c r="G281" s="3">
        <v>1.6670000000000001E-3</v>
      </c>
      <c r="H281" s="10">
        <v>0</v>
      </c>
      <c r="I281" s="10">
        <v>0</v>
      </c>
      <c r="J281" s="6">
        <v>0</v>
      </c>
    </row>
    <row r="282" spans="1:10">
      <c r="A282" t="s">
        <v>51</v>
      </c>
      <c r="B282">
        <v>1</v>
      </c>
      <c r="C282">
        <v>0</v>
      </c>
      <c r="D282" s="3">
        <v>0</v>
      </c>
      <c r="E282">
        <v>0</v>
      </c>
      <c r="F282">
        <v>0</v>
      </c>
      <c r="G282" s="3">
        <v>0</v>
      </c>
      <c r="H282" s="10">
        <v>0</v>
      </c>
      <c r="I282" s="10">
        <v>0</v>
      </c>
      <c r="J282" s="6">
        <v>0</v>
      </c>
    </row>
    <row r="283" spans="1:10">
      <c r="A283" t="s">
        <v>52</v>
      </c>
      <c r="B283">
        <v>1</v>
      </c>
      <c r="C283">
        <v>0</v>
      </c>
      <c r="D283" s="3">
        <v>0</v>
      </c>
      <c r="E283">
        <v>0</v>
      </c>
      <c r="F283">
        <v>0</v>
      </c>
      <c r="G283" s="3">
        <v>0</v>
      </c>
      <c r="H283" s="10">
        <v>0</v>
      </c>
      <c r="I283" s="10">
        <v>0</v>
      </c>
      <c r="J283" s="6">
        <v>0</v>
      </c>
    </row>
    <row r="284" spans="1:10">
      <c r="A284" t="s">
        <v>53</v>
      </c>
      <c r="B284">
        <v>1</v>
      </c>
      <c r="C284">
        <v>0</v>
      </c>
      <c r="D284" s="3">
        <v>0</v>
      </c>
      <c r="E284">
        <v>0</v>
      </c>
      <c r="F284">
        <v>0</v>
      </c>
      <c r="G284" s="3">
        <v>0</v>
      </c>
      <c r="H284" s="10">
        <v>0</v>
      </c>
      <c r="I284" s="10">
        <v>0</v>
      </c>
      <c r="J284" s="6">
        <v>0</v>
      </c>
    </row>
    <row r="285" spans="1:10">
      <c r="A285" t="s">
        <v>53</v>
      </c>
      <c r="B285">
        <v>1</v>
      </c>
      <c r="C285">
        <v>0</v>
      </c>
      <c r="D285" s="3">
        <v>0</v>
      </c>
      <c r="E285">
        <v>0</v>
      </c>
      <c r="F285">
        <v>0</v>
      </c>
      <c r="G285" s="3">
        <v>0</v>
      </c>
      <c r="H285" s="10">
        <v>0</v>
      </c>
      <c r="I285" s="10">
        <v>0</v>
      </c>
      <c r="J285" s="6">
        <v>0</v>
      </c>
    </row>
    <row r="286" spans="1:10">
      <c r="A286" t="s">
        <v>53</v>
      </c>
      <c r="B286">
        <v>1</v>
      </c>
      <c r="C286">
        <v>0</v>
      </c>
      <c r="D286" s="3">
        <v>0</v>
      </c>
      <c r="E286">
        <v>0</v>
      </c>
      <c r="F286">
        <v>0</v>
      </c>
      <c r="G286" s="3">
        <v>0</v>
      </c>
      <c r="H286" s="10">
        <v>0</v>
      </c>
      <c r="I286" s="10">
        <v>0</v>
      </c>
      <c r="J286" s="6">
        <v>0</v>
      </c>
    </row>
    <row r="287" spans="1:10">
      <c r="A287" t="s">
        <v>53</v>
      </c>
      <c r="B287">
        <v>1</v>
      </c>
      <c r="C287">
        <v>0</v>
      </c>
      <c r="D287" s="3">
        <v>0</v>
      </c>
      <c r="E287">
        <v>0</v>
      </c>
      <c r="F287">
        <v>0</v>
      </c>
      <c r="G287" s="3">
        <v>0</v>
      </c>
      <c r="H287" s="10">
        <v>0</v>
      </c>
      <c r="I287" s="10">
        <v>0</v>
      </c>
      <c r="J287" s="6">
        <v>0</v>
      </c>
    </row>
    <row r="288" spans="1:10">
      <c r="A288" t="s">
        <v>53</v>
      </c>
      <c r="B288">
        <v>1</v>
      </c>
      <c r="C288">
        <v>0</v>
      </c>
      <c r="D288" s="3">
        <v>0</v>
      </c>
      <c r="E288">
        <v>0</v>
      </c>
      <c r="F288">
        <v>0</v>
      </c>
      <c r="G288" s="3">
        <v>0</v>
      </c>
      <c r="H288" s="10">
        <v>0</v>
      </c>
      <c r="I288" s="10">
        <v>0</v>
      </c>
      <c r="J288" s="6">
        <v>0</v>
      </c>
    </row>
    <row r="289" spans="1:10">
      <c r="A289" t="s">
        <v>53</v>
      </c>
      <c r="B289">
        <v>1</v>
      </c>
      <c r="C289">
        <v>0</v>
      </c>
      <c r="D289" s="3">
        <v>0</v>
      </c>
      <c r="E289">
        <v>0</v>
      </c>
      <c r="F289">
        <v>0</v>
      </c>
      <c r="G289" s="3">
        <v>0</v>
      </c>
      <c r="H289" s="10">
        <v>0</v>
      </c>
      <c r="I289" s="10">
        <v>0</v>
      </c>
      <c r="J289" s="6">
        <v>0</v>
      </c>
    </row>
    <row r="290" spans="1:10">
      <c r="A290" t="s">
        <v>53</v>
      </c>
      <c r="B290">
        <v>1</v>
      </c>
      <c r="C290">
        <v>0</v>
      </c>
      <c r="D290" s="3">
        <v>0</v>
      </c>
      <c r="E290">
        <v>0</v>
      </c>
      <c r="F290">
        <v>0</v>
      </c>
      <c r="G290" s="3">
        <v>0</v>
      </c>
      <c r="H290" s="10">
        <v>0</v>
      </c>
      <c r="I290" s="10">
        <v>0</v>
      </c>
      <c r="J290" s="6">
        <v>0</v>
      </c>
    </row>
    <row r="291" spans="1:10">
      <c r="A291" t="s">
        <v>53</v>
      </c>
      <c r="B291">
        <v>1</v>
      </c>
      <c r="C291">
        <v>0</v>
      </c>
      <c r="D291" s="3">
        <v>0</v>
      </c>
      <c r="E291">
        <v>0</v>
      </c>
      <c r="F291">
        <v>0</v>
      </c>
      <c r="G291" s="3">
        <v>0</v>
      </c>
      <c r="H291" s="10">
        <v>0</v>
      </c>
      <c r="I291" s="10">
        <v>0</v>
      </c>
      <c r="J291" s="6">
        <v>0</v>
      </c>
    </row>
    <row r="292" spans="1:10">
      <c r="A292" t="s">
        <v>53</v>
      </c>
      <c r="B292">
        <v>1</v>
      </c>
      <c r="C292">
        <v>0</v>
      </c>
      <c r="D292" s="3">
        <v>0</v>
      </c>
      <c r="E292">
        <v>0</v>
      </c>
      <c r="F292">
        <v>0</v>
      </c>
      <c r="G292" s="3">
        <v>0</v>
      </c>
      <c r="H292" s="10">
        <v>0</v>
      </c>
      <c r="I292" s="10">
        <v>0</v>
      </c>
      <c r="J292" s="6">
        <v>0</v>
      </c>
    </row>
    <row r="293" spans="1:10">
      <c r="A293" t="s">
        <v>53</v>
      </c>
      <c r="B293">
        <v>1</v>
      </c>
      <c r="C293">
        <v>0</v>
      </c>
      <c r="D293" s="3">
        <v>0</v>
      </c>
      <c r="E293">
        <v>0</v>
      </c>
      <c r="F293">
        <v>0</v>
      </c>
      <c r="G293" s="3">
        <v>0</v>
      </c>
      <c r="H293" s="10">
        <v>0</v>
      </c>
      <c r="I293" s="10">
        <v>0</v>
      </c>
      <c r="J293" s="6">
        <v>0</v>
      </c>
    </row>
    <row r="294" spans="1:10">
      <c r="A294" t="s">
        <v>53</v>
      </c>
      <c r="B294">
        <v>1</v>
      </c>
      <c r="C294">
        <v>0</v>
      </c>
      <c r="D294" s="3">
        <v>0</v>
      </c>
      <c r="E294">
        <v>0</v>
      </c>
      <c r="F294">
        <v>0</v>
      </c>
      <c r="G294" s="3">
        <v>0</v>
      </c>
      <c r="H294" s="10">
        <v>0</v>
      </c>
      <c r="I294" s="10">
        <v>0</v>
      </c>
      <c r="J294" s="6">
        <v>0</v>
      </c>
    </row>
    <row r="295" spans="1:10">
      <c r="A295" t="s">
        <v>53</v>
      </c>
      <c r="B295">
        <v>1</v>
      </c>
      <c r="C295">
        <v>0</v>
      </c>
      <c r="D295" s="3">
        <v>0</v>
      </c>
      <c r="E295">
        <v>0</v>
      </c>
      <c r="F295">
        <v>0</v>
      </c>
      <c r="G295" s="3">
        <v>0</v>
      </c>
      <c r="H295" s="10">
        <v>0</v>
      </c>
      <c r="I295" s="10">
        <v>0</v>
      </c>
      <c r="J295" s="6">
        <v>0</v>
      </c>
    </row>
    <row r="296" spans="1:10">
      <c r="A296" t="s">
        <v>53</v>
      </c>
      <c r="B296">
        <v>1</v>
      </c>
      <c r="C296">
        <v>0</v>
      </c>
      <c r="D296" s="3">
        <v>0</v>
      </c>
      <c r="E296">
        <v>0</v>
      </c>
      <c r="F296">
        <v>0</v>
      </c>
      <c r="G296" s="3">
        <v>0</v>
      </c>
      <c r="H296" s="10">
        <v>0</v>
      </c>
      <c r="I296" s="10">
        <v>0</v>
      </c>
      <c r="J296" s="6">
        <v>0</v>
      </c>
    </row>
    <row r="297" spans="1:10">
      <c r="A297" t="s">
        <v>53</v>
      </c>
      <c r="B297">
        <v>1</v>
      </c>
      <c r="C297">
        <v>0</v>
      </c>
      <c r="D297" s="3">
        <v>0</v>
      </c>
      <c r="E297">
        <v>0</v>
      </c>
      <c r="F297">
        <v>0</v>
      </c>
      <c r="G297" s="3">
        <v>0</v>
      </c>
      <c r="H297" s="10">
        <v>0</v>
      </c>
      <c r="I297" s="10">
        <v>0</v>
      </c>
      <c r="J297" s="6">
        <v>0</v>
      </c>
    </row>
    <row r="298" spans="1:10">
      <c r="A298" t="s">
        <v>54</v>
      </c>
      <c r="B298">
        <v>1</v>
      </c>
      <c r="C298">
        <v>0</v>
      </c>
      <c r="D298" s="3">
        <v>0</v>
      </c>
      <c r="E298">
        <v>0</v>
      </c>
      <c r="F298">
        <v>0</v>
      </c>
      <c r="G298" s="3">
        <v>0</v>
      </c>
      <c r="H298" s="10">
        <v>0</v>
      </c>
      <c r="I298" s="10">
        <v>0</v>
      </c>
      <c r="J298" s="6">
        <v>0</v>
      </c>
    </row>
    <row r="299" spans="1:10">
      <c r="A299" t="s">
        <v>54</v>
      </c>
      <c r="B299">
        <v>1</v>
      </c>
      <c r="C299">
        <v>0</v>
      </c>
      <c r="D299" s="3">
        <v>0</v>
      </c>
      <c r="E299">
        <v>0</v>
      </c>
      <c r="F299">
        <v>0</v>
      </c>
      <c r="G299" s="3">
        <v>0</v>
      </c>
      <c r="H299" s="10">
        <v>0</v>
      </c>
      <c r="I299" s="10">
        <v>0</v>
      </c>
      <c r="J299" s="6">
        <v>0</v>
      </c>
    </row>
    <row r="300" spans="1:10">
      <c r="A300" t="s">
        <v>54</v>
      </c>
      <c r="B300">
        <v>1</v>
      </c>
      <c r="C300">
        <v>0</v>
      </c>
      <c r="D300" s="3">
        <v>0</v>
      </c>
      <c r="E300">
        <v>0</v>
      </c>
      <c r="F300">
        <v>0</v>
      </c>
      <c r="G300" s="3">
        <v>0</v>
      </c>
      <c r="H300" s="10">
        <v>0</v>
      </c>
      <c r="I300" s="10">
        <v>0</v>
      </c>
      <c r="J300" s="6">
        <v>0</v>
      </c>
    </row>
    <row r="301" spans="1:10">
      <c r="A301" t="s">
        <v>54</v>
      </c>
      <c r="B301">
        <v>1</v>
      </c>
      <c r="C301">
        <v>0</v>
      </c>
      <c r="D301" s="3">
        <v>0</v>
      </c>
      <c r="E301">
        <v>0</v>
      </c>
      <c r="F301">
        <v>0</v>
      </c>
      <c r="G301" s="3">
        <v>0</v>
      </c>
      <c r="H301" s="10">
        <v>0</v>
      </c>
      <c r="I301" s="10">
        <v>0</v>
      </c>
      <c r="J301" s="6">
        <v>0</v>
      </c>
    </row>
    <row r="302" spans="1:10">
      <c r="A302" t="s">
        <v>54</v>
      </c>
      <c r="B302">
        <v>1</v>
      </c>
      <c r="C302">
        <v>0</v>
      </c>
      <c r="D302" s="3">
        <v>0</v>
      </c>
      <c r="E302">
        <v>0</v>
      </c>
      <c r="F302">
        <v>0</v>
      </c>
      <c r="G302" s="3">
        <v>0</v>
      </c>
      <c r="H302" s="10">
        <v>0</v>
      </c>
      <c r="I302" s="10">
        <v>0</v>
      </c>
      <c r="J302" s="6">
        <v>0</v>
      </c>
    </row>
    <row r="303" spans="1:10">
      <c r="A303" t="s">
        <v>54</v>
      </c>
      <c r="B303">
        <v>1</v>
      </c>
      <c r="C303">
        <v>0</v>
      </c>
      <c r="D303" s="3">
        <v>0</v>
      </c>
      <c r="E303">
        <v>0</v>
      </c>
      <c r="F303">
        <v>0</v>
      </c>
      <c r="G303" s="3">
        <v>0</v>
      </c>
      <c r="H303" s="10">
        <v>0</v>
      </c>
      <c r="I303" s="10">
        <v>0</v>
      </c>
      <c r="J303" s="6">
        <v>0</v>
      </c>
    </row>
    <row r="304" spans="1:10">
      <c r="A304" t="s">
        <v>54</v>
      </c>
      <c r="B304">
        <v>1</v>
      </c>
      <c r="C304">
        <v>0</v>
      </c>
      <c r="D304" s="3">
        <v>0</v>
      </c>
      <c r="E304">
        <v>0</v>
      </c>
      <c r="F304">
        <v>0</v>
      </c>
      <c r="G304" s="3">
        <v>0</v>
      </c>
      <c r="H304" s="10">
        <v>0</v>
      </c>
      <c r="I304" s="10">
        <v>0</v>
      </c>
      <c r="J304" s="6">
        <v>0</v>
      </c>
    </row>
    <row r="305" spans="1:10">
      <c r="A305" t="s">
        <v>54</v>
      </c>
      <c r="B305">
        <v>1</v>
      </c>
      <c r="C305">
        <v>0</v>
      </c>
      <c r="D305" s="3">
        <v>0</v>
      </c>
      <c r="E305">
        <v>0</v>
      </c>
      <c r="F305">
        <v>0</v>
      </c>
      <c r="G305" s="3">
        <v>0</v>
      </c>
      <c r="H305" s="10">
        <v>0</v>
      </c>
      <c r="I305" s="10">
        <v>0</v>
      </c>
      <c r="J305" s="6">
        <v>0</v>
      </c>
    </row>
    <row r="306" spans="1:10">
      <c r="A306" t="s">
        <v>54</v>
      </c>
      <c r="B306">
        <v>1</v>
      </c>
      <c r="C306">
        <v>0</v>
      </c>
      <c r="D306" s="3">
        <v>0</v>
      </c>
      <c r="E306">
        <v>0</v>
      </c>
      <c r="F306">
        <v>0</v>
      </c>
      <c r="G306" s="3">
        <v>0</v>
      </c>
      <c r="H306" s="10">
        <v>0</v>
      </c>
      <c r="I306" s="10">
        <v>0</v>
      </c>
      <c r="J306" s="6">
        <v>0</v>
      </c>
    </row>
    <row r="307" spans="1:10">
      <c r="A307" t="s">
        <v>54</v>
      </c>
      <c r="B307">
        <v>1</v>
      </c>
      <c r="C307">
        <v>0</v>
      </c>
      <c r="D307" s="3">
        <v>0</v>
      </c>
      <c r="E307">
        <v>0</v>
      </c>
      <c r="F307">
        <v>0</v>
      </c>
      <c r="G307" s="3">
        <v>0</v>
      </c>
      <c r="H307" s="10">
        <v>0</v>
      </c>
      <c r="I307" s="10">
        <v>0</v>
      </c>
      <c r="J307" s="6">
        <v>0</v>
      </c>
    </row>
    <row r="308" spans="1:10">
      <c r="A308" t="s">
        <v>54</v>
      </c>
      <c r="B308">
        <v>1</v>
      </c>
      <c r="C308">
        <v>115</v>
      </c>
      <c r="D308" s="3">
        <v>6.0899999999999996E-2</v>
      </c>
      <c r="E308">
        <v>7</v>
      </c>
      <c r="F308">
        <v>0</v>
      </c>
      <c r="G308" s="3">
        <v>1E-3</v>
      </c>
      <c r="H308" s="10">
        <v>0</v>
      </c>
      <c r="I308" s="10">
        <v>0</v>
      </c>
      <c r="J308" s="6">
        <v>0</v>
      </c>
    </row>
    <row r="309" spans="1:10">
      <c r="A309" t="s">
        <v>54</v>
      </c>
      <c r="B309">
        <v>1</v>
      </c>
      <c r="C309">
        <v>191</v>
      </c>
      <c r="D309" s="3">
        <v>3.6600000000000001E-2</v>
      </c>
      <c r="E309">
        <v>7</v>
      </c>
      <c r="F309">
        <v>0</v>
      </c>
      <c r="G309" s="3">
        <v>6.6699999999999995E-2</v>
      </c>
      <c r="H309" s="10">
        <v>0</v>
      </c>
      <c r="I309" s="10">
        <v>0</v>
      </c>
      <c r="J309" s="6">
        <v>0</v>
      </c>
    </row>
    <row r="310" spans="1:10">
      <c r="A310" t="s">
        <v>55</v>
      </c>
      <c r="B310">
        <v>1</v>
      </c>
      <c r="C310">
        <v>0</v>
      </c>
      <c r="D310" s="3">
        <v>0</v>
      </c>
      <c r="E310">
        <v>0</v>
      </c>
      <c r="F310">
        <v>0</v>
      </c>
      <c r="G310" s="3">
        <v>0</v>
      </c>
      <c r="H310" s="10">
        <v>0</v>
      </c>
      <c r="I310" s="10">
        <v>0</v>
      </c>
      <c r="J310" s="6">
        <v>0</v>
      </c>
    </row>
    <row r="311" spans="1:10">
      <c r="A311" t="s">
        <v>55</v>
      </c>
      <c r="B311">
        <v>1</v>
      </c>
      <c r="C311">
        <v>236</v>
      </c>
      <c r="D311" s="3">
        <v>3.39E-2</v>
      </c>
      <c r="E311">
        <v>8</v>
      </c>
      <c r="F311">
        <v>1</v>
      </c>
      <c r="G311" s="3">
        <v>0.16670000000000001</v>
      </c>
      <c r="H311" s="10">
        <v>1.78</v>
      </c>
      <c r="I311" s="10">
        <v>14.24</v>
      </c>
      <c r="J311" s="6">
        <v>14.24</v>
      </c>
    </row>
    <row r="312" spans="1:10">
      <c r="A312" t="s">
        <v>55</v>
      </c>
      <c r="B312">
        <v>1</v>
      </c>
      <c r="C312">
        <v>356</v>
      </c>
      <c r="D312" s="3">
        <v>3.0899999999999997E-2</v>
      </c>
      <c r="E312">
        <v>11</v>
      </c>
      <c r="F312">
        <v>2</v>
      </c>
      <c r="G312" s="3">
        <v>18.18</v>
      </c>
      <c r="H312" s="10">
        <v>0.6</v>
      </c>
      <c r="I312" s="10">
        <v>3.33</v>
      </c>
      <c r="J312" s="6">
        <v>6.65</v>
      </c>
    </row>
    <row r="313" spans="1:10">
      <c r="A313" t="s">
        <v>56</v>
      </c>
      <c r="B313">
        <v>1</v>
      </c>
      <c r="C313">
        <v>191</v>
      </c>
      <c r="D313" s="3">
        <v>2.6200000000000001E-2</v>
      </c>
      <c r="E313">
        <v>5</v>
      </c>
      <c r="F313">
        <v>1</v>
      </c>
      <c r="G313" s="3">
        <v>4.5499999999999999E-2</v>
      </c>
      <c r="H313" s="10">
        <v>2.84</v>
      </c>
      <c r="I313" s="10">
        <v>14.18</v>
      </c>
      <c r="J313" s="6">
        <v>14.18</v>
      </c>
    </row>
    <row r="314" spans="1:10">
      <c r="A314" t="s">
        <v>12</v>
      </c>
      <c r="B314">
        <v>1</v>
      </c>
      <c r="C314">
        <v>0</v>
      </c>
      <c r="D314" s="3">
        <v>0</v>
      </c>
      <c r="E314">
        <v>0</v>
      </c>
      <c r="F314">
        <v>0</v>
      </c>
      <c r="G314" s="3">
        <v>0</v>
      </c>
      <c r="H314" s="10">
        <v>0</v>
      </c>
      <c r="I314" s="10">
        <v>0</v>
      </c>
      <c r="J314" s="6">
        <v>0</v>
      </c>
    </row>
    <row r="315" spans="1:10">
      <c r="A315" t="s">
        <v>12</v>
      </c>
      <c r="B315">
        <v>1</v>
      </c>
      <c r="C315">
        <v>0</v>
      </c>
      <c r="D315" s="3">
        <v>0</v>
      </c>
      <c r="E315">
        <v>0</v>
      </c>
      <c r="F315">
        <v>0</v>
      </c>
      <c r="G315" s="3">
        <v>0</v>
      </c>
      <c r="H315" s="10">
        <v>0</v>
      </c>
      <c r="I315" s="10">
        <v>0</v>
      </c>
      <c r="J315" s="6">
        <v>0</v>
      </c>
    </row>
    <row r="316" spans="1:10">
      <c r="A316" t="s">
        <v>12</v>
      </c>
      <c r="B316">
        <v>1</v>
      </c>
      <c r="C316">
        <v>0</v>
      </c>
      <c r="D316" s="3">
        <v>0</v>
      </c>
      <c r="E316">
        <v>0</v>
      </c>
      <c r="F316">
        <v>0</v>
      </c>
      <c r="G316" s="3">
        <v>0</v>
      </c>
      <c r="H316" s="10">
        <v>0</v>
      </c>
      <c r="I316" s="10">
        <v>0</v>
      </c>
      <c r="J316" s="6">
        <v>0</v>
      </c>
    </row>
    <row r="317" spans="1:10">
      <c r="A317" t="s">
        <v>12</v>
      </c>
      <c r="B317">
        <v>1</v>
      </c>
      <c r="C317">
        <v>0</v>
      </c>
      <c r="D317" s="3">
        <v>0</v>
      </c>
      <c r="E317">
        <v>0</v>
      </c>
      <c r="F317">
        <v>0</v>
      </c>
      <c r="G317" s="3">
        <v>0</v>
      </c>
      <c r="H317" s="10">
        <v>0</v>
      </c>
      <c r="I317" s="10">
        <v>0</v>
      </c>
      <c r="J317" s="6">
        <v>0</v>
      </c>
    </row>
    <row r="318" spans="1:10">
      <c r="A318" t="s">
        <v>12</v>
      </c>
      <c r="B318">
        <v>1</v>
      </c>
      <c r="C318">
        <v>0</v>
      </c>
      <c r="D318" s="3">
        <v>0</v>
      </c>
      <c r="E318">
        <v>0</v>
      </c>
      <c r="F318">
        <v>0</v>
      </c>
      <c r="G318" s="3">
        <v>0</v>
      </c>
      <c r="H318" s="10">
        <v>0</v>
      </c>
      <c r="I318" s="10">
        <v>0</v>
      </c>
      <c r="J318" s="6">
        <v>0</v>
      </c>
    </row>
    <row r="319" spans="1:10">
      <c r="A319" t="s">
        <v>12</v>
      </c>
      <c r="B319">
        <v>1</v>
      </c>
      <c r="C319">
        <v>0</v>
      </c>
      <c r="D319" s="3">
        <v>0</v>
      </c>
      <c r="E319">
        <v>0</v>
      </c>
      <c r="F319">
        <v>0</v>
      </c>
      <c r="G319" s="3">
        <v>0</v>
      </c>
      <c r="H319" s="10">
        <v>0</v>
      </c>
      <c r="I319" s="10">
        <v>0</v>
      </c>
      <c r="J319" s="6">
        <v>0</v>
      </c>
    </row>
    <row r="320" spans="1:10">
      <c r="A320" t="s">
        <v>12</v>
      </c>
      <c r="B320">
        <v>1</v>
      </c>
      <c r="C320">
        <v>0</v>
      </c>
      <c r="D320" s="3">
        <v>0</v>
      </c>
      <c r="E320">
        <v>0</v>
      </c>
      <c r="F320">
        <v>0</v>
      </c>
      <c r="G320" s="3">
        <v>0</v>
      </c>
      <c r="H320" s="10">
        <v>0</v>
      </c>
      <c r="I320" s="10">
        <v>0</v>
      </c>
      <c r="J320" s="6">
        <v>0</v>
      </c>
    </row>
    <row r="321" spans="1:10">
      <c r="A321" t="s">
        <v>12</v>
      </c>
      <c r="B321">
        <v>1</v>
      </c>
      <c r="C321">
        <v>0</v>
      </c>
      <c r="D321" s="3">
        <v>0</v>
      </c>
      <c r="E321">
        <v>0</v>
      </c>
      <c r="F321">
        <v>0</v>
      </c>
      <c r="G321" s="3">
        <v>0</v>
      </c>
      <c r="H321" s="10">
        <v>0</v>
      </c>
      <c r="I321" s="10">
        <v>0</v>
      </c>
      <c r="J321" s="6">
        <v>0</v>
      </c>
    </row>
    <row r="322" spans="1:10">
      <c r="A322" t="s">
        <v>12</v>
      </c>
      <c r="B322">
        <v>1</v>
      </c>
      <c r="C322">
        <v>0</v>
      </c>
      <c r="D322" s="3">
        <v>0</v>
      </c>
      <c r="E322">
        <v>0</v>
      </c>
      <c r="F322">
        <v>0</v>
      </c>
      <c r="G322" s="3">
        <v>0</v>
      </c>
      <c r="H322" s="10">
        <v>0</v>
      </c>
      <c r="I322" s="10">
        <v>0</v>
      </c>
      <c r="J322" s="6">
        <v>0</v>
      </c>
    </row>
    <row r="323" spans="1:10">
      <c r="A323" t="s">
        <v>12</v>
      </c>
      <c r="B323">
        <v>1</v>
      </c>
      <c r="C323">
        <v>0</v>
      </c>
      <c r="D323" s="3">
        <v>0</v>
      </c>
      <c r="E323">
        <v>0</v>
      </c>
      <c r="F323">
        <v>0</v>
      </c>
      <c r="G323" s="3">
        <v>0</v>
      </c>
      <c r="H323" s="10">
        <v>0</v>
      </c>
      <c r="I323" s="10">
        <v>0</v>
      </c>
      <c r="J323" s="6">
        <v>0</v>
      </c>
    </row>
    <row r="324" spans="1:10">
      <c r="A324" t="s">
        <v>12</v>
      </c>
      <c r="B324">
        <v>1</v>
      </c>
      <c r="C324">
        <v>0</v>
      </c>
      <c r="D324" s="3">
        <v>0</v>
      </c>
      <c r="E324">
        <v>0</v>
      </c>
      <c r="F324">
        <v>0</v>
      </c>
      <c r="G324" s="3">
        <v>0</v>
      </c>
      <c r="H324" s="10">
        <v>0</v>
      </c>
      <c r="I324" s="10">
        <v>0</v>
      </c>
      <c r="J324" s="6">
        <v>0</v>
      </c>
    </row>
    <row r="325" spans="1:10">
      <c r="A325" t="s">
        <v>12</v>
      </c>
      <c r="B325">
        <v>1</v>
      </c>
      <c r="C325">
        <v>0</v>
      </c>
      <c r="D325" s="3">
        <v>0</v>
      </c>
      <c r="E325">
        <v>0</v>
      </c>
      <c r="F325">
        <v>0</v>
      </c>
      <c r="G325" s="3">
        <v>0</v>
      </c>
      <c r="H325" s="10">
        <v>0</v>
      </c>
      <c r="I325" s="10">
        <v>0</v>
      </c>
      <c r="J325" s="6">
        <v>0</v>
      </c>
    </row>
    <row r="326" spans="1:10">
      <c r="A326" t="s">
        <v>12</v>
      </c>
      <c r="B326">
        <v>1</v>
      </c>
      <c r="C326">
        <v>0</v>
      </c>
      <c r="D326" s="3">
        <v>0</v>
      </c>
      <c r="E326">
        <v>0</v>
      </c>
      <c r="F326">
        <v>0</v>
      </c>
      <c r="G326" s="3">
        <v>0</v>
      </c>
      <c r="H326" s="10">
        <v>0</v>
      </c>
      <c r="I326" s="10">
        <v>0</v>
      </c>
      <c r="J326" s="6">
        <v>0</v>
      </c>
    </row>
    <row r="327" spans="1:10">
      <c r="A327" t="s">
        <v>12</v>
      </c>
      <c r="B327">
        <v>1</v>
      </c>
      <c r="C327">
        <v>0</v>
      </c>
      <c r="D327" s="3">
        <v>0</v>
      </c>
      <c r="E327">
        <v>0</v>
      </c>
      <c r="F327">
        <v>0</v>
      </c>
      <c r="G327" s="3">
        <v>0</v>
      </c>
      <c r="H327" s="10">
        <v>0</v>
      </c>
      <c r="I327" s="10">
        <v>0</v>
      </c>
      <c r="J327" s="6">
        <v>0</v>
      </c>
    </row>
    <row r="328" spans="1:10">
      <c r="A328" t="s">
        <v>12</v>
      </c>
      <c r="B328">
        <v>1</v>
      </c>
      <c r="C328">
        <v>108</v>
      </c>
      <c r="D328" s="3">
        <v>2.7799999999999998E-2</v>
      </c>
      <c r="E328">
        <v>3</v>
      </c>
      <c r="F328">
        <v>0</v>
      </c>
      <c r="G328" s="3">
        <v>0</v>
      </c>
      <c r="H328" s="10">
        <v>0</v>
      </c>
      <c r="I328" s="10">
        <v>0</v>
      </c>
      <c r="J328" s="6">
        <v>0</v>
      </c>
    </row>
    <row r="329" spans="1:10">
      <c r="A329" t="s">
        <v>12</v>
      </c>
      <c r="B329">
        <v>1</v>
      </c>
      <c r="C329">
        <v>160</v>
      </c>
      <c r="D329" s="3">
        <v>0.05</v>
      </c>
      <c r="E329">
        <v>8</v>
      </c>
      <c r="F329">
        <v>0</v>
      </c>
      <c r="G329" s="3">
        <v>1.7390000000000001E-3</v>
      </c>
      <c r="H329" s="10">
        <v>0</v>
      </c>
      <c r="I329" s="10">
        <v>0</v>
      </c>
      <c r="J329" s="6">
        <v>0</v>
      </c>
    </row>
    <row r="330" spans="1:10">
      <c r="A330" t="s">
        <v>12</v>
      </c>
      <c r="B330">
        <v>1</v>
      </c>
      <c r="C330">
        <v>30</v>
      </c>
      <c r="D330" s="3">
        <v>0.16670000000000001</v>
      </c>
      <c r="E330">
        <v>5</v>
      </c>
      <c r="F330">
        <v>0</v>
      </c>
      <c r="G330" s="3">
        <v>0</v>
      </c>
      <c r="H330" s="10">
        <v>0</v>
      </c>
      <c r="I330" s="10">
        <v>0</v>
      </c>
      <c r="J330" s="6">
        <v>0</v>
      </c>
    </row>
    <row r="331" spans="1:10">
      <c r="A331" t="s">
        <v>57</v>
      </c>
      <c r="B331">
        <v>1</v>
      </c>
      <c r="C331">
        <v>0</v>
      </c>
      <c r="D331" s="3">
        <v>0</v>
      </c>
      <c r="E331">
        <v>0</v>
      </c>
      <c r="F331">
        <v>0</v>
      </c>
      <c r="G331" s="3">
        <v>0</v>
      </c>
      <c r="H331" s="10">
        <v>0</v>
      </c>
      <c r="I331" s="10">
        <v>0</v>
      </c>
      <c r="J331" s="6">
        <v>0</v>
      </c>
    </row>
    <row r="332" spans="1:10">
      <c r="A332" t="s">
        <v>57</v>
      </c>
      <c r="B332">
        <v>1</v>
      </c>
      <c r="C332">
        <v>0</v>
      </c>
      <c r="D332" s="3">
        <v>0</v>
      </c>
      <c r="E332">
        <v>0</v>
      </c>
      <c r="F332">
        <v>0</v>
      </c>
      <c r="G332" s="3">
        <v>0</v>
      </c>
      <c r="H332" s="10">
        <v>0</v>
      </c>
      <c r="I332" s="10">
        <v>0</v>
      </c>
      <c r="J332" s="6">
        <v>0</v>
      </c>
    </row>
    <row r="333" spans="1:10">
      <c r="A333" t="s">
        <v>57</v>
      </c>
      <c r="B333">
        <v>1</v>
      </c>
      <c r="C333">
        <v>0</v>
      </c>
      <c r="D333" s="3">
        <v>0</v>
      </c>
      <c r="E333">
        <v>0</v>
      </c>
      <c r="F333">
        <v>0</v>
      </c>
      <c r="G333" s="3">
        <v>0</v>
      </c>
      <c r="H333" s="10">
        <v>0</v>
      </c>
      <c r="I333" s="10">
        <v>0</v>
      </c>
      <c r="J333" s="6">
        <v>0</v>
      </c>
    </row>
    <row r="334" spans="1:10">
      <c r="A334" t="s">
        <v>57</v>
      </c>
      <c r="B334">
        <v>1</v>
      </c>
      <c r="C334">
        <v>108</v>
      </c>
      <c r="D334" s="3">
        <v>9.2600000000000002E-2</v>
      </c>
      <c r="E334">
        <v>10</v>
      </c>
      <c r="F334">
        <v>1</v>
      </c>
      <c r="G334" s="3">
        <v>0.1</v>
      </c>
      <c r="H334" s="10">
        <v>0.32</v>
      </c>
      <c r="I334" s="10">
        <v>3.16</v>
      </c>
      <c r="J334" s="6">
        <v>3.16</v>
      </c>
    </row>
    <row r="335" spans="1:10">
      <c r="A335" t="s">
        <v>57</v>
      </c>
      <c r="B335">
        <v>1</v>
      </c>
      <c r="C335">
        <v>128</v>
      </c>
      <c r="D335" s="3">
        <v>4.6900000000000004E-2</v>
      </c>
      <c r="E335">
        <v>6</v>
      </c>
      <c r="F335">
        <v>0</v>
      </c>
      <c r="G335" s="3">
        <v>1.111E-3</v>
      </c>
      <c r="H335" s="10">
        <v>0</v>
      </c>
      <c r="I335" s="10">
        <v>0</v>
      </c>
      <c r="J335" s="6">
        <v>0</v>
      </c>
    </row>
    <row r="336" spans="1:10">
      <c r="A336" t="s">
        <v>57</v>
      </c>
      <c r="B336">
        <v>1</v>
      </c>
      <c r="C336">
        <v>157</v>
      </c>
      <c r="D336" s="3">
        <v>7.6399999999999996E-2</v>
      </c>
      <c r="E336">
        <v>12</v>
      </c>
      <c r="F336">
        <v>2</v>
      </c>
      <c r="G336" s="3">
        <v>1E-3</v>
      </c>
      <c r="H336" s="10">
        <v>5.56</v>
      </c>
      <c r="I336" s="10">
        <v>33.33</v>
      </c>
      <c r="J336" s="6">
        <v>66.66</v>
      </c>
    </row>
    <row r="337" spans="1:10">
      <c r="A337" t="s">
        <v>57</v>
      </c>
      <c r="B337">
        <v>1</v>
      </c>
      <c r="C337">
        <v>187</v>
      </c>
      <c r="D337" s="3">
        <v>6.4199999999999993E-2</v>
      </c>
      <c r="E337">
        <v>12</v>
      </c>
      <c r="F337">
        <v>1</v>
      </c>
      <c r="G337" s="3">
        <v>0.25</v>
      </c>
      <c r="H337" s="10">
        <v>0.47</v>
      </c>
      <c r="I337" s="10">
        <v>5.62</v>
      </c>
      <c r="J337" s="6">
        <v>5.62</v>
      </c>
    </row>
    <row r="338" spans="1:10">
      <c r="A338" t="s">
        <v>57</v>
      </c>
      <c r="B338">
        <v>1</v>
      </c>
      <c r="C338">
        <v>251</v>
      </c>
      <c r="D338" s="3">
        <v>3.5900000000000001E-2</v>
      </c>
      <c r="E338">
        <v>9</v>
      </c>
      <c r="F338">
        <v>0</v>
      </c>
      <c r="G338" s="3">
        <v>0.375</v>
      </c>
      <c r="H338" s="10">
        <v>0</v>
      </c>
      <c r="I338" s="10">
        <v>0</v>
      </c>
      <c r="J338" s="6">
        <v>0</v>
      </c>
    </row>
    <row r="339" spans="1:10">
      <c r="A339" t="s">
        <v>57</v>
      </c>
      <c r="B339">
        <v>1</v>
      </c>
      <c r="C339">
        <v>45</v>
      </c>
      <c r="D339" s="3">
        <v>6.6699999999999995E-2</v>
      </c>
      <c r="E339">
        <v>3</v>
      </c>
      <c r="F339">
        <v>0</v>
      </c>
      <c r="G339" s="3">
        <v>0</v>
      </c>
      <c r="H339" s="10">
        <v>0</v>
      </c>
      <c r="I339" s="10">
        <v>0</v>
      </c>
      <c r="J339" s="6">
        <v>0</v>
      </c>
    </row>
    <row r="340" spans="1:10">
      <c r="A340" t="s">
        <v>57</v>
      </c>
      <c r="B340">
        <v>1</v>
      </c>
      <c r="C340">
        <v>80</v>
      </c>
      <c r="D340" s="3">
        <v>6.25E-2</v>
      </c>
      <c r="E340">
        <v>5</v>
      </c>
      <c r="F340">
        <v>1</v>
      </c>
      <c r="G340" s="3">
        <v>20</v>
      </c>
      <c r="H340" s="10">
        <v>1.88</v>
      </c>
      <c r="I340" s="10">
        <v>9.41</v>
      </c>
      <c r="J340" s="6">
        <v>9.41</v>
      </c>
    </row>
    <row r="341" spans="1:10">
      <c r="A341" t="s">
        <v>57</v>
      </c>
      <c r="B341">
        <v>1</v>
      </c>
      <c r="C341">
        <v>9</v>
      </c>
      <c r="D341" s="3">
        <v>0</v>
      </c>
      <c r="E341">
        <v>0</v>
      </c>
      <c r="F341">
        <v>0</v>
      </c>
      <c r="G341" s="3">
        <v>0</v>
      </c>
      <c r="H341" s="10">
        <v>0</v>
      </c>
      <c r="I341" s="10">
        <v>0</v>
      </c>
      <c r="J341" s="6">
        <v>0</v>
      </c>
    </row>
    <row r="342" spans="1:10">
      <c r="A342" t="s">
        <v>58</v>
      </c>
      <c r="B342">
        <v>1</v>
      </c>
      <c r="C342">
        <v>0</v>
      </c>
      <c r="D342" s="3">
        <v>0</v>
      </c>
      <c r="E342">
        <v>0</v>
      </c>
      <c r="F342">
        <v>0</v>
      </c>
      <c r="G342" s="3">
        <v>0</v>
      </c>
      <c r="H342" s="10">
        <v>0</v>
      </c>
      <c r="I342" s="10">
        <v>0</v>
      </c>
      <c r="J342" s="6">
        <v>0</v>
      </c>
    </row>
    <row r="343" spans="1:10">
      <c r="A343" t="s">
        <v>58</v>
      </c>
      <c r="B343">
        <v>1</v>
      </c>
      <c r="C343">
        <v>0</v>
      </c>
      <c r="D343" s="3">
        <v>0</v>
      </c>
      <c r="E343">
        <v>0</v>
      </c>
      <c r="F343">
        <v>0</v>
      </c>
      <c r="G343" s="3">
        <v>0</v>
      </c>
      <c r="H343" s="10">
        <v>0</v>
      </c>
      <c r="I343" s="10">
        <v>0</v>
      </c>
      <c r="J343" s="6">
        <v>0</v>
      </c>
    </row>
    <row r="344" spans="1:10">
      <c r="A344" t="s">
        <v>58</v>
      </c>
      <c r="B344">
        <v>1</v>
      </c>
      <c r="C344">
        <v>0</v>
      </c>
      <c r="D344" s="3">
        <v>0</v>
      </c>
      <c r="E344">
        <v>0</v>
      </c>
      <c r="F344">
        <v>0</v>
      </c>
      <c r="G344" s="3">
        <v>0</v>
      </c>
      <c r="H344" s="10">
        <v>0</v>
      </c>
      <c r="I344" s="10">
        <v>0</v>
      </c>
      <c r="J344" s="6">
        <v>0</v>
      </c>
    </row>
    <row r="345" spans="1:10">
      <c r="A345" t="s">
        <v>58</v>
      </c>
      <c r="B345">
        <v>1</v>
      </c>
      <c r="C345">
        <v>0</v>
      </c>
      <c r="D345" s="3">
        <v>0</v>
      </c>
      <c r="E345">
        <v>0</v>
      </c>
      <c r="F345">
        <v>0</v>
      </c>
      <c r="G345" s="3">
        <v>0</v>
      </c>
      <c r="H345" s="10">
        <v>0</v>
      </c>
      <c r="I345" s="10">
        <v>0</v>
      </c>
      <c r="J345" s="6">
        <v>0</v>
      </c>
    </row>
    <row r="346" spans="1:10">
      <c r="A346" t="s">
        <v>59</v>
      </c>
      <c r="B346">
        <v>1</v>
      </c>
      <c r="C346">
        <v>0</v>
      </c>
      <c r="D346" s="3">
        <v>0</v>
      </c>
      <c r="E346">
        <v>0</v>
      </c>
      <c r="F346">
        <v>0</v>
      </c>
      <c r="G346" s="3">
        <v>0</v>
      </c>
      <c r="H346" s="10">
        <v>0</v>
      </c>
      <c r="I346" s="10">
        <v>0</v>
      </c>
      <c r="J346" s="6">
        <v>0</v>
      </c>
    </row>
    <row r="347" spans="1:10">
      <c r="A347" t="s">
        <v>59</v>
      </c>
      <c r="B347">
        <v>1</v>
      </c>
      <c r="C347">
        <v>0</v>
      </c>
      <c r="D347" s="3">
        <v>0</v>
      </c>
      <c r="E347">
        <v>0</v>
      </c>
      <c r="F347">
        <v>0</v>
      </c>
      <c r="G347" s="3">
        <v>0</v>
      </c>
      <c r="H347" s="10">
        <v>0</v>
      </c>
      <c r="I347" s="10">
        <v>0</v>
      </c>
      <c r="J347" s="6">
        <v>0</v>
      </c>
    </row>
    <row r="348" spans="1:10">
      <c r="A348" t="s">
        <v>59</v>
      </c>
      <c r="B348">
        <v>1</v>
      </c>
      <c r="C348">
        <v>0</v>
      </c>
      <c r="D348" s="3">
        <v>0</v>
      </c>
      <c r="E348">
        <v>0</v>
      </c>
      <c r="F348">
        <v>0</v>
      </c>
      <c r="G348" s="3">
        <v>0</v>
      </c>
      <c r="H348" s="10">
        <v>0</v>
      </c>
      <c r="I348" s="10">
        <v>0</v>
      </c>
      <c r="J348" s="6">
        <v>0</v>
      </c>
    </row>
    <row r="349" spans="1:10">
      <c r="A349" t="s">
        <v>59</v>
      </c>
      <c r="B349">
        <v>1</v>
      </c>
      <c r="C349">
        <v>0</v>
      </c>
      <c r="D349" s="3">
        <v>0</v>
      </c>
      <c r="E349">
        <v>0</v>
      </c>
      <c r="F349">
        <v>0</v>
      </c>
      <c r="G349" s="3">
        <v>0</v>
      </c>
      <c r="H349" s="10">
        <v>0</v>
      </c>
      <c r="I349" s="10">
        <v>0</v>
      </c>
      <c r="J349" s="6">
        <v>0</v>
      </c>
    </row>
    <row r="350" spans="1:10">
      <c r="A350" t="s">
        <v>59</v>
      </c>
      <c r="B350">
        <v>1</v>
      </c>
      <c r="C350">
        <v>0</v>
      </c>
      <c r="D350" s="3">
        <v>0</v>
      </c>
      <c r="E350">
        <v>0</v>
      </c>
      <c r="F350">
        <v>0</v>
      </c>
      <c r="G350" s="3">
        <v>0</v>
      </c>
      <c r="H350" s="10">
        <v>0</v>
      </c>
      <c r="I350" s="10">
        <v>0</v>
      </c>
      <c r="J350" s="6">
        <v>0</v>
      </c>
    </row>
    <row r="351" spans="1:10">
      <c r="A351" t="s">
        <v>59</v>
      </c>
      <c r="B351">
        <v>1</v>
      </c>
      <c r="C351">
        <v>0</v>
      </c>
      <c r="D351" s="3">
        <v>0</v>
      </c>
      <c r="E351">
        <v>0</v>
      </c>
      <c r="F351">
        <v>0</v>
      </c>
      <c r="G351" s="3">
        <v>0</v>
      </c>
      <c r="H351" s="10">
        <v>0</v>
      </c>
      <c r="I351" s="10">
        <v>0</v>
      </c>
      <c r="J351" s="6">
        <v>0</v>
      </c>
    </row>
    <row r="352" spans="1:10">
      <c r="A352" t="s">
        <v>59</v>
      </c>
      <c r="B352">
        <v>1</v>
      </c>
      <c r="C352">
        <v>0</v>
      </c>
      <c r="D352" s="3">
        <v>0</v>
      </c>
      <c r="E352">
        <v>0</v>
      </c>
      <c r="F352">
        <v>0</v>
      </c>
      <c r="G352" s="3">
        <v>0</v>
      </c>
      <c r="H352" s="10">
        <v>0</v>
      </c>
      <c r="I352" s="10">
        <v>0</v>
      </c>
      <c r="J352" s="6">
        <v>0</v>
      </c>
    </row>
    <row r="353" spans="1:10">
      <c r="A353" t="s">
        <v>59</v>
      </c>
      <c r="B353">
        <v>1</v>
      </c>
      <c r="C353">
        <v>0</v>
      </c>
      <c r="D353" s="3">
        <v>0</v>
      </c>
      <c r="E353">
        <v>0</v>
      </c>
      <c r="F353">
        <v>0</v>
      </c>
      <c r="G353" s="3">
        <v>0</v>
      </c>
      <c r="H353" s="10">
        <v>0</v>
      </c>
      <c r="I353" s="10">
        <v>0</v>
      </c>
      <c r="J353" s="6">
        <v>0</v>
      </c>
    </row>
    <row r="354" spans="1:10">
      <c r="A354" t="s">
        <v>59</v>
      </c>
      <c r="B354">
        <v>1</v>
      </c>
      <c r="C354">
        <v>0</v>
      </c>
      <c r="D354" s="3">
        <v>0</v>
      </c>
      <c r="E354">
        <v>0</v>
      </c>
      <c r="F354">
        <v>0</v>
      </c>
      <c r="G354" s="3">
        <v>0</v>
      </c>
      <c r="H354" s="10">
        <v>0</v>
      </c>
      <c r="I354" s="10">
        <v>0</v>
      </c>
      <c r="J354" s="6">
        <v>0</v>
      </c>
    </row>
    <row r="355" spans="1:10">
      <c r="A355" t="s">
        <v>59</v>
      </c>
      <c r="B355">
        <v>1</v>
      </c>
      <c r="C355">
        <v>0</v>
      </c>
      <c r="D355" s="3">
        <v>0</v>
      </c>
      <c r="E355">
        <v>0</v>
      </c>
      <c r="F355">
        <v>0</v>
      </c>
      <c r="G355" s="3">
        <v>0</v>
      </c>
      <c r="H355" s="10">
        <v>0</v>
      </c>
      <c r="I355" s="10">
        <v>0</v>
      </c>
      <c r="J355" s="6">
        <v>0</v>
      </c>
    </row>
    <row r="356" spans="1:10">
      <c r="A356" t="s">
        <v>59</v>
      </c>
      <c r="B356">
        <v>1</v>
      </c>
      <c r="C356">
        <v>0</v>
      </c>
      <c r="D356" s="3">
        <v>0</v>
      </c>
      <c r="E356">
        <v>0</v>
      </c>
      <c r="F356">
        <v>0</v>
      </c>
      <c r="G356" s="3">
        <v>0</v>
      </c>
      <c r="H356" s="10">
        <v>0</v>
      </c>
      <c r="I356" s="10">
        <v>0</v>
      </c>
      <c r="J356" s="6">
        <v>0</v>
      </c>
    </row>
    <row r="357" spans="1:10">
      <c r="A357" t="s">
        <v>59</v>
      </c>
      <c r="B357">
        <v>1</v>
      </c>
      <c r="C357">
        <v>0</v>
      </c>
      <c r="D357" s="3">
        <v>0</v>
      </c>
      <c r="E357">
        <v>0</v>
      </c>
      <c r="F357">
        <v>0</v>
      </c>
      <c r="G357" s="3">
        <v>0</v>
      </c>
      <c r="H357" s="10">
        <v>0</v>
      </c>
      <c r="I357" s="10">
        <v>0</v>
      </c>
      <c r="J357" s="6">
        <v>0</v>
      </c>
    </row>
    <row r="358" spans="1:10">
      <c r="A358" t="s">
        <v>59</v>
      </c>
      <c r="B358">
        <v>1</v>
      </c>
      <c r="C358">
        <v>183</v>
      </c>
      <c r="D358" s="3">
        <v>1.09E-2</v>
      </c>
      <c r="E358">
        <v>2</v>
      </c>
      <c r="F358">
        <v>0</v>
      </c>
      <c r="G358" s="3">
        <v>0.23079999999999998</v>
      </c>
      <c r="H358" s="10">
        <v>0</v>
      </c>
      <c r="I358" s="10">
        <v>0</v>
      </c>
      <c r="J358" s="6">
        <v>0</v>
      </c>
    </row>
    <row r="359" spans="1:10">
      <c r="A359" t="s">
        <v>60</v>
      </c>
      <c r="B359">
        <v>1</v>
      </c>
      <c r="C359">
        <v>0</v>
      </c>
      <c r="D359" s="3">
        <v>0</v>
      </c>
      <c r="E359">
        <v>0</v>
      </c>
      <c r="F359">
        <v>0</v>
      </c>
      <c r="G359" s="3">
        <v>0</v>
      </c>
      <c r="H359" s="10">
        <v>0</v>
      </c>
      <c r="I359" s="10">
        <v>0</v>
      </c>
      <c r="J359" s="6">
        <v>0</v>
      </c>
    </row>
    <row r="360" spans="1:10">
      <c r="A360" t="s">
        <v>60</v>
      </c>
      <c r="B360">
        <v>1</v>
      </c>
      <c r="C360">
        <v>0</v>
      </c>
      <c r="D360" s="3">
        <v>0</v>
      </c>
      <c r="E360">
        <v>0</v>
      </c>
      <c r="F360">
        <v>0</v>
      </c>
      <c r="G360" s="3">
        <v>0</v>
      </c>
      <c r="H360" s="10">
        <v>0</v>
      </c>
      <c r="I360" s="10">
        <v>0</v>
      </c>
      <c r="J360" s="6">
        <v>0</v>
      </c>
    </row>
    <row r="361" spans="1:10">
      <c r="A361" t="s">
        <v>60</v>
      </c>
      <c r="B361">
        <v>1</v>
      </c>
      <c r="C361">
        <v>0</v>
      </c>
      <c r="D361" s="3">
        <v>0</v>
      </c>
      <c r="E361">
        <v>0</v>
      </c>
      <c r="F361">
        <v>0</v>
      </c>
      <c r="G361" s="3">
        <v>0</v>
      </c>
      <c r="H361" s="10">
        <v>0</v>
      </c>
      <c r="I361" s="10">
        <v>0</v>
      </c>
      <c r="J361" s="6">
        <v>0</v>
      </c>
    </row>
    <row r="362" spans="1:10">
      <c r="A362" t="s">
        <v>60</v>
      </c>
      <c r="B362">
        <v>1</v>
      </c>
      <c r="C362">
        <v>0</v>
      </c>
      <c r="D362" s="3">
        <v>0</v>
      </c>
      <c r="E362">
        <v>0</v>
      </c>
      <c r="F362">
        <v>0</v>
      </c>
      <c r="G362" s="3">
        <v>0</v>
      </c>
      <c r="H362" s="10">
        <v>0</v>
      </c>
      <c r="I362" s="10">
        <v>0</v>
      </c>
      <c r="J362" s="6">
        <v>0</v>
      </c>
    </row>
    <row r="363" spans="1:10">
      <c r="A363" t="s">
        <v>60</v>
      </c>
      <c r="B363">
        <v>1</v>
      </c>
      <c r="C363">
        <v>0</v>
      </c>
      <c r="D363" s="3">
        <v>0</v>
      </c>
      <c r="E363">
        <v>0</v>
      </c>
      <c r="F363">
        <v>0</v>
      </c>
      <c r="G363" s="3">
        <v>0</v>
      </c>
      <c r="H363" s="10">
        <v>0</v>
      </c>
      <c r="I363" s="10">
        <v>0</v>
      </c>
      <c r="J363" s="6">
        <v>0</v>
      </c>
    </row>
    <row r="364" spans="1:10">
      <c r="A364" t="s">
        <v>60</v>
      </c>
      <c r="B364">
        <v>1</v>
      </c>
      <c r="C364">
        <v>0</v>
      </c>
      <c r="D364" s="3">
        <v>0</v>
      </c>
      <c r="E364">
        <v>0</v>
      </c>
      <c r="F364">
        <v>0</v>
      </c>
      <c r="G364" s="3">
        <v>0</v>
      </c>
      <c r="H364" s="10">
        <v>0</v>
      </c>
      <c r="I364" s="10">
        <v>0</v>
      </c>
      <c r="J364" s="6">
        <v>0</v>
      </c>
    </row>
    <row r="365" spans="1:10">
      <c r="A365" t="s">
        <v>60</v>
      </c>
      <c r="B365">
        <v>1</v>
      </c>
      <c r="C365">
        <v>0</v>
      </c>
      <c r="D365" s="3">
        <v>0</v>
      </c>
      <c r="E365">
        <v>0</v>
      </c>
      <c r="F365">
        <v>0</v>
      </c>
      <c r="G365" s="3">
        <v>0</v>
      </c>
      <c r="H365" s="10">
        <v>0</v>
      </c>
      <c r="I365" s="10">
        <v>0</v>
      </c>
      <c r="J365" s="6">
        <v>0</v>
      </c>
    </row>
    <row r="366" spans="1:10">
      <c r="A366" t="s">
        <v>60</v>
      </c>
      <c r="B366">
        <v>1</v>
      </c>
      <c r="C366">
        <v>0</v>
      </c>
      <c r="D366" s="3">
        <v>0</v>
      </c>
      <c r="E366">
        <v>0</v>
      </c>
      <c r="F366">
        <v>0</v>
      </c>
      <c r="G366" s="3">
        <v>0</v>
      </c>
      <c r="H366" s="10">
        <v>0</v>
      </c>
      <c r="I366" s="10">
        <v>0</v>
      </c>
      <c r="J366" s="6">
        <v>0</v>
      </c>
    </row>
    <row r="367" spans="1:10">
      <c r="A367" t="s">
        <v>60</v>
      </c>
      <c r="B367">
        <v>1</v>
      </c>
      <c r="C367">
        <v>0</v>
      </c>
      <c r="D367" s="3">
        <v>0</v>
      </c>
      <c r="E367">
        <v>0</v>
      </c>
      <c r="F367">
        <v>0</v>
      </c>
      <c r="G367" s="3">
        <v>0</v>
      </c>
      <c r="H367" s="10">
        <v>0</v>
      </c>
      <c r="I367" s="10">
        <v>0</v>
      </c>
      <c r="J367" s="6">
        <v>0</v>
      </c>
    </row>
    <row r="368" spans="1:10">
      <c r="A368" t="s">
        <v>60</v>
      </c>
      <c r="B368">
        <v>1</v>
      </c>
      <c r="C368">
        <v>0</v>
      </c>
      <c r="D368" s="3">
        <v>0</v>
      </c>
      <c r="E368">
        <v>0</v>
      </c>
      <c r="F368">
        <v>0</v>
      </c>
      <c r="G368" s="3">
        <v>0</v>
      </c>
      <c r="H368" s="10">
        <v>0</v>
      </c>
      <c r="I368" s="10">
        <v>0</v>
      </c>
      <c r="J368" s="6">
        <v>0</v>
      </c>
    </row>
    <row r="369" spans="1:10">
      <c r="A369" t="s">
        <v>61</v>
      </c>
      <c r="B369">
        <v>1</v>
      </c>
      <c r="C369">
        <v>0</v>
      </c>
      <c r="D369" s="3">
        <v>0</v>
      </c>
      <c r="E369">
        <v>0</v>
      </c>
      <c r="F369">
        <v>0</v>
      </c>
      <c r="G369" s="3">
        <v>0</v>
      </c>
      <c r="H369" s="10">
        <v>0</v>
      </c>
      <c r="I369" s="10">
        <v>0</v>
      </c>
      <c r="J369" s="6">
        <v>0</v>
      </c>
    </row>
    <row r="370" spans="1:10">
      <c r="A370" t="s">
        <v>61</v>
      </c>
      <c r="B370">
        <v>1</v>
      </c>
      <c r="C370">
        <v>0</v>
      </c>
      <c r="D370" s="3">
        <v>0</v>
      </c>
      <c r="E370">
        <v>0</v>
      </c>
      <c r="F370">
        <v>0</v>
      </c>
      <c r="G370" s="3">
        <v>0</v>
      </c>
      <c r="H370" s="10">
        <v>0</v>
      </c>
      <c r="I370" s="10">
        <v>0</v>
      </c>
      <c r="J370" s="6">
        <v>0</v>
      </c>
    </row>
    <row r="371" spans="1:10">
      <c r="A371" t="s">
        <v>61</v>
      </c>
      <c r="B371">
        <v>1</v>
      </c>
      <c r="C371">
        <v>0</v>
      </c>
      <c r="D371" s="3">
        <v>0</v>
      </c>
      <c r="E371">
        <v>0</v>
      </c>
      <c r="F371">
        <v>0</v>
      </c>
      <c r="G371" s="3">
        <v>0</v>
      </c>
      <c r="H371" s="10">
        <v>0</v>
      </c>
      <c r="I371" s="10">
        <v>0</v>
      </c>
      <c r="J371" s="6">
        <v>0</v>
      </c>
    </row>
    <row r="372" spans="1:10">
      <c r="A372" t="s">
        <v>61</v>
      </c>
      <c r="B372">
        <v>1</v>
      </c>
      <c r="C372">
        <v>0</v>
      </c>
      <c r="D372" s="3">
        <v>0</v>
      </c>
      <c r="E372">
        <v>0</v>
      </c>
      <c r="F372">
        <v>0</v>
      </c>
      <c r="G372" s="3">
        <v>0</v>
      </c>
      <c r="H372" s="10">
        <v>0</v>
      </c>
      <c r="I372" s="10">
        <v>0</v>
      </c>
      <c r="J372" s="6">
        <v>0</v>
      </c>
    </row>
    <row r="373" spans="1:10">
      <c r="A373" t="s">
        <v>61</v>
      </c>
      <c r="B373">
        <v>1</v>
      </c>
      <c r="C373">
        <v>0</v>
      </c>
      <c r="D373" s="3">
        <v>0</v>
      </c>
      <c r="E373">
        <v>0</v>
      </c>
      <c r="F373">
        <v>0</v>
      </c>
      <c r="G373" s="3">
        <v>0</v>
      </c>
      <c r="H373" s="10">
        <v>0</v>
      </c>
      <c r="I373" s="10">
        <v>0</v>
      </c>
      <c r="J373" s="6">
        <v>0</v>
      </c>
    </row>
    <row r="374" spans="1:10">
      <c r="A374" t="s">
        <v>26</v>
      </c>
      <c r="B374">
        <v>1</v>
      </c>
      <c r="C374">
        <v>0</v>
      </c>
      <c r="D374" s="3">
        <v>0</v>
      </c>
      <c r="E374">
        <v>0</v>
      </c>
      <c r="F374">
        <v>0</v>
      </c>
      <c r="G374" s="3">
        <v>0</v>
      </c>
      <c r="H374" s="10">
        <v>0</v>
      </c>
      <c r="I374" s="10">
        <v>0</v>
      </c>
      <c r="J374" s="6">
        <v>0</v>
      </c>
    </row>
    <row r="375" spans="1:10">
      <c r="A375" t="s">
        <v>26</v>
      </c>
      <c r="B375">
        <v>1</v>
      </c>
      <c r="C375">
        <v>0</v>
      </c>
      <c r="D375" s="3">
        <v>0</v>
      </c>
      <c r="E375">
        <v>0</v>
      </c>
      <c r="F375">
        <v>0</v>
      </c>
      <c r="G375" s="3">
        <v>0</v>
      </c>
      <c r="H375" s="10">
        <v>0</v>
      </c>
      <c r="I375" s="10">
        <v>0</v>
      </c>
      <c r="J375" s="6">
        <v>0</v>
      </c>
    </row>
    <row r="376" spans="1:10">
      <c r="A376" t="s">
        <v>26</v>
      </c>
      <c r="B376">
        <v>1</v>
      </c>
      <c r="C376">
        <v>0</v>
      </c>
      <c r="D376" s="3">
        <v>0</v>
      </c>
      <c r="E376">
        <v>0</v>
      </c>
      <c r="F376">
        <v>0</v>
      </c>
      <c r="G376" s="3">
        <v>0</v>
      </c>
      <c r="H376" s="10">
        <v>0</v>
      </c>
      <c r="I376" s="10">
        <v>0</v>
      </c>
      <c r="J376" s="6">
        <v>0</v>
      </c>
    </row>
    <row r="377" spans="1:10">
      <c r="A377" t="s">
        <v>26</v>
      </c>
      <c r="B377">
        <v>1</v>
      </c>
      <c r="C377">
        <v>198</v>
      </c>
      <c r="D377" s="3">
        <v>6.0599999999999994E-2</v>
      </c>
      <c r="E377">
        <v>12</v>
      </c>
      <c r="F377">
        <v>1</v>
      </c>
      <c r="G377" s="3">
        <v>6.9000000000000006E-2</v>
      </c>
      <c r="H377" s="10">
        <v>0.14000000000000001</v>
      </c>
      <c r="I377" s="10">
        <v>1.7</v>
      </c>
      <c r="J377" s="6">
        <v>1.7</v>
      </c>
    </row>
    <row r="378" spans="1:10">
      <c r="A378" t="s">
        <v>62</v>
      </c>
      <c r="B378">
        <v>1</v>
      </c>
      <c r="C378">
        <v>0</v>
      </c>
      <c r="D378" s="3">
        <v>0</v>
      </c>
      <c r="E378">
        <v>0</v>
      </c>
      <c r="F378">
        <v>0</v>
      </c>
      <c r="G378" s="3">
        <v>0</v>
      </c>
      <c r="H378" s="10">
        <v>0</v>
      </c>
      <c r="I378" s="10">
        <v>0</v>
      </c>
      <c r="J378" s="6">
        <v>0</v>
      </c>
    </row>
    <row r="379" spans="1:10">
      <c r="A379" t="s">
        <v>62</v>
      </c>
      <c r="B379">
        <v>1</v>
      </c>
      <c r="C379">
        <v>0</v>
      </c>
      <c r="D379" s="3">
        <v>0</v>
      </c>
      <c r="E379">
        <v>0</v>
      </c>
      <c r="F379">
        <v>0</v>
      </c>
      <c r="G379" s="3">
        <v>0</v>
      </c>
      <c r="H379" s="10">
        <v>0</v>
      </c>
      <c r="I379" s="10">
        <v>0</v>
      </c>
      <c r="J379" s="6">
        <v>0</v>
      </c>
    </row>
    <row r="380" spans="1:10">
      <c r="A380" t="s">
        <v>63</v>
      </c>
      <c r="B380">
        <v>1</v>
      </c>
      <c r="C380">
        <v>0</v>
      </c>
      <c r="D380" s="3">
        <v>0</v>
      </c>
      <c r="E380">
        <v>0</v>
      </c>
      <c r="F380">
        <v>0</v>
      </c>
      <c r="G380" s="3">
        <v>0</v>
      </c>
      <c r="H380" s="10">
        <v>0</v>
      </c>
      <c r="I380" s="10">
        <v>0</v>
      </c>
      <c r="J380" s="6">
        <v>0</v>
      </c>
    </row>
    <row r="381" spans="1:10">
      <c r="A381" t="s">
        <v>63</v>
      </c>
      <c r="B381">
        <v>1</v>
      </c>
      <c r="C381">
        <v>0</v>
      </c>
      <c r="D381" s="3">
        <v>0</v>
      </c>
      <c r="E381">
        <v>0</v>
      </c>
      <c r="F381">
        <v>0</v>
      </c>
      <c r="G381" s="3">
        <v>0</v>
      </c>
      <c r="H381" s="10">
        <v>0</v>
      </c>
      <c r="I381" s="10">
        <v>0</v>
      </c>
      <c r="J381" s="6">
        <v>0</v>
      </c>
    </row>
    <row r="382" spans="1:10">
      <c r="A382" t="s">
        <v>63</v>
      </c>
      <c r="B382">
        <v>1</v>
      </c>
      <c r="C382">
        <v>0</v>
      </c>
      <c r="D382" s="3">
        <v>0</v>
      </c>
      <c r="E382">
        <v>0</v>
      </c>
      <c r="F382">
        <v>0</v>
      </c>
      <c r="G382" s="3">
        <v>0</v>
      </c>
      <c r="H382" s="10">
        <v>0</v>
      </c>
      <c r="I382" s="10">
        <v>0</v>
      </c>
      <c r="J382" s="6">
        <v>0</v>
      </c>
    </row>
    <row r="383" spans="1:10">
      <c r="A383" t="s">
        <v>63</v>
      </c>
      <c r="B383">
        <v>1</v>
      </c>
      <c r="C383">
        <v>0</v>
      </c>
      <c r="D383" s="3">
        <v>0</v>
      </c>
      <c r="E383">
        <v>0</v>
      </c>
      <c r="F383">
        <v>0</v>
      </c>
      <c r="G383" s="3">
        <v>0</v>
      </c>
      <c r="H383" s="10">
        <v>0</v>
      </c>
      <c r="I383" s="10">
        <v>0</v>
      </c>
      <c r="J383" s="6">
        <v>0</v>
      </c>
    </row>
    <row r="384" spans="1:10">
      <c r="A384" t="s">
        <v>63</v>
      </c>
      <c r="B384">
        <v>1</v>
      </c>
      <c r="C384">
        <v>0</v>
      </c>
      <c r="D384" s="3">
        <v>0</v>
      </c>
      <c r="E384">
        <v>0</v>
      </c>
      <c r="F384">
        <v>0</v>
      </c>
      <c r="G384" s="3">
        <v>0</v>
      </c>
      <c r="H384" s="10">
        <v>0</v>
      </c>
      <c r="I384" s="10">
        <v>0</v>
      </c>
      <c r="J384" s="6">
        <v>0</v>
      </c>
    </row>
    <row r="385" spans="1:10">
      <c r="A385" t="s">
        <v>63</v>
      </c>
      <c r="B385">
        <v>1</v>
      </c>
      <c r="C385">
        <v>0</v>
      </c>
      <c r="D385" s="3">
        <v>0</v>
      </c>
      <c r="E385">
        <v>0</v>
      </c>
      <c r="F385">
        <v>0</v>
      </c>
      <c r="G385" s="3">
        <v>0</v>
      </c>
      <c r="H385" s="10">
        <v>0</v>
      </c>
      <c r="I385" s="10">
        <v>0</v>
      </c>
      <c r="J385" s="6">
        <v>0</v>
      </c>
    </row>
    <row r="386" spans="1:10">
      <c r="A386" t="s">
        <v>63</v>
      </c>
      <c r="B386">
        <v>1</v>
      </c>
      <c r="C386">
        <v>0</v>
      </c>
      <c r="D386" s="3">
        <v>0</v>
      </c>
      <c r="E386">
        <v>0</v>
      </c>
      <c r="F386">
        <v>0</v>
      </c>
      <c r="G386" s="3">
        <v>0</v>
      </c>
      <c r="H386" s="10">
        <v>0</v>
      </c>
      <c r="I386" s="10">
        <v>0</v>
      </c>
      <c r="J386" s="6">
        <v>0</v>
      </c>
    </row>
    <row r="387" spans="1:10">
      <c r="A387" t="s">
        <v>63</v>
      </c>
      <c r="B387">
        <v>1</v>
      </c>
      <c r="C387">
        <v>319</v>
      </c>
      <c r="D387" s="3">
        <v>1.2500000000000001E-2</v>
      </c>
      <c r="E387">
        <v>4</v>
      </c>
      <c r="F387">
        <v>0</v>
      </c>
      <c r="G387" s="3">
        <v>0</v>
      </c>
      <c r="H387" s="10">
        <v>0</v>
      </c>
      <c r="I387" s="10">
        <v>0</v>
      </c>
      <c r="J387" s="6">
        <v>0</v>
      </c>
    </row>
    <row r="388" spans="1:10">
      <c r="A388" t="s">
        <v>64</v>
      </c>
      <c r="B388">
        <v>1</v>
      </c>
      <c r="C388">
        <v>0</v>
      </c>
      <c r="D388" s="3">
        <v>0</v>
      </c>
      <c r="E388">
        <v>0</v>
      </c>
      <c r="F388">
        <v>0</v>
      </c>
      <c r="G388" s="3">
        <v>0</v>
      </c>
      <c r="H388" s="10">
        <v>0</v>
      </c>
      <c r="I388" s="10">
        <v>0</v>
      </c>
      <c r="J388" s="6">
        <v>0</v>
      </c>
    </row>
    <row r="389" spans="1:10">
      <c r="A389" t="s">
        <v>64</v>
      </c>
      <c r="B389">
        <v>1</v>
      </c>
      <c r="C389">
        <v>0</v>
      </c>
      <c r="D389" s="3">
        <v>0</v>
      </c>
      <c r="E389">
        <v>0</v>
      </c>
      <c r="F389">
        <v>0</v>
      </c>
      <c r="G389" s="3">
        <v>0</v>
      </c>
      <c r="H389" s="10">
        <v>0</v>
      </c>
      <c r="I389" s="10">
        <v>0</v>
      </c>
      <c r="J389" s="6">
        <v>0</v>
      </c>
    </row>
    <row r="390" spans="1:10">
      <c r="A390" t="s">
        <v>64</v>
      </c>
      <c r="B390">
        <v>1</v>
      </c>
      <c r="C390">
        <v>0</v>
      </c>
      <c r="D390" s="3">
        <v>0</v>
      </c>
      <c r="E390">
        <v>0</v>
      </c>
      <c r="F390">
        <v>0</v>
      </c>
      <c r="G390" s="3">
        <v>0</v>
      </c>
      <c r="H390" s="10">
        <v>0</v>
      </c>
      <c r="I390" s="10">
        <v>0</v>
      </c>
      <c r="J390" s="6">
        <v>0</v>
      </c>
    </row>
    <row r="391" spans="1:10">
      <c r="A391" t="s">
        <v>64</v>
      </c>
      <c r="B391">
        <v>1</v>
      </c>
      <c r="C391">
        <v>0</v>
      </c>
      <c r="D391" s="3">
        <v>0</v>
      </c>
      <c r="E391">
        <v>0</v>
      </c>
      <c r="F391">
        <v>0</v>
      </c>
      <c r="G391" s="3">
        <v>0</v>
      </c>
      <c r="H391" s="10">
        <v>0</v>
      </c>
      <c r="I391" s="10">
        <v>0</v>
      </c>
      <c r="J391" s="6">
        <v>0</v>
      </c>
    </row>
    <row r="392" spans="1:10">
      <c r="A392" t="s">
        <v>64</v>
      </c>
      <c r="B392">
        <v>1</v>
      </c>
      <c r="C392">
        <v>0</v>
      </c>
      <c r="D392" s="3">
        <v>0</v>
      </c>
      <c r="E392">
        <v>0</v>
      </c>
      <c r="F392">
        <v>0</v>
      </c>
      <c r="G392" s="3">
        <v>0</v>
      </c>
      <c r="H392" s="10">
        <v>0</v>
      </c>
      <c r="I392" s="10">
        <v>0</v>
      </c>
      <c r="J392" s="6">
        <v>0</v>
      </c>
    </row>
    <row r="393" spans="1:10">
      <c r="A393" t="s">
        <v>64</v>
      </c>
      <c r="B393">
        <v>1</v>
      </c>
      <c r="C393">
        <v>0</v>
      </c>
      <c r="D393" s="3">
        <v>0</v>
      </c>
      <c r="E393">
        <v>0</v>
      </c>
      <c r="F393">
        <v>0</v>
      </c>
      <c r="G393" s="3">
        <v>0</v>
      </c>
      <c r="H393" s="10">
        <v>0</v>
      </c>
      <c r="I393" s="10">
        <v>0</v>
      </c>
      <c r="J393" s="6">
        <v>0</v>
      </c>
    </row>
    <row r="394" spans="1:10">
      <c r="A394" t="s">
        <v>64</v>
      </c>
      <c r="B394">
        <v>1</v>
      </c>
      <c r="C394">
        <v>0</v>
      </c>
      <c r="D394" s="3">
        <v>0</v>
      </c>
      <c r="E394">
        <v>0</v>
      </c>
      <c r="F394">
        <v>0</v>
      </c>
      <c r="G394" s="3">
        <v>0</v>
      </c>
      <c r="H394" s="10">
        <v>0</v>
      </c>
      <c r="I394" s="10">
        <v>0</v>
      </c>
      <c r="J394" s="6">
        <v>0</v>
      </c>
    </row>
    <row r="395" spans="1:10">
      <c r="A395" t="s">
        <v>64</v>
      </c>
      <c r="B395">
        <v>1</v>
      </c>
      <c r="C395">
        <v>0</v>
      </c>
      <c r="D395" s="3">
        <v>0</v>
      </c>
      <c r="E395">
        <v>0</v>
      </c>
      <c r="F395">
        <v>0</v>
      </c>
      <c r="G395" s="3">
        <v>0</v>
      </c>
      <c r="H395" s="10">
        <v>0</v>
      </c>
      <c r="I395" s="10">
        <v>0</v>
      </c>
      <c r="J395" s="6">
        <v>0</v>
      </c>
    </row>
    <row r="396" spans="1:10">
      <c r="A396" t="s">
        <v>64</v>
      </c>
      <c r="B396">
        <v>1</v>
      </c>
      <c r="C396">
        <v>0</v>
      </c>
      <c r="D396" s="3">
        <v>0</v>
      </c>
      <c r="E396">
        <v>0</v>
      </c>
      <c r="F396">
        <v>0</v>
      </c>
      <c r="G396" s="3">
        <v>0</v>
      </c>
      <c r="H396" s="10">
        <v>0</v>
      </c>
      <c r="I396" s="10">
        <v>0</v>
      </c>
      <c r="J396" s="6">
        <v>0</v>
      </c>
    </row>
    <row r="397" spans="1:10">
      <c r="A397" t="s">
        <v>64</v>
      </c>
      <c r="B397">
        <v>1</v>
      </c>
      <c r="C397">
        <v>0</v>
      </c>
      <c r="D397" s="3">
        <v>0</v>
      </c>
      <c r="E397">
        <v>0</v>
      </c>
      <c r="F397">
        <v>0</v>
      </c>
      <c r="G397" s="3">
        <v>0</v>
      </c>
      <c r="H397" s="10">
        <v>0</v>
      </c>
      <c r="I397" s="10">
        <v>0</v>
      </c>
      <c r="J397" s="6">
        <v>0</v>
      </c>
    </row>
    <row r="398" spans="1:10">
      <c r="A398" t="s">
        <v>64</v>
      </c>
      <c r="B398">
        <v>1</v>
      </c>
      <c r="C398">
        <v>0</v>
      </c>
      <c r="D398" s="3">
        <v>0</v>
      </c>
      <c r="E398">
        <v>0</v>
      </c>
      <c r="F398">
        <v>0</v>
      </c>
      <c r="G398" s="3">
        <v>0</v>
      </c>
      <c r="H398" s="10">
        <v>0</v>
      </c>
      <c r="I398" s="10">
        <v>0</v>
      </c>
      <c r="J398" s="6">
        <v>0</v>
      </c>
    </row>
    <row r="399" spans="1:10">
      <c r="A399" t="s">
        <v>64</v>
      </c>
      <c r="B399">
        <v>1</v>
      </c>
      <c r="C399">
        <v>0</v>
      </c>
      <c r="D399" s="3">
        <v>0</v>
      </c>
      <c r="E399">
        <v>0</v>
      </c>
      <c r="F399">
        <v>0</v>
      </c>
      <c r="G399" s="3">
        <v>0</v>
      </c>
      <c r="H399" s="10">
        <v>0</v>
      </c>
      <c r="I399" s="10">
        <v>0</v>
      </c>
      <c r="J399" s="6">
        <v>0</v>
      </c>
    </row>
    <row r="400" spans="1:10">
      <c r="A400" t="s">
        <v>64</v>
      </c>
      <c r="B400">
        <v>1</v>
      </c>
      <c r="C400">
        <v>174</v>
      </c>
      <c r="D400" s="3">
        <v>1.15E-2</v>
      </c>
      <c r="E400">
        <v>2</v>
      </c>
      <c r="F400">
        <v>0</v>
      </c>
      <c r="G400" s="3">
        <v>6.9800000000000005E-4</v>
      </c>
      <c r="H400" s="10">
        <v>0</v>
      </c>
      <c r="I400" s="10">
        <v>0</v>
      </c>
      <c r="J400" s="6">
        <v>0</v>
      </c>
    </row>
    <row r="401" spans="1:10">
      <c r="A401" t="s">
        <v>64</v>
      </c>
      <c r="B401">
        <v>1</v>
      </c>
      <c r="C401">
        <v>236</v>
      </c>
      <c r="D401" s="3">
        <v>4.1999999999999997E-3</v>
      </c>
      <c r="E401">
        <v>1</v>
      </c>
      <c r="F401">
        <v>0</v>
      </c>
      <c r="G401" s="3">
        <v>0.14810000000000001</v>
      </c>
      <c r="H401" s="10">
        <v>0</v>
      </c>
      <c r="I401" s="10">
        <v>0</v>
      </c>
      <c r="J401" s="6">
        <v>0</v>
      </c>
    </row>
    <row r="402" spans="1:10">
      <c r="A402" t="s">
        <v>65</v>
      </c>
      <c r="B402">
        <v>1</v>
      </c>
      <c r="C402">
        <v>0</v>
      </c>
      <c r="D402" s="3">
        <v>0</v>
      </c>
      <c r="E402">
        <v>0</v>
      </c>
      <c r="F402">
        <v>0</v>
      </c>
      <c r="G402" s="3">
        <v>0</v>
      </c>
      <c r="H402" s="10">
        <v>0</v>
      </c>
      <c r="I402" s="10">
        <v>0</v>
      </c>
      <c r="J402" s="6">
        <v>0</v>
      </c>
    </row>
    <row r="403" spans="1:10">
      <c r="A403" t="s">
        <v>65</v>
      </c>
      <c r="B403">
        <v>1</v>
      </c>
      <c r="C403">
        <v>0</v>
      </c>
      <c r="D403" s="3">
        <v>0</v>
      </c>
      <c r="E403">
        <v>0</v>
      </c>
      <c r="F403">
        <v>0</v>
      </c>
      <c r="G403" s="3">
        <v>0</v>
      </c>
      <c r="H403" s="10">
        <v>0</v>
      </c>
      <c r="I403" s="10">
        <v>0</v>
      </c>
      <c r="J403" s="6">
        <v>0</v>
      </c>
    </row>
    <row r="404" spans="1:10">
      <c r="A404" t="s">
        <v>65</v>
      </c>
      <c r="B404">
        <v>1</v>
      </c>
      <c r="C404">
        <v>0</v>
      </c>
      <c r="D404" s="3">
        <v>0</v>
      </c>
      <c r="E404">
        <v>0</v>
      </c>
      <c r="F404">
        <v>0</v>
      </c>
      <c r="G404" s="3">
        <v>0</v>
      </c>
      <c r="H404" s="10">
        <v>0</v>
      </c>
      <c r="I404" s="10">
        <v>0</v>
      </c>
      <c r="J404" s="6">
        <v>0</v>
      </c>
    </row>
    <row r="405" spans="1:10">
      <c r="A405" t="s">
        <v>65</v>
      </c>
      <c r="B405">
        <v>1</v>
      </c>
      <c r="C405">
        <v>0</v>
      </c>
      <c r="D405" s="3">
        <v>0</v>
      </c>
      <c r="E405">
        <v>0</v>
      </c>
      <c r="F405">
        <v>0</v>
      </c>
      <c r="G405" s="3">
        <v>0</v>
      </c>
      <c r="H405" s="10">
        <v>0</v>
      </c>
      <c r="I405" s="10">
        <v>0</v>
      </c>
      <c r="J405" s="6">
        <v>0</v>
      </c>
    </row>
    <row r="406" spans="1:10">
      <c r="A406" t="s">
        <v>65</v>
      </c>
      <c r="B406">
        <v>1</v>
      </c>
      <c r="C406">
        <v>0</v>
      </c>
      <c r="D406" s="3">
        <v>0</v>
      </c>
      <c r="E406">
        <v>0</v>
      </c>
      <c r="F406">
        <v>0</v>
      </c>
      <c r="G406" s="3">
        <v>0</v>
      </c>
      <c r="H406" s="10">
        <v>0</v>
      </c>
      <c r="I406" s="10">
        <v>0</v>
      </c>
      <c r="J406" s="6">
        <v>0</v>
      </c>
    </row>
    <row r="407" spans="1:10">
      <c r="A407" t="s">
        <v>65</v>
      </c>
      <c r="B407">
        <v>1</v>
      </c>
      <c r="C407">
        <v>0</v>
      </c>
      <c r="D407" s="3">
        <v>0</v>
      </c>
      <c r="E407">
        <v>0</v>
      </c>
      <c r="F407">
        <v>0</v>
      </c>
      <c r="G407" s="3">
        <v>0</v>
      </c>
      <c r="H407" s="10">
        <v>0</v>
      </c>
      <c r="I407" s="10">
        <v>0</v>
      </c>
      <c r="J407" s="6">
        <v>0</v>
      </c>
    </row>
    <row r="408" spans="1:10">
      <c r="A408" t="s">
        <v>65</v>
      </c>
      <c r="B408">
        <v>1</v>
      </c>
      <c r="C408">
        <v>0</v>
      </c>
      <c r="D408" s="3">
        <v>0</v>
      </c>
      <c r="E408">
        <v>0</v>
      </c>
      <c r="F408">
        <v>0</v>
      </c>
      <c r="G408" s="3">
        <v>0</v>
      </c>
      <c r="H408" s="10">
        <v>0</v>
      </c>
      <c r="I408" s="10">
        <v>0</v>
      </c>
      <c r="J408" s="6">
        <v>0</v>
      </c>
    </row>
    <row r="409" spans="1:10">
      <c r="A409" t="s">
        <v>65</v>
      </c>
      <c r="B409">
        <v>1</v>
      </c>
      <c r="C409">
        <v>0</v>
      </c>
      <c r="D409" s="3">
        <v>0</v>
      </c>
      <c r="E409">
        <v>0</v>
      </c>
      <c r="F409">
        <v>0</v>
      </c>
      <c r="G409" s="3">
        <v>0</v>
      </c>
      <c r="H409" s="10">
        <v>0</v>
      </c>
      <c r="I409" s="10">
        <v>0</v>
      </c>
      <c r="J409" s="6">
        <v>0</v>
      </c>
    </row>
    <row r="410" spans="1:10">
      <c r="A410" t="s">
        <v>65</v>
      </c>
      <c r="B410">
        <v>1</v>
      </c>
      <c r="C410">
        <v>0</v>
      </c>
      <c r="D410" s="3">
        <v>0</v>
      </c>
      <c r="E410">
        <v>0</v>
      </c>
      <c r="F410">
        <v>0</v>
      </c>
      <c r="G410" s="3">
        <v>0</v>
      </c>
      <c r="H410" s="10">
        <v>0</v>
      </c>
      <c r="I410" s="10">
        <v>0</v>
      </c>
      <c r="J410" s="6">
        <v>0</v>
      </c>
    </row>
    <row r="411" spans="1:10">
      <c r="A411" t="s">
        <v>65</v>
      </c>
      <c r="B411">
        <v>1</v>
      </c>
      <c r="C411">
        <v>0</v>
      </c>
      <c r="D411" s="3">
        <v>0</v>
      </c>
      <c r="E411">
        <v>0</v>
      </c>
      <c r="F411">
        <v>0</v>
      </c>
      <c r="G411" s="3">
        <v>0</v>
      </c>
      <c r="H411" s="10">
        <v>0</v>
      </c>
      <c r="I411" s="10">
        <v>0</v>
      </c>
      <c r="J411" s="6">
        <v>0</v>
      </c>
    </row>
    <row r="412" spans="1:10">
      <c r="A412" t="s">
        <v>65</v>
      </c>
      <c r="B412">
        <v>1</v>
      </c>
      <c r="C412">
        <v>0</v>
      </c>
      <c r="D412" s="3">
        <v>0</v>
      </c>
      <c r="E412">
        <v>0</v>
      </c>
      <c r="F412">
        <v>0</v>
      </c>
      <c r="G412" s="3">
        <v>0</v>
      </c>
      <c r="H412" s="10">
        <v>0</v>
      </c>
      <c r="I412" s="10">
        <v>0</v>
      </c>
      <c r="J412" s="6">
        <v>0</v>
      </c>
    </row>
    <row r="413" spans="1:10">
      <c r="A413" t="s">
        <v>65</v>
      </c>
      <c r="B413">
        <v>1</v>
      </c>
      <c r="C413">
        <v>0</v>
      </c>
      <c r="D413" s="3">
        <v>0</v>
      </c>
      <c r="E413">
        <v>0</v>
      </c>
      <c r="F413">
        <v>0</v>
      </c>
      <c r="G413" s="3">
        <v>0</v>
      </c>
      <c r="H413" s="10">
        <v>0</v>
      </c>
      <c r="I413" s="10">
        <v>0</v>
      </c>
      <c r="J413" s="6">
        <v>0</v>
      </c>
    </row>
    <row r="414" spans="1:10">
      <c r="A414" t="s">
        <v>65</v>
      </c>
      <c r="B414">
        <v>1</v>
      </c>
      <c r="C414">
        <v>0</v>
      </c>
      <c r="D414" s="3">
        <v>0</v>
      </c>
      <c r="E414">
        <v>0</v>
      </c>
      <c r="F414">
        <v>0</v>
      </c>
      <c r="G414" s="3">
        <v>0</v>
      </c>
      <c r="H414" s="10">
        <v>0</v>
      </c>
      <c r="I414" s="10">
        <v>0</v>
      </c>
      <c r="J414" s="6">
        <v>0</v>
      </c>
    </row>
    <row r="415" spans="1:10">
      <c r="A415" t="s">
        <v>66</v>
      </c>
      <c r="B415">
        <v>1</v>
      </c>
      <c r="C415">
        <v>0</v>
      </c>
      <c r="D415" s="3">
        <v>0</v>
      </c>
      <c r="E415">
        <v>0</v>
      </c>
      <c r="F415">
        <v>0</v>
      </c>
      <c r="G415" s="3">
        <v>0</v>
      </c>
      <c r="H415" s="10">
        <v>0</v>
      </c>
      <c r="I415" s="10">
        <v>0</v>
      </c>
      <c r="J415" s="6">
        <v>0</v>
      </c>
    </row>
    <row r="416" spans="1:10">
      <c r="A416" t="s">
        <v>66</v>
      </c>
      <c r="B416">
        <v>1</v>
      </c>
      <c r="C416">
        <v>0</v>
      </c>
      <c r="D416" s="3">
        <v>0</v>
      </c>
      <c r="E416">
        <v>0</v>
      </c>
      <c r="F416">
        <v>0</v>
      </c>
      <c r="G416" s="3">
        <v>0</v>
      </c>
      <c r="H416" s="10">
        <v>0</v>
      </c>
      <c r="I416" s="10">
        <v>0</v>
      </c>
      <c r="J416" s="6">
        <v>0</v>
      </c>
    </row>
    <row r="417" spans="1:10">
      <c r="A417" t="s">
        <v>66</v>
      </c>
      <c r="B417">
        <v>1</v>
      </c>
      <c r="C417">
        <v>162</v>
      </c>
      <c r="D417" s="3">
        <v>5.5599999999999997E-2</v>
      </c>
      <c r="E417">
        <v>9</v>
      </c>
      <c r="F417">
        <v>0</v>
      </c>
      <c r="G417" s="3">
        <v>1.1539999999999999E-3</v>
      </c>
      <c r="H417" s="10">
        <v>0</v>
      </c>
      <c r="I417" s="10">
        <v>0</v>
      </c>
      <c r="J417" s="6">
        <v>0</v>
      </c>
    </row>
    <row r="418" spans="1:10">
      <c r="A418" t="s">
        <v>67</v>
      </c>
      <c r="B418">
        <v>1</v>
      </c>
      <c r="C418">
        <v>0</v>
      </c>
      <c r="D418" s="3">
        <v>0</v>
      </c>
      <c r="E418">
        <v>0</v>
      </c>
      <c r="F418">
        <v>0</v>
      </c>
      <c r="G418" s="3">
        <v>0</v>
      </c>
      <c r="H418" s="10">
        <v>0</v>
      </c>
      <c r="I418" s="10">
        <v>0</v>
      </c>
      <c r="J418" s="6">
        <v>0</v>
      </c>
    </row>
    <row r="419" spans="1:10">
      <c r="A419" t="s">
        <v>67</v>
      </c>
      <c r="B419">
        <v>1</v>
      </c>
      <c r="C419">
        <v>0</v>
      </c>
      <c r="D419" s="3">
        <v>0</v>
      </c>
      <c r="E419">
        <v>0</v>
      </c>
      <c r="F419">
        <v>0</v>
      </c>
      <c r="G419" s="3">
        <v>0</v>
      </c>
      <c r="H419" s="10">
        <v>0</v>
      </c>
      <c r="I419" s="10">
        <v>0</v>
      </c>
      <c r="J419" s="6">
        <v>0</v>
      </c>
    </row>
    <row r="420" spans="1:10">
      <c r="A420" t="s">
        <v>67</v>
      </c>
      <c r="B420">
        <v>1</v>
      </c>
      <c r="C420">
        <v>0</v>
      </c>
      <c r="D420" s="3">
        <v>0</v>
      </c>
      <c r="E420">
        <v>0</v>
      </c>
      <c r="F420">
        <v>0</v>
      </c>
      <c r="G420" s="3">
        <v>0</v>
      </c>
      <c r="H420" s="10">
        <v>0</v>
      </c>
      <c r="I420" s="10">
        <v>0</v>
      </c>
      <c r="J420" s="6">
        <v>0</v>
      </c>
    </row>
    <row r="421" spans="1:10">
      <c r="A421" t="s">
        <v>67</v>
      </c>
      <c r="B421">
        <v>1</v>
      </c>
      <c r="C421">
        <v>0</v>
      </c>
      <c r="D421" s="3">
        <v>0</v>
      </c>
      <c r="E421">
        <v>0</v>
      </c>
      <c r="F421">
        <v>0</v>
      </c>
      <c r="G421" s="3">
        <v>0</v>
      </c>
      <c r="H421" s="10">
        <v>0</v>
      </c>
      <c r="I421" s="10">
        <v>0</v>
      </c>
      <c r="J421" s="6">
        <v>0</v>
      </c>
    </row>
    <row r="422" spans="1:10">
      <c r="A422" t="s">
        <v>67</v>
      </c>
      <c r="B422">
        <v>1</v>
      </c>
      <c r="C422">
        <v>0</v>
      </c>
      <c r="D422" s="3">
        <v>0</v>
      </c>
      <c r="E422">
        <v>0</v>
      </c>
      <c r="F422">
        <v>0</v>
      </c>
      <c r="G422" s="3">
        <v>0</v>
      </c>
      <c r="H422" s="10">
        <v>0</v>
      </c>
      <c r="I422" s="10">
        <v>0</v>
      </c>
      <c r="J422" s="6">
        <v>0</v>
      </c>
    </row>
    <row r="423" spans="1:10">
      <c r="A423" t="s">
        <v>67</v>
      </c>
      <c r="B423">
        <v>1</v>
      </c>
      <c r="C423">
        <v>0</v>
      </c>
      <c r="D423" s="3">
        <v>0</v>
      </c>
      <c r="E423">
        <v>0</v>
      </c>
      <c r="F423">
        <v>0</v>
      </c>
      <c r="G423" s="3">
        <v>0</v>
      </c>
      <c r="H423" s="10">
        <v>0</v>
      </c>
      <c r="I423" s="10">
        <v>0</v>
      </c>
      <c r="J423" s="6">
        <v>0</v>
      </c>
    </row>
    <row r="424" spans="1:10">
      <c r="A424" t="s">
        <v>67</v>
      </c>
      <c r="B424">
        <v>1</v>
      </c>
      <c r="C424">
        <v>0</v>
      </c>
      <c r="D424" s="3">
        <v>0</v>
      </c>
      <c r="E424">
        <v>0</v>
      </c>
      <c r="F424">
        <v>0</v>
      </c>
      <c r="G424" s="3">
        <v>0</v>
      </c>
      <c r="H424" s="10">
        <v>0</v>
      </c>
      <c r="I424" s="10">
        <v>0</v>
      </c>
      <c r="J424" s="6">
        <v>0</v>
      </c>
    </row>
    <row r="425" spans="1:10">
      <c r="A425" t="s">
        <v>67</v>
      </c>
      <c r="B425">
        <v>1</v>
      </c>
      <c r="C425">
        <v>0</v>
      </c>
      <c r="D425" s="3">
        <v>0</v>
      </c>
      <c r="E425">
        <v>0</v>
      </c>
      <c r="F425">
        <v>0</v>
      </c>
      <c r="G425" s="3">
        <v>0</v>
      </c>
      <c r="H425" s="10">
        <v>0</v>
      </c>
      <c r="I425" s="10">
        <v>0</v>
      </c>
      <c r="J425" s="6">
        <v>0</v>
      </c>
    </row>
    <row r="426" spans="1:10">
      <c r="A426" t="s">
        <v>67</v>
      </c>
      <c r="B426">
        <v>1</v>
      </c>
      <c r="C426">
        <v>142</v>
      </c>
      <c r="D426" s="3">
        <v>2.8199999999999999E-2</v>
      </c>
      <c r="E426">
        <v>4</v>
      </c>
      <c r="F426">
        <v>0</v>
      </c>
      <c r="G426" s="3">
        <v>1.6670000000000001E-3</v>
      </c>
      <c r="H426" s="10">
        <v>0</v>
      </c>
      <c r="I426" s="10">
        <v>0</v>
      </c>
      <c r="J426" s="6">
        <v>0</v>
      </c>
    </row>
    <row r="427" spans="1:10">
      <c r="A427" t="s">
        <v>68</v>
      </c>
      <c r="B427">
        <v>1</v>
      </c>
      <c r="C427">
        <v>0</v>
      </c>
      <c r="D427" s="3">
        <v>0</v>
      </c>
      <c r="E427">
        <v>0</v>
      </c>
      <c r="F427">
        <v>0</v>
      </c>
      <c r="G427" s="3">
        <v>0</v>
      </c>
      <c r="H427" s="10">
        <v>0</v>
      </c>
      <c r="I427" s="10">
        <v>0</v>
      </c>
      <c r="J427" s="6">
        <v>0</v>
      </c>
    </row>
    <row r="428" spans="1:10">
      <c r="A428" t="s">
        <v>68</v>
      </c>
      <c r="B428">
        <v>1</v>
      </c>
      <c r="C428">
        <v>0</v>
      </c>
      <c r="D428" s="3">
        <v>0</v>
      </c>
      <c r="E428">
        <v>0</v>
      </c>
      <c r="F428">
        <v>0</v>
      </c>
      <c r="G428" s="3">
        <v>0</v>
      </c>
      <c r="H428" s="10">
        <v>0</v>
      </c>
      <c r="I428" s="10">
        <v>0</v>
      </c>
      <c r="J428" s="6">
        <v>0</v>
      </c>
    </row>
    <row r="429" spans="1:10">
      <c r="A429" t="s">
        <v>68</v>
      </c>
      <c r="B429">
        <v>1</v>
      </c>
      <c r="C429">
        <v>0</v>
      </c>
      <c r="D429" s="3">
        <v>0</v>
      </c>
      <c r="E429">
        <v>0</v>
      </c>
      <c r="F429">
        <v>0</v>
      </c>
      <c r="G429" s="3">
        <v>0</v>
      </c>
      <c r="H429" s="10">
        <v>0</v>
      </c>
      <c r="I429" s="10">
        <v>0</v>
      </c>
      <c r="J429" s="6">
        <v>0</v>
      </c>
    </row>
    <row r="430" spans="1:10">
      <c r="A430" t="s">
        <v>68</v>
      </c>
      <c r="B430">
        <v>1</v>
      </c>
      <c r="C430">
        <v>0</v>
      </c>
      <c r="D430" s="3">
        <v>0</v>
      </c>
      <c r="E430">
        <v>0</v>
      </c>
      <c r="F430">
        <v>0</v>
      </c>
      <c r="G430" s="3">
        <v>0</v>
      </c>
      <c r="H430" s="10">
        <v>0</v>
      </c>
      <c r="I430" s="10">
        <v>0</v>
      </c>
      <c r="J430" s="6">
        <v>0</v>
      </c>
    </row>
    <row r="431" spans="1:10">
      <c r="A431" t="s">
        <v>68</v>
      </c>
      <c r="B431">
        <v>1</v>
      </c>
      <c r="C431">
        <v>0</v>
      </c>
      <c r="D431" s="3">
        <v>0</v>
      </c>
      <c r="E431">
        <v>0</v>
      </c>
      <c r="F431">
        <v>0</v>
      </c>
      <c r="G431" s="3">
        <v>0</v>
      </c>
      <c r="H431" s="10">
        <v>0</v>
      </c>
      <c r="I431" s="10">
        <v>0</v>
      </c>
      <c r="J431" s="6">
        <v>0</v>
      </c>
    </row>
    <row r="432" spans="1:10">
      <c r="A432" t="s">
        <v>68</v>
      </c>
      <c r="B432">
        <v>1</v>
      </c>
      <c r="C432">
        <v>0</v>
      </c>
      <c r="D432" s="3">
        <v>0</v>
      </c>
      <c r="E432">
        <v>0</v>
      </c>
      <c r="F432">
        <v>0</v>
      </c>
      <c r="G432" s="3">
        <v>0</v>
      </c>
      <c r="H432" s="10">
        <v>0</v>
      </c>
      <c r="I432" s="10">
        <v>0</v>
      </c>
      <c r="J432" s="6">
        <v>0</v>
      </c>
    </row>
    <row r="433" spans="1:10">
      <c r="A433" t="s">
        <v>68</v>
      </c>
      <c r="B433">
        <v>1</v>
      </c>
      <c r="C433">
        <v>0</v>
      </c>
      <c r="D433" s="3">
        <v>0</v>
      </c>
      <c r="E433">
        <v>0</v>
      </c>
      <c r="F433">
        <v>0</v>
      </c>
      <c r="G433" s="3">
        <v>0</v>
      </c>
      <c r="H433" s="10">
        <v>0</v>
      </c>
      <c r="I433" s="10">
        <v>0</v>
      </c>
      <c r="J433" s="6">
        <v>0</v>
      </c>
    </row>
    <row r="434" spans="1:10">
      <c r="A434" t="s">
        <v>68</v>
      </c>
      <c r="B434">
        <v>1</v>
      </c>
      <c r="C434">
        <v>0</v>
      </c>
      <c r="D434" s="3">
        <v>0</v>
      </c>
      <c r="E434">
        <v>0</v>
      </c>
      <c r="F434">
        <v>0</v>
      </c>
      <c r="G434" s="3">
        <v>0</v>
      </c>
      <c r="H434" s="10">
        <v>0</v>
      </c>
      <c r="I434" s="10">
        <v>0</v>
      </c>
      <c r="J434" s="6">
        <v>0</v>
      </c>
    </row>
    <row r="435" spans="1:10">
      <c r="A435" t="s">
        <v>68</v>
      </c>
      <c r="B435">
        <v>1</v>
      </c>
      <c r="C435">
        <v>0</v>
      </c>
      <c r="D435" s="3">
        <v>0</v>
      </c>
      <c r="E435">
        <v>0</v>
      </c>
      <c r="F435">
        <v>0</v>
      </c>
      <c r="G435" s="3">
        <v>0</v>
      </c>
      <c r="H435" s="10">
        <v>0</v>
      </c>
      <c r="I435" s="10">
        <v>0</v>
      </c>
      <c r="J435" s="6">
        <v>0</v>
      </c>
    </row>
    <row r="436" spans="1:10">
      <c r="A436" t="s">
        <v>68</v>
      </c>
      <c r="B436">
        <v>1</v>
      </c>
      <c r="C436">
        <v>0</v>
      </c>
      <c r="D436" s="3">
        <v>0</v>
      </c>
      <c r="E436">
        <v>0</v>
      </c>
      <c r="F436">
        <v>0</v>
      </c>
      <c r="G436" s="3">
        <v>0</v>
      </c>
      <c r="H436" s="10">
        <v>0</v>
      </c>
      <c r="I436" s="10">
        <v>0</v>
      </c>
      <c r="J436" s="6">
        <v>0</v>
      </c>
    </row>
    <row r="437" spans="1:10">
      <c r="A437" t="s">
        <v>68</v>
      </c>
      <c r="B437">
        <v>1</v>
      </c>
      <c r="C437">
        <v>0</v>
      </c>
      <c r="D437" s="3">
        <v>0</v>
      </c>
      <c r="E437">
        <v>0</v>
      </c>
      <c r="F437">
        <v>0</v>
      </c>
      <c r="G437" s="3">
        <v>0</v>
      </c>
      <c r="H437" s="10">
        <v>0</v>
      </c>
      <c r="I437" s="10">
        <v>0</v>
      </c>
      <c r="J437" s="6">
        <v>0</v>
      </c>
    </row>
    <row r="438" spans="1:10">
      <c r="A438" t="s">
        <v>68</v>
      </c>
      <c r="B438">
        <v>1</v>
      </c>
      <c r="C438">
        <v>0</v>
      </c>
      <c r="D438" s="3">
        <v>0</v>
      </c>
      <c r="E438">
        <v>0</v>
      </c>
      <c r="F438">
        <v>0</v>
      </c>
      <c r="G438" s="3">
        <v>0</v>
      </c>
      <c r="H438" s="10">
        <v>0</v>
      </c>
      <c r="I438" s="10">
        <v>0</v>
      </c>
      <c r="J438" s="6">
        <v>0</v>
      </c>
    </row>
    <row r="439" spans="1:10">
      <c r="A439" t="s">
        <v>69</v>
      </c>
      <c r="B439">
        <v>1</v>
      </c>
      <c r="C439">
        <v>0</v>
      </c>
      <c r="D439" s="3">
        <v>0</v>
      </c>
      <c r="E439">
        <v>0</v>
      </c>
      <c r="F439">
        <v>0</v>
      </c>
      <c r="G439" s="3">
        <v>0</v>
      </c>
      <c r="H439" s="10">
        <v>0</v>
      </c>
      <c r="I439" s="10">
        <v>0</v>
      </c>
      <c r="J439" s="6">
        <v>0</v>
      </c>
    </row>
    <row r="440" spans="1:10">
      <c r="A440" t="s">
        <v>69</v>
      </c>
      <c r="B440">
        <v>1</v>
      </c>
      <c r="C440">
        <v>0</v>
      </c>
      <c r="D440" s="3">
        <v>0</v>
      </c>
      <c r="E440">
        <v>0</v>
      </c>
      <c r="F440">
        <v>0</v>
      </c>
      <c r="G440" s="3">
        <v>0</v>
      </c>
      <c r="H440" s="10">
        <v>0</v>
      </c>
      <c r="I440" s="10">
        <v>0</v>
      </c>
      <c r="J440" s="6">
        <v>0</v>
      </c>
    </row>
    <row r="441" spans="1:10">
      <c r="A441" t="s">
        <v>69</v>
      </c>
      <c r="B441">
        <v>1</v>
      </c>
      <c r="C441">
        <v>0</v>
      </c>
      <c r="D441" s="3">
        <v>0</v>
      </c>
      <c r="E441">
        <v>0</v>
      </c>
      <c r="F441">
        <v>0</v>
      </c>
      <c r="G441" s="3">
        <v>0</v>
      </c>
      <c r="H441" s="10">
        <v>0</v>
      </c>
      <c r="I441" s="10">
        <v>0</v>
      </c>
      <c r="J441" s="6">
        <v>0</v>
      </c>
    </row>
    <row r="442" spans="1:10">
      <c r="A442" t="s">
        <v>69</v>
      </c>
      <c r="B442">
        <v>1</v>
      </c>
      <c r="C442">
        <v>0</v>
      </c>
      <c r="D442" s="3">
        <v>0</v>
      </c>
      <c r="E442">
        <v>0</v>
      </c>
      <c r="F442">
        <v>0</v>
      </c>
      <c r="G442" s="3">
        <v>0</v>
      </c>
      <c r="H442" s="10">
        <v>0</v>
      </c>
      <c r="I442" s="10">
        <v>0</v>
      </c>
      <c r="J442" s="6">
        <v>0</v>
      </c>
    </row>
    <row r="443" spans="1:10">
      <c r="A443" t="s">
        <v>69</v>
      </c>
      <c r="B443">
        <v>1</v>
      </c>
      <c r="C443">
        <v>0</v>
      </c>
      <c r="D443" s="3">
        <v>0</v>
      </c>
      <c r="E443">
        <v>0</v>
      </c>
      <c r="F443">
        <v>0</v>
      </c>
      <c r="G443" s="3">
        <v>0</v>
      </c>
      <c r="H443" s="10">
        <v>0</v>
      </c>
      <c r="I443" s="10">
        <v>0</v>
      </c>
      <c r="J443" s="6">
        <v>0</v>
      </c>
    </row>
    <row r="444" spans="1:10">
      <c r="A444" t="s">
        <v>69</v>
      </c>
      <c r="B444">
        <v>1</v>
      </c>
      <c r="C444">
        <v>0</v>
      </c>
      <c r="D444" s="3">
        <v>0</v>
      </c>
      <c r="E444">
        <v>0</v>
      </c>
      <c r="F444">
        <v>0</v>
      </c>
      <c r="G444" s="3">
        <v>0</v>
      </c>
      <c r="H444" s="10">
        <v>0</v>
      </c>
      <c r="I444" s="10">
        <v>0</v>
      </c>
      <c r="J444" s="6">
        <v>0</v>
      </c>
    </row>
    <row r="445" spans="1:10">
      <c r="A445" t="s">
        <v>69</v>
      </c>
      <c r="B445">
        <v>1</v>
      </c>
      <c r="C445">
        <v>0</v>
      </c>
      <c r="D445" s="3">
        <v>0</v>
      </c>
      <c r="E445">
        <v>0</v>
      </c>
      <c r="F445">
        <v>0</v>
      </c>
      <c r="G445" s="3">
        <v>0</v>
      </c>
      <c r="H445" s="10">
        <v>0</v>
      </c>
      <c r="I445" s="10">
        <v>0</v>
      </c>
      <c r="J445" s="6">
        <v>0</v>
      </c>
    </row>
    <row r="446" spans="1:10">
      <c r="A446" t="s">
        <v>69</v>
      </c>
      <c r="B446">
        <v>1</v>
      </c>
      <c r="C446">
        <v>0</v>
      </c>
      <c r="D446" s="3">
        <v>0</v>
      </c>
      <c r="E446">
        <v>0</v>
      </c>
      <c r="F446">
        <v>0</v>
      </c>
      <c r="G446" s="3">
        <v>0</v>
      </c>
      <c r="H446" s="10">
        <v>0</v>
      </c>
      <c r="I446" s="10">
        <v>0</v>
      </c>
      <c r="J446" s="6">
        <v>0</v>
      </c>
    </row>
    <row r="447" spans="1:10">
      <c r="A447" t="s">
        <v>69</v>
      </c>
      <c r="B447">
        <v>1</v>
      </c>
      <c r="C447">
        <v>0</v>
      </c>
      <c r="D447" s="3">
        <v>0</v>
      </c>
      <c r="E447">
        <v>0</v>
      </c>
      <c r="F447">
        <v>0</v>
      </c>
      <c r="G447" s="3">
        <v>0</v>
      </c>
      <c r="H447" s="10">
        <v>0</v>
      </c>
      <c r="I447" s="10">
        <v>0</v>
      </c>
      <c r="J447" s="6">
        <v>0</v>
      </c>
    </row>
    <row r="448" spans="1:10">
      <c r="A448" t="s">
        <v>69</v>
      </c>
      <c r="B448">
        <v>1</v>
      </c>
      <c r="C448">
        <v>0</v>
      </c>
      <c r="D448" s="3">
        <v>0</v>
      </c>
      <c r="E448">
        <v>0</v>
      </c>
      <c r="F448">
        <v>0</v>
      </c>
      <c r="G448" s="3">
        <v>0</v>
      </c>
      <c r="H448" s="10">
        <v>0</v>
      </c>
      <c r="I448" s="10">
        <v>0</v>
      </c>
      <c r="J448" s="6">
        <v>0</v>
      </c>
    </row>
    <row r="449" spans="1:10">
      <c r="A449" t="s">
        <v>69</v>
      </c>
      <c r="B449">
        <v>1</v>
      </c>
      <c r="C449">
        <v>160</v>
      </c>
      <c r="D449" s="3">
        <v>1.8799999999999997E-2</v>
      </c>
      <c r="E449">
        <v>3</v>
      </c>
      <c r="F449">
        <v>0</v>
      </c>
      <c r="G449" s="3">
        <v>1.818E-3</v>
      </c>
      <c r="H449" s="10">
        <v>0</v>
      </c>
      <c r="I449" s="10">
        <v>0</v>
      </c>
      <c r="J449" s="6">
        <v>0</v>
      </c>
    </row>
    <row r="450" spans="1:10">
      <c r="A450" t="s">
        <v>69</v>
      </c>
      <c r="B450">
        <v>1</v>
      </c>
      <c r="C450">
        <v>214</v>
      </c>
      <c r="D450" s="3">
        <v>3.7400000000000003E-2</v>
      </c>
      <c r="E450">
        <v>8</v>
      </c>
      <c r="F450">
        <v>1</v>
      </c>
      <c r="G450" s="3">
        <v>0.1739</v>
      </c>
      <c r="H450" s="10">
        <v>0.44</v>
      </c>
      <c r="I450" s="10">
        <v>3.55</v>
      </c>
      <c r="J450" s="6">
        <v>3.55</v>
      </c>
    </row>
    <row r="451" spans="1:10">
      <c r="A451" t="s">
        <v>69</v>
      </c>
      <c r="B451">
        <v>1</v>
      </c>
      <c r="C451">
        <v>217</v>
      </c>
      <c r="D451" s="3">
        <v>3.2300000000000002E-2</v>
      </c>
      <c r="E451">
        <v>7</v>
      </c>
      <c r="F451">
        <v>0</v>
      </c>
      <c r="G451" s="3">
        <v>0.18179999999999999</v>
      </c>
      <c r="H451" s="10">
        <v>0</v>
      </c>
      <c r="I451" s="10">
        <v>0</v>
      </c>
      <c r="J451" s="6">
        <v>0</v>
      </c>
    </row>
    <row r="452" spans="1:10">
      <c r="A452" t="s">
        <v>69</v>
      </c>
      <c r="B452">
        <v>1</v>
      </c>
      <c r="C452">
        <v>322</v>
      </c>
      <c r="D452" s="3">
        <v>4.3499999999999997E-2</v>
      </c>
      <c r="E452">
        <v>14</v>
      </c>
      <c r="F452">
        <v>0</v>
      </c>
      <c r="G452" s="3">
        <v>0</v>
      </c>
      <c r="H452" s="10">
        <v>0</v>
      </c>
      <c r="I452" s="10">
        <v>0</v>
      </c>
      <c r="J452" s="6">
        <v>0</v>
      </c>
    </row>
    <row r="453" spans="1:10">
      <c r="A453" t="s">
        <v>70</v>
      </c>
      <c r="B453">
        <v>1</v>
      </c>
      <c r="C453">
        <v>0</v>
      </c>
      <c r="D453" s="3">
        <v>0</v>
      </c>
      <c r="E453">
        <v>0</v>
      </c>
      <c r="F453">
        <v>0</v>
      </c>
      <c r="G453" s="3">
        <v>0</v>
      </c>
      <c r="H453" s="10">
        <v>0</v>
      </c>
      <c r="I453" s="10">
        <v>0</v>
      </c>
      <c r="J453" s="6">
        <v>0</v>
      </c>
    </row>
    <row r="454" spans="1:10">
      <c r="A454" t="s">
        <v>70</v>
      </c>
      <c r="B454">
        <v>1</v>
      </c>
      <c r="C454">
        <v>0</v>
      </c>
      <c r="D454" s="3">
        <v>0</v>
      </c>
      <c r="E454">
        <v>0</v>
      </c>
      <c r="F454">
        <v>0</v>
      </c>
      <c r="G454" s="3">
        <v>0</v>
      </c>
      <c r="H454" s="10">
        <v>0</v>
      </c>
      <c r="I454" s="10">
        <v>0</v>
      </c>
      <c r="J454" s="6">
        <v>0</v>
      </c>
    </row>
    <row r="455" spans="1:10">
      <c r="A455" t="s">
        <v>70</v>
      </c>
      <c r="B455">
        <v>1</v>
      </c>
      <c r="C455">
        <v>0</v>
      </c>
      <c r="D455" s="3">
        <v>0</v>
      </c>
      <c r="E455">
        <v>0</v>
      </c>
      <c r="F455">
        <v>0</v>
      </c>
      <c r="G455" s="3">
        <v>0</v>
      </c>
      <c r="H455" s="10">
        <v>0</v>
      </c>
      <c r="I455" s="10">
        <v>0</v>
      </c>
      <c r="J455" s="6">
        <v>0</v>
      </c>
    </row>
    <row r="456" spans="1:10">
      <c r="A456" t="s">
        <v>70</v>
      </c>
      <c r="B456">
        <v>1</v>
      </c>
      <c r="C456">
        <v>0</v>
      </c>
      <c r="D456" s="3">
        <v>0</v>
      </c>
      <c r="E456">
        <v>0</v>
      </c>
      <c r="F456">
        <v>0</v>
      </c>
      <c r="G456" s="3">
        <v>0</v>
      </c>
      <c r="H456" s="10">
        <v>0</v>
      </c>
      <c r="I456" s="10">
        <v>0</v>
      </c>
      <c r="J456" s="6">
        <v>0</v>
      </c>
    </row>
    <row r="457" spans="1:10">
      <c r="A457" t="s">
        <v>70</v>
      </c>
      <c r="B457">
        <v>1</v>
      </c>
      <c r="C457">
        <v>0</v>
      </c>
      <c r="D457" s="3">
        <v>0</v>
      </c>
      <c r="E457">
        <v>0</v>
      </c>
      <c r="F457">
        <v>0</v>
      </c>
      <c r="G457" s="3">
        <v>0</v>
      </c>
      <c r="H457" s="10">
        <v>0</v>
      </c>
      <c r="I457" s="10">
        <v>0</v>
      </c>
      <c r="J457" s="6">
        <v>0</v>
      </c>
    </row>
    <row r="458" spans="1:10">
      <c r="A458" t="s">
        <v>70</v>
      </c>
      <c r="B458">
        <v>1</v>
      </c>
      <c r="C458">
        <v>0</v>
      </c>
      <c r="D458" s="3">
        <v>0</v>
      </c>
      <c r="E458">
        <v>0</v>
      </c>
      <c r="F458">
        <v>0</v>
      </c>
      <c r="G458" s="3">
        <v>0</v>
      </c>
      <c r="H458" s="10">
        <v>0</v>
      </c>
      <c r="I458" s="10">
        <v>0</v>
      </c>
      <c r="J458" s="6">
        <v>0</v>
      </c>
    </row>
    <row r="459" spans="1:10">
      <c r="A459" t="s">
        <v>70</v>
      </c>
      <c r="B459">
        <v>1</v>
      </c>
      <c r="C459">
        <v>0</v>
      </c>
      <c r="D459" s="3">
        <v>0</v>
      </c>
      <c r="E459">
        <v>0</v>
      </c>
      <c r="F459">
        <v>0</v>
      </c>
      <c r="G459" s="3">
        <v>0</v>
      </c>
      <c r="H459" s="10">
        <v>0</v>
      </c>
      <c r="I459" s="10">
        <v>0</v>
      </c>
      <c r="J459" s="6">
        <v>0</v>
      </c>
    </row>
    <row r="460" spans="1:10">
      <c r="A460" t="s">
        <v>70</v>
      </c>
      <c r="B460">
        <v>1</v>
      </c>
      <c r="C460">
        <v>0</v>
      </c>
      <c r="D460" s="3">
        <v>0</v>
      </c>
      <c r="E460">
        <v>0</v>
      </c>
      <c r="F460">
        <v>0</v>
      </c>
      <c r="G460" s="3">
        <v>0</v>
      </c>
      <c r="H460" s="10">
        <v>0</v>
      </c>
      <c r="I460" s="10">
        <v>0</v>
      </c>
      <c r="J460" s="6">
        <v>0</v>
      </c>
    </row>
    <row r="461" spans="1:10">
      <c r="A461" t="s">
        <v>70</v>
      </c>
      <c r="B461">
        <v>1</v>
      </c>
      <c r="C461">
        <v>0</v>
      </c>
      <c r="D461" s="3">
        <v>0</v>
      </c>
      <c r="E461">
        <v>0</v>
      </c>
      <c r="F461">
        <v>0</v>
      </c>
      <c r="G461" s="3">
        <v>0</v>
      </c>
      <c r="H461" s="10">
        <v>0</v>
      </c>
      <c r="I461" s="10">
        <v>0</v>
      </c>
      <c r="J461" s="6">
        <v>0</v>
      </c>
    </row>
    <row r="462" spans="1:10">
      <c r="A462" t="s">
        <v>70</v>
      </c>
      <c r="B462">
        <v>1</v>
      </c>
      <c r="C462">
        <v>0</v>
      </c>
      <c r="D462" s="3">
        <v>0</v>
      </c>
      <c r="E462">
        <v>0</v>
      </c>
      <c r="F462">
        <v>0</v>
      </c>
      <c r="G462" s="3">
        <v>0</v>
      </c>
      <c r="H462" s="10">
        <v>0</v>
      </c>
      <c r="I462" s="10">
        <v>0</v>
      </c>
      <c r="J462" s="6">
        <v>0</v>
      </c>
    </row>
    <row r="463" spans="1:10">
      <c r="A463" t="s">
        <v>70</v>
      </c>
      <c r="B463">
        <v>1</v>
      </c>
      <c r="C463">
        <v>0</v>
      </c>
      <c r="D463" s="3">
        <v>0</v>
      </c>
      <c r="E463">
        <v>0</v>
      </c>
      <c r="F463">
        <v>0</v>
      </c>
      <c r="G463" s="3">
        <v>0</v>
      </c>
      <c r="H463" s="10">
        <v>0</v>
      </c>
      <c r="I463" s="10">
        <v>0</v>
      </c>
      <c r="J463" s="6">
        <v>0</v>
      </c>
    </row>
    <row r="464" spans="1:10">
      <c r="A464" t="s">
        <v>70</v>
      </c>
      <c r="B464">
        <v>1</v>
      </c>
      <c r="C464">
        <v>0</v>
      </c>
      <c r="D464" s="3">
        <v>0</v>
      </c>
      <c r="E464">
        <v>0</v>
      </c>
      <c r="F464">
        <v>0</v>
      </c>
      <c r="G464" s="3">
        <v>0</v>
      </c>
      <c r="H464" s="10">
        <v>0</v>
      </c>
      <c r="I464" s="10">
        <v>0</v>
      </c>
      <c r="J464" s="6">
        <v>0</v>
      </c>
    </row>
    <row r="465" spans="1:10">
      <c r="A465" t="s">
        <v>70</v>
      </c>
      <c r="B465">
        <v>1</v>
      </c>
      <c r="C465">
        <v>0</v>
      </c>
      <c r="D465" s="3">
        <v>0</v>
      </c>
      <c r="E465">
        <v>0</v>
      </c>
      <c r="F465">
        <v>0</v>
      </c>
      <c r="G465" s="3">
        <v>0</v>
      </c>
      <c r="H465" s="10">
        <v>0</v>
      </c>
      <c r="I465" s="10">
        <v>0</v>
      </c>
      <c r="J465" s="6">
        <v>0</v>
      </c>
    </row>
    <row r="466" spans="1:10">
      <c r="A466" t="s">
        <v>70</v>
      </c>
      <c r="B466">
        <v>1</v>
      </c>
      <c r="C466">
        <v>0</v>
      </c>
      <c r="D466" s="3">
        <v>0</v>
      </c>
      <c r="E466">
        <v>0</v>
      </c>
      <c r="F466">
        <v>0</v>
      </c>
      <c r="G466" s="3">
        <v>0</v>
      </c>
      <c r="H466" s="10">
        <v>0</v>
      </c>
      <c r="I466" s="10">
        <v>0</v>
      </c>
      <c r="J466" s="6">
        <v>0</v>
      </c>
    </row>
    <row r="467" spans="1:10">
      <c r="A467" t="s">
        <v>70</v>
      </c>
      <c r="B467">
        <v>1</v>
      </c>
      <c r="C467">
        <v>137</v>
      </c>
      <c r="D467" s="3">
        <v>0.10949999999999999</v>
      </c>
      <c r="E467">
        <v>15</v>
      </c>
      <c r="F467">
        <v>1</v>
      </c>
      <c r="G467" s="3">
        <v>1.25E-3</v>
      </c>
      <c r="H467" s="10">
        <v>0.47</v>
      </c>
      <c r="I467" s="10">
        <v>7.11</v>
      </c>
      <c r="J467" s="6">
        <v>7.11</v>
      </c>
    </row>
    <row r="468" spans="1:10">
      <c r="A468" t="s">
        <v>70</v>
      </c>
      <c r="B468">
        <v>1</v>
      </c>
      <c r="C468">
        <v>157</v>
      </c>
      <c r="D468" s="3">
        <v>8.9200000000000002E-2</v>
      </c>
      <c r="E468">
        <v>14</v>
      </c>
      <c r="F468">
        <v>2</v>
      </c>
      <c r="G468" s="3">
        <v>1.4289999999999999E-3</v>
      </c>
      <c r="H468" s="10">
        <v>1.32</v>
      </c>
      <c r="I468" s="10">
        <v>9.2100000000000009</v>
      </c>
      <c r="J468" s="6">
        <v>18.420000000000002</v>
      </c>
    </row>
    <row r="469" spans="1:10">
      <c r="A469" t="s">
        <v>70</v>
      </c>
      <c r="B469">
        <v>1</v>
      </c>
      <c r="C469">
        <v>165</v>
      </c>
      <c r="D469" s="3">
        <v>7.2700000000000001E-2</v>
      </c>
      <c r="E469">
        <v>12</v>
      </c>
      <c r="F469">
        <v>1</v>
      </c>
      <c r="G469" s="3">
        <v>1.4810000000000001E-3</v>
      </c>
      <c r="H469" s="10">
        <v>0.24</v>
      </c>
      <c r="I469" s="10">
        <v>2.88</v>
      </c>
      <c r="J469" s="6">
        <v>2.88</v>
      </c>
    </row>
    <row r="470" spans="1:10">
      <c r="A470" t="s">
        <v>70</v>
      </c>
      <c r="B470">
        <v>1</v>
      </c>
      <c r="C470">
        <v>174</v>
      </c>
      <c r="D470" s="3">
        <v>0.13789999999999999</v>
      </c>
      <c r="E470">
        <v>24</v>
      </c>
      <c r="F470">
        <v>2</v>
      </c>
      <c r="G470" s="3">
        <v>2.5000000000000001E-3</v>
      </c>
      <c r="H470" s="10">
        <v>1.1299999999999999</v>
      </c>
      <c r="I470" s="10">
        <v>13.59</v>
      </c>
      <c r="J470" s="6">
        <v>27.17</v>
      </c>
    </row>
    <row r="471" spans="1:10">
      <c r="A471" t="s">
        <v>70</v>
      </c>
      <c r="B471">
        <v>1</v>
      </c>
      <c r="C471">
        <v>174</v>
      </c>
      <c r="D471" s="3">
        <v>0.1149</v>
      </c>
      <c r="E471">
        <v>20</v>
      </c>
      <c r="F471">
        <v>1</v>
      </c>
      <c r="G471" s="3">
        <v>2E-3</v>
      </c>
      <c r="H471" s="10">
        <v>0.2</v>
      </c>
      <c r="I471" s="10">
        <v>3.94</v>
      </c>
      <c r="J471" s="6">
        <v>3.94</v>
      </c>
    </row>
    <row r="472" spans="1:10">
      <c r="A472" t="s">
        <v>70</v>
      </c>
      <c r="B472">
        <v>1</v>
      </c>
      <c r="C472">
        <v>258</v>
      </c>
      <c r="D472" s="3">
        <v>5.4299999999999994E-2</v>
      </c>
      <c r="E472">
        <v>14</v>
      </c>
      <c r="F472">
        <v>1</v>
      </c>
      <c r="G472" s="3">
        <v>0.18179999999999999</v>
      </c>
      <c r="H472" s="10">
        <v>0.12</v>
      </c>
      <c r="I472" s="10">
        <v>1.7</v>
      </c>
      <c r="J472" s="6">
        <v>1.7</v>
      </c>
    </row>
    <row r="473" spans="1:10">
      <c r="A473" t="s">
        <v>70</v>
      </c>
      <c r="B473">
        <v>1</v>
      </c>
      <c r="C473">
        <v>284</v>
      </c>
      <c r="D473" s="3">
        <v>0.14080000000000001</v>
      </c>
      <c r="E473">
        <v>40</v>
      </c>
      <c r="F473">
        <v>1</v>
      </c>
      <c r="G473" s="3">
        <v>2.5</v>
      </c>
      <c r="H473" s="10">
        <v>0.24</v>
      </c>
      <c r="I473" s="10">
        <v>9.7100000000000009</v>
      </c>
      <c r="J473" s="6">
        <v>9.7100000000000009</v>
      </c>
    </row>
    <row r="474" spans="1:10">
      <c r="A474" t="s">
        <v>70</v>
      </c>
      <c r="B474">
        <v>1</v>
      </c>
      <c r="C474">
        <v>294</v>
      </c>
      <c r="D474" s="3">
        <v>9.8599999999999993E-2</v>
      </c>
      <c r="E474">
        <v>29</v>
      </c>
      <c r="F474">
        <v>2</v>
      </c>
      <c r="G474" s="3">
        <v>6.9</v>
      </c>
      <c r="H474" s="10">
        <v>0.12</v>
      </c>
      <c r="I474" s="10">
        <v>1.7</v>
      </c>
      <c r="J474" s="6">
        <v>3.4</v>
      </c>
    </row>
    <row r="475" spans="1:10">
      <c r="A475" t="s">
        <v>70</v>
      </c>
      <c r="B475">
        <v>1</v>
      </c>
      <c r="C475">
        <v>310</v>
      </c>
      <c r="D475" s="3">
        <v>8.7100000000000011E-2</v>
      </c>
      <c r="E475">
        <v>27</v>
      </c>
      <c r="F475">
        <v>2</v>
      </c>
      <c r="G475" s="3">
        <v>7.41</v>
      </c>
      <c r="H475" s="10">
        <v>0.15</v>
      </c>
      <c r="I475" s="10">
        <v>2.0099999999999998</v>
      </c>
      <c r="J475" s="6">
        <v>4.01</v>
      </c>
    </row>
    <row r="476" spans="1:10">
      <c r="A476" t="s">
        <v>70</v>
      </c>
      <c r="B476">
        <v>1</v>
      </c>
      <c r="C476">
        <v>320</v>
      </c>
      <c r="D476" s="3">
        <v>6.25E-2</v>
      </c>
      <c r="E476">
        <v>20</v>
      </c>
      <c r="F476">
        <v>2</v>
      </c>
      <c r="G476" s="3">
        <v>10</v>
      </c>
      <c r="H476" s="10">
        <v>0.46</v>
      </c>
      <c r="I476" s="10">
        <v>4.57</v>
      </c>
      <c r="J476" s="6">
        <v>9.14</v>
      </c>
    </row>
    <row r="477" spans="1:10">
      <c r="A477" t="s">
        <v>70</v>
      </c>
      <c r="B477">
        <v>1</v>
      </c>
      <c r="C477">
        <v>351</v>
      </c>
      <c r="D477" s="3">
        <v>4.5599999999999995E-2</v>
      </c>
      <c r="E477">
        <v>16</v>
      </c>
      <c r="F477">
        <v>1</v>
      </c>
      <c r="G477" s="3">
        <v>6.25</v>
      </c>
      <c r="H477" s="10">
        <v>0.55000000000000004</v>
      </c>
      <c r="I477" s="10">
        <v>8.8699999999999992</v>
      </c>
      <c r="J477" s="6">
        <v>8.8699999999999992</v>
      </c>
    </row>
    <row r="478" spans="1:10">
      <c r="A478" t="s">
        <v>70</v>
      </c>
      <c r="B478">
        <v>1</v>
      </c>
      <c r="C478">
        <v>367</v>
      </c>
      <c r="D478" s="3">
        <v>5.7200000000000001E-2</v>
      </c>
      <c r="E478">
        <v>21</v>
      </c>
      <c r="F478">
        <v>3</v>
      </c>
      <c r="G478" s="3">
        <v>14.29</v>
      </c>
      <c r="H478" s="10">
        <v>0.44</v>
      </c>
      <c r="I478" s="10">
        <v>3.07</v>
      </c>
      <c r="J478" s="6">
        <v>9.2200000000000006</v>
      </c>
    </row>
    <row r="479" spans="1:10">
      <c r="A479" t="s">
        <v>70</v>
      </c>
      <c r="B479">
        <v>1</v>
      </c>
      <c r="C479">
        <v>374</v>
      </c>
      <c r="D479" s="3">
        <v>3.7400000000000003E-2</v>
      </c>
      <c r="E479">
        <v>14</v>
      </c>
      <c r="F479">
        <v>1</v>
      </c>
      <c r="G479" s="3">
        <v>7.14</v>
      </c>
      <c r="H479" s="10">
        <v>0.44</v>
      </c>
      <c r="I479" s="10">
        <v>6.22</v>
      </c>
      <c r="J479" s="6">
        <v>6.22</v>
      </c>
    </row>
    <row r="480" spans="1:10">
      <c r="A480" t="s">
        <v>70</v>
      </c>
      <c r="B480">
        <v>1</v>
      </c>
      <c r="C480">
        <v>476</v>
      </c>
      <c r="D480" s="3">
        <v>4.6199999999999998E-2</v>
      </c>
      <c r="E480">
        <v>22</v>
      </c>
      <c r="F480">
        <v>4</v>
      </c>
      <c r="G480" s="3">
        <v>18.18</v>
      </c>
      <c r="H480" s="10">
        <v>0.43</v>
      </c>
      <c r="I480" s="10">
        <v>2.35</v>
      </c>
      <c r="J480" s="6">
        <v>9.41</v>
      </c>
    </row>
    <row r="481" spans="1:10">
      <c r="A481" t="s">
        <v>70</v>
      </c>
      <c r="B481">
        <v>1</v>
      </c>
      <c r="C481">
        <v>527</v>
      </c>
      <c r="D481" s="3">
        <v>0.10249999999999999</v>
      </c>
      <c r="E481">
        <v>54</v>
      </c>
      <c r="F481">
        <v>6</v>
      </c>
      <c r="G481" s="3">
        <v>11.11</v>
      </c>
      <c r="H481" s="10">
        <v>0.23</v>
      </c>
      <c r="I481" s="10">
        <v>2.0499999999999998</v>
      </c>
      <c r="J481" s="6">
        <v>12.27</v>
      </c>
    </row>
    <row r="482" spans="1:10">
      <c r="A482" t="s">
        <v>70</v>
      </c>
      <c r="B482">
        <v>1</v>
      </c>
      <c r="C482">
        <v>556</v>
      </c>
      <c r="D482" s="3">
        <v>5.9400000000000001E-2</v>
      </c>
      <c r="E482">
        <v>33</v>
      </c>
      <c r="F482">
        <v>6</v>
      </c>
      <c r="G482" s="3">
        <v>18.18</v>
      </c>
      <c r="H482" s="10">
        <v>0.72</v>
      </c>
      <c r="I482" s="10">
        <v>3.95</v>
      </c>
      <c r="J482" s="6">
        <v>23.67</v>
      </c>
    </row>
    <row r="483" spans="1:10">
      <c r="A483" t="s">
        <v>70</v>
      </c>
      <c r="B483">
        <v>1</v>
      </c>
      <c r="C483">
        <v>65</v>
      </c>
      <c r="D483" s="3">
        <v>0.10769999999999999</v>
      </c>
      <c r="E483">
        <v>7</v>
      </c>
      <c r="F483">
        <v>1</v>
      </c>
      <c r="G483" s="3">
        <v>14.29</v>
      </c>
      <c r="H483" s="10">
        <v>0.24</v>
      </c>
      <c r="I483" s="10">
        <v>1.7</v>
      </c>
      <c r="J483" s="6">
        <v>1.7</v>
      </c>
    </row>
    <row r="484" spans="1:10">
      <c r="A484" t="s">
        <v>70</v>
      </c>
      <c r="B484">
        <v>1</v>
      </c>
      <c r="C484">
        <v>75</v>
      </c>
      <c r="D484" s="3">
        <v>5.33E-2</v>
      </c>
      <c r="E484">
        <v>4</v>
      </c>
      <c r="F484">
        <v>0</v>
      </c>
      <c r="G484" s="3">
        <v>0</v>
      </c>
      <c r="H484" s="10">
        <v>0</v>
      </c>
      <c r="I484" s="10">
        <v>0</v>
      </c>
      <c r="J484" s="6">
        <v>0</v>
      </c>
    </row>
    <row r="485" spans="1:10">
      <c r="A485" t="s">
        <v>70</v>
      </c>
      <c r="B485">
        <v>1</v>
      </c>
      <c r="C485">
        <v>88</v>
      </c>
      <c r="D485" s="3">
        <v>7.9500000000000001E-2</v>
      </c>
      <c r="E485">
        <v>7</v>
      </c>
      <c r="F485">
        <v>0</v>
      </c>
      <c r="G485" s="3">
        <v>0</v>
      </c>
      <c r="H485" s="10">
        <v>0</v>
      </c>
      <c r="I485" s="10">
        <v>0</v>
      </c>
      <c r="J485" s="6">
        <v>0</v>
      </c>
    </row>
    <row r="486" spans="1:10">
      <c r="A486" t="s">
        <v>71</v>
      </c>
      <c r="B486">
        <v>1</v>
      </c>
      <c r="C486">
        <v>0</v>
      </c>
      <c r="D486" s="3">
        <v>0</v>
      </c>
      <c r="E486">
        <v>0</v>
      </c>
      <c r="F486">
        <v>0</v>
      </c>
      <c r="G486" s="3">
        <v>0</v>
      </c>
      <c r="H486" s="10">
        <v>0</v>
      </c>
      <c r="I486" s="10">
        <v>0</v>
      </c>
      <c r="J486" s="6">
        <v>0</v>
      </c>
    </row>
    <row r="487" spans="1:10">
      <c r="A487" t="s">
        <v>71</v>
      </c>
      <c r="B487">
        <v>1</v>
      </c>
      <c r="C487">
        <v>0</v>
      </c>
      <c r="D487" s="3">
        <v>0</v>
      </c>
      <c r="E487">
        <v>0</v>
      </c>
      <c r="F487">
        <v>0</v>
      </c>
      <c r="G487" s="3">
        <v>0</v>
      </c>
      <c r="H487" s="10">
        <v>0</v>
      </c>
      <c r="I487" s="10">
        <v>0</v>
      </c>
      <c r="J487" s="6">
        <v>0</v>
      </c>
    </row>
    <row r="488" spans="1:10">
      <c r="A488" t="s">
        <v>72</v>
      </c>
      <c r="B488">
        <v>1</v>
      </c>
      <c r="C488">
        <v>0</v>
      </c>
      <c r="D488" s="3">
        <v>0</v>
      </c>
      <c r="E488">
        <v>0</v>
      </c>
      <c r="F488">
        <v>0</v>
      </c>
      <c r="G488" s="3">
        <v>0</v>
      </c>
      <c r="H488" s="10">
        <v>0</v>
      </c>
      <c r="I488" s="10">
        <v>0</v>
      </c>
      <c r="J488" s="6">
        <v>0</v>
      </c>
    </row>
    <row r="489" spans="1:10">
      <c r="A489" t="s">
        <v>72</v>
      </c>
      <c r="B489">
        <v>1</v>
      </c>
      <c r="C489">
        <v>0</v>
      </c>
      <c r="D489" s="3">
        <v>0</v>
      </c>
      <c r="E489">
        <v>0</v>
      </c>
      <c r="F489">
        <v>0</v>
      </c>
      <c r="G489" s="3">
        <v>0</v>
      </c>
      <c r="H489" s="10">
        <v>0</v>
      </c>
      <c r="I489" s="10">
        <v>0</v>
      </c>
      <c r="J489" s="6">
        <v>0</v>
      </c>
    </row>
    <row r="490" spans="1:10">
      <c r="A490" t="s">
        <v>72</v>
      </c>
      <c r="B490">
        <v>1</v>
      </c>
      <c r="C490">
        <v>0</v>
      </c>
      <c r="D490" s="3">
        <v>0</v>
      </c>
      <c r="E490">
        <v>0</v>
      </c>
      <c r="F490">
        <v>0</v>
      </c>
      <c r="G490" s="3">
        <v>0</v>
      </c>
      <c r="H490" s="10">
        <v>0</v>
      </c>
      <c r="I490" s="10">
        <v>0</v>
      </c>
      <c r="J490" s="6">
        <v>0</v>
      </c>
    </row>
    <row r="491" spans="1:10">
      <c r="A491" t="s">
        <v>72</v>
      </c>
      <c r="B491">
        <v>1</v>
      </c>
      <c r="C491">
        <v>0</v>
      </c>
      <c r="D491" s="3">
        <v>0</v>
      </c>
      <c r="E491">
        <v>0</v>
      </c>
      <c r="F491">
        <v>0</v>
      </c>
      <c r="G491" s="3">
        <v>0</v>
      </c>
      <c r="H491" s="10">
        <v>0</v>
      </c>
      <c r="I491" s="10">
        <v>0</v>
      </c>
      <c r="J491" s="6">
        <v>0</v>
      </c>
    </row>
    <row r="492" spans="1:10">
      <c r="A492" t="s">
        <v>72</v>
      </c>
      <c r="B492">
        <v>1</v>
      </c>
      <c r="C492">
        <v>0</v>
      </c>
      <c r="D492" s="3">
        <v>0</v>
      </c>
      <c r="E492">
        <v>0</v>
      </c>
      <c r="F492">
        <v>0</v>
      </c>
      <c r="G492" s="3">
        <v>0</v>
      </c>
      <c r="H492" s="10">
        <v>0</v>
      </c>
      <c r="I492" s="10">
        <v>0</v>
      </c>
      <c r="J492" s="6">
        <v>0</v>
      </c>
    </row>
    <row r="493" spans="1:10">
      <c r="A493" t="s">
        <v>72</v>
      </c>
      <c r="B493">
        <v>1</v>
      </c>
      <c r="C493">
        <v>0</v>
      </c>
      <c r="D493" s="3">
        <v>0</v>
      </c>
      <c r="E493">
        <v>0</v>
      </c>
      <c r="F493">
        <v>0</v>
      </c>
      <c r="G493" s="3">
        <v>0</v>
      </c>
      <c r="H493" s="10">
        <v>0</v>
      </c>
      <c r="I493" s="10">
        <v>0</v>
      </c>
      <c r="J493" s="6">
        <v>0</v>
      </c>
    </row>
    <row r="494" spans="1:10">
      <c r="A494" t="s">
        <v>72</v>
      </c>
      <c r="B494">
        <v>1</v>
      </c>
      <c r="C494">
        <v>0</v>
      </c>
      <c r="D494" s="3">
        <v>0</v>
      </c>
      <c r="E494">
        <v>0</v>
      </c>
      <c r="F494">
        <v>0</v>
      </c>
      <c r="G494" s="3">
        <v>0</v>
      </c>
      <c r="H494" s="10">
        <v>0</v>
      </c>
      <c r="I494" s="10">
        <v>0</v>
      </c>
      <c r="J494" s="6">
        <v>0</v>
      </c>
    </row>
    <row r="495" spans="1:10">
      <c r="A495" t="s">
        <v>72</v>
      </c>
      <c r="B495">
        <v>1</v>
      </c>
      <c r="C495">
        <v>0</v>
      </c>
      <c r="D495" s="3">
        <v>0</v>
      </c>
      <c r="E495">
        <v>0</v>
      </c>
      <c r="F495">
        <v>0</v>
      </c>
      <c r="G495" s="3">
        <v>0</v>
      </c>
      <c r="H495" s="10">
        <v>0</v>
      </c>
      <c r="I495" s="10">
        <v>0</v>
      </c>
      <c r="J495" s="6">
        <v>0</v>
      </c>
    </row>
    <row r="496" spans="1:10">
      <c r="A496" t="s">
        <v>72</v>
      </c>
      <c r="B496">
        <v>1</v>
      </c>
      <c r="C496">
        <v>0</v>
      </c>
      <c r="D496" s="3">
        <v>0</v>
      </c>
      <c r="E496">
        <v>0</v>
      </c>
      <c r="F496">
        <v>0</v>
      </c>
      <c r="G496" s="3">
        <v>0</v>
      </c>
      <c r="H496" s="10">
        <v>0</v>
      </c>
      <c r="I496" s="10">
        <v>0</v>
      </c>
      <c r="J496" s="6">
        <v>0</v>
      </c>
    </row>
    <row r="497" spans="1:10">
      <c r="A497" t="s">
        <v>72</v>
      </c>
      <c r="B497">
        <v>1</v>
      </c>
      <c r="C497">
        <v>0</v>
      </c>
      <c r="D497" s="3">
        <v>0</v>
      </c>
      <c r="E497">
        <v>0</v>
      </c>
      <c r="F497">
        <v>0</v>
      </c>
      <c r="G497" s="3">
        <v>0</v>
      </c>
      <c r="H497" s="10">
        <v>0</v>
      </c>
      <c r="I497" s="10">
        <v>0</v>
      </c>
      <c r="J497" s="6">
        <v>0</v>
      </c>
    </row>
    <row r="498" spans="1:10">
      <c r="A498" t="s">
        <v>72</v>
      </c>
      <c r="B498">
        <v>1</v>
      </c>
      <c r="C498">
        <v>326</v>
      </c>
      <c r="D498" s="3">
        <v>3.3700000000000001E-2</v>
      </c>
      <c r="E498">
        <v>11</v>
      </c>
      <c r="F498">
        <v>0</v>
      </c>
      <c r="G498" s="3">
        <v>0</v>
      </c>
      <c r="H498" s="10">
        <v>0</v>
      </c>
      <c r="I498" s="10">
        <v>0</v>
      </c>
      <c r="J498" s="6">
        <v>0</v>
      </c>
    </row>
    <row r="499" spans="1:10">
      <c r="A499" t="s">
        <v>73</v>
      </c>
      <c r="B499">
        <v>1</v>
      </c>
      <c r="C499">
        <v>0</v>
      </c>
      <c r="D499" s="3">
        <v>0</v>
      </c>
      <c r="E499">
        <v>0</v>
      </c>
      <c r="F499">
        <v>0</v>
      </c>
      <c r="G499" s="3">
        <v>0</v>
      </c>
      <c r="H499" s="10">
        <v>0</v>
      </c>
      <c r="I499" s="10">
        <v>0</v>
      </c>
      <c r="J499" s="6">
        <v>0</v>
      </c>
    </row>
    <row r="500" spans="1:10">
      <c r="A500" t="s">
        <v>52</v>
      </c>
      <c r="B500">
        <v>1</v>
      </c>
      <c r="C500">
        <v>0</v>
      </c>
      <c r="D500" s="3">
        <v>0</v>
      </c>
      <c r="E500">
        <v>0</v>
      </c>
      <c r="F500">
        <v>0</v>
      </c>
      <c r="G500" s="3">
        <v>0</v>
      </c>
      <c r="H500" s="10">
        <v>0</v>
      </c>
      <c r="I500" s="10">
        <v>0</v>
      </c>
      <c r="J500" s="6">
        <v>0</v>
      </c>
    </row>
    <row r="501" spans="1:10">
      <c r="A501" t="s">
        <v>52</v>
      </c>
      <c r="B501">
        <v>1</v>
      </c>
      <c r="C501">
        <v>0</v>
      </c>
      <c r="D501" s="3">
        <v>0</v>
      </c>
      <c r="E501">
        <v>0</v>
      </c>
      <c r="F501">
        <v>0</v>
      </c>
      <c r="G501" s="3">
        <v>0</v>
      </c>
      <c r="H501" s="10">
        <v>0</v>
      </c>
      <c r="I501" s="10">
        <v>0</v>
      </c>
      <c r="J501" s="6">
        <v>0</v>
      </c>
    </row>
    <row r="502" spans="1:10">
      <c r="A502" t="s">
        <v>52</v>
      </c>
      <c r="B502">
        <v>1</v>
      </c>
      <c r="C502">
        <v>0</v>
      </c>
      <c r="D502" s="3">
        <v>0</v>
      </c>
      <c r="E502">
        <v>0</v>
      </c>
      <c r="F502">
        <v>0</v>
      </c>
      <c r="G502" s="3">
        <v>0</v>
      </c>
      <c r="H502" s="10">
        <v>0</v>
      </c>
      <c r="I502" s="10">
        <v>0</v>
      </c>
      <c r="J502" s="6">
        <v>0</v>
      </c>
    </row>
    <row r="503" spans="1:10">
      <c r="A503" t="s">
        <v>52</v>
      </c>
      <c r="B503">
        <v>1</v>
      </c>
      <c r="C503">
        <v>0</v>
      </c>
      <c r="D503" s="3">
        <v>0</v>
      </c>
      <c r="E503">
        <v>0</v>
      </c>
      <c r="F503">
        <v>0</v>
      </c>
      <c r="G503" s="3">
        <v>0</v>
      </c>
      <c r="H503" s="10">
        <v>0</v>
      </c>
      <c r="I503" s="10">
        <v>0</v>
      </c>
      <c r="J503" s="6">
        <v>0</v>
      </c>
    </row>
    <row r="504" spans="1:10">
      <c r="A504" t="s">
        <v>74</v>
      </c>
      <c r="B504">
        <v>1</v>
      </c>
      <c r="C504">
        <v>0</v>
      </c>
      <c r="D504" s="3">
        <v>0</v>
      </c>
      <c r="E504">
        <v>0</v>
      </c>
      <c r="F504">
        <v>0</v>
      </c>
      <c r="G504" s="3">
        <v>0</v>
      </c>
      <c r="H504" s="10">
        <v>0</v>
      </c>
      <c r="I504" s="10">
        <v>0</v>
      </c>
      <c r="J504" s="6">
        <v>0</v>
      </c>
    </row>
    <row r="505" spans="1:10">
      <c r="A505" t="s">
        <v>75</v>
      </c>
      <c r="B505">
        <v>1</v>
      </c>
      <c r="C505">
        <v>102</v>
      </c>
      <c r="D505" s="3">
        <v>6.8600000000000008E-2</v>
      </c>
      <c r="E505">
        <v>7</v>
      </c>
      <c r="F505">
        <v>0</v>
      </c>
      <c r="G505" s="3">
        <v>0</v>
      </c>
      <c r="H505" s="10">
        <v>0</v>
      </c>
      <c r="I505" s="10">
        <v>0</v>
      </c>
      <c r="J505" s="6">
        <v>0</v>
      </c>
    </row>
    <row r="506" spans="1:10">
      <c r="A506" t="s">
        <v>76</v>
      </c>
      <c r="B506">
        <v>1</v>
      </c>
      <c r="C506">
        <v>65</v>
      </c>
      <c r="D506" s="3">
        <v>7.690000000000001E-2</v>
      </c>
      <c r="E506">
        <v>5</v>
      </c>
      <c r="F506">
        <v>1</v>
      </c>
      <c r="G506" s="3">
        <v>20</v>
      </c>
      <c r="H506" s="10">
        <v>2.19</v>
      </c>
      <c r="I506" s="10">
        <v>10.95</v>
      </c>
      <c r="J506" s="6">
        <v>10.95</v>
      </c>
    </row>
    <row r="507" spans="1:10">
      <c r="A507" t="s">
        <v>77</v>
      </c>
      <c r="B507">
        <v>1</v>
      </c>
      <c r="C507">
        <v>0</v>
      </c>
      <c r="D507" s="3">
        <v>0</v>
      </c>
      <c r="E507">
        <v>0</v>
      </c>
      <c r="F507">
        <v>0</v>
      </c>
      <c r="G507" s="3">
        <v>0</v>
      </c>
      <c r="H507" s="10">
        <v>0</v>
      </c>
      <c r="I507" s="10">
        <v>0</v>
      </c>
      <c r="J507" s="6">
        <v>0</v>
      </c>
    </row>
    <row r="508" spans="1:10">
      <c r="A508" t="s">
        <v>77</v>
      </c>
      <c r="B508">
        <v>1</v>
      </c>
      <c r="C508">
        <v>0</v>
      </c>
      <c r="D508" s="3">
        <v>0</v>
      </c>
      <c r="E508">
        <v>0</v>
      </c>
      <c r="F508">
        <v>0</v>
      </c>
      <c r="G508" s="3">
        <v>0</v>
      </c>
      <c r="H508" s="10">
        <v>0</v>
      </c>
      <c r="I508" s="10">
        <v>0</v>
      </c>
      <c r="J508" s="6">
        <v>0</v>
      </c>
    </row>
    <row r="509" spans="1:10">
      <c r="A509" t="s">
        <v>77</v>
      </c>
      <c r="B509">
        <v>1</v>
      </c>
      <c r="C509">
        <v>200</v>
      </c>
      <c r="D509" s="3">
        <v>0.04</v>
      </c>
      <c r="E509">
        <v>8</v>
      </c>
      <c r="F509">
        <v>0</v>
      </c>
      <c r="G509" s="3">
        <v>0.05</v>
      </c>
      <c r="H509" s="10">
        <v>0</v>
      </c>
      <c r="I509" s="10">
        <v>0</v>
      </c>
      <c r="J509" s="6">
        <v>0</v>
      </c>
    </row>
    <row r="510" spans="1:10">
      <c r="A510" t="s">
        <v>77</v>
      </c>
      <c r="B510">
        <v>1</v>
      </c>
      <c r="C510">
        <v>0</v>
      </c>
      <c r="D510" s="3">
        <v>0</v>
      </c>
      <c r="E510">
        <v>0</v>
      </c>
      <c r="F510">
        <v>0</v>
      </c>
      <c r="G510" s="3">
        <v>0</v>
      </c>
      <c r="H510" s="10">
        <v>0</v>
      </c>
      <c r="I510" s="10">
        <v>0</v>
      </c>
      <c r="J510" s="6">
        <v>0</v>
      </c>
    </row>
    <row r="511" spans="1:10">
      <c r="A511" t="s">
        <v>77</v>
      </c>
      <c r="B511">
        <v>1</v>
      </c>
      <c r="C511">
        <v>123</v>
      </c>
      <c r="D511" s="3">
        <v>5.6900000000000006E-2</v>
      </c>
      <c r="E511">
        <v>7</v>
      </c>
      <c r="F511">
        <v>0</v>
      </c>
      <c r="G511" s="3">
        <v>1.6670000000000001E-3</v>
      </c>
      <c r="H511" s="10">
        <v>0</v>
      </c>
      <c r="I511" s="10">
        <v>0</v>
      </c>
      <c r="J511" s="6">
        <v>0</v>
      </c>
    </row>
    <row r="512" spans="1:10">
      <c r="A512" t="s">
        <v>74</v>
      </c>
      <c r="B512">
        <v>1</v>
      </c>
      <c r="C512">
        <v>0</v>
      </c>
      <c r="D512" s="3">
        <v>0</v>
      </c>
      <c r="E512">
        <v>0</v>
      </c>
      <c r="F512">
        <v>0</v>
      </c>
      <c r="G512" s="3">
        <v>0</v>
      </c>
      <c r="H512" s="10">
        <v>0</v>
      </c>
      <c r="I512" s="10">
        <v>0</v>
      </c>
      <c r="J512" s="6">
        <v>0</v>
      </c>
    </row>
    <row r="513" spans="1:10">
      <c r="A513" t="s">
        <v>74</v>
      </c>
      <c r="B513">
        <v>1</v>
      </c>
      <c r="C513">
        <v>0</v>
      </c>
      <c r="D513" s="3">
        <v>0</v>
      </c>
      <c r="E513">
        <v>0</v>
      </c>
      <c r="F513">
        <v>0</v>
      </c>
      <c r="G513" s="3">
        <v>0</v>
      </c>
      <c r="H513" s="10">
        <v>0</v>
      </c>
      <c r="I513" s="10">
        <v>0</v>
      </c>
      <c r="J513" s="6">
        <v>0</v>
      </c>
    </row>
    <row r="514" spans="1:10">
      <c r="A514" t="s">
        <v>74</v>
      </c>
      <c r="B514">
        <v>1</v>
      </c>
      <c r="C514">
        <v>0</v>
      </c>
      <c r="D514" s="3">
        <v>0</v>
      </c>
      <c r="E514">
        <v>0</v>
      </c>
      <c r="F514">
        <v>0</v>
      </c>
      <c r="G514" s="3">
        <v>0</v>
      </c>
      <c r="H514" s="10">
        <v>0</v>
      </c>
      <c r="I514" s="10">
        <v>0</v>
      </c>
      <c r="J514" s="6">
        <v>0</v>
      </c>
    </row>
    <row r="515" spans="1:10">
      <c r="A515" t="s">
        <v>78</v>
      </c>
      <c r="B515">
        <v>1</v>
      </c>
      <c r="C515">
        <v>0</v>
      </c>
      <c r="D515" s="3">
        <v>0</v>
      </c>
      <c r="E515">
        <v>0</v>
      </c>
      <c r="F515">
        <v>0</v>
      </c>
      <c r="G515" s="3">
        <v>0</v>
      </c>
      <c r="H515" s="10">
        <v>0</v>
      </c>
      <c r="I515" s="10">
        <v>0</v>
      </c>
      <c r="J515" s="6">
        <v>0</v>
      </c>
    </row>
    <row r="516" spans="1:10">
      <c r="A516" t="s">
        <v>78</v>
      </c>
      <c r="B516">
        <v>1</v>
      </c>
      <c r="C516">
        <v>0</v>
      </c>
      <c r="D516" s="3">
        <v>0</v>
      </c>
      <c r="E516">
        <v>0</v>
      </c>
      <c r="F516">
        <v>0</v>
      </c>
      <c r="G516" s="3">
        <v>0</v>
      </c>
      <c r="H516" s="10">
        <v>0</v>
      </c>
      <c r="I516" s="10">
        <v>0</v>
      </c>
      <c r="J516" s="6">
        <v>0</v>
      </c>
    </row>
    <row r="517" spans="1:10">
      <c r="A517" t="s">
        <v>78</v>
      </c>
      <c r="B517">
        <v>1</v>
      </c>
      <c r="C517">
        <v>0</v>
      </c>
      <c r="D517" s="3">
        <v>0</v>
      </c>
      <c r="E517">
        <v>0</v>
      </c>
      <c r="F517">
        <v>0</v>
      </c>
      <c r="G517" s="3">
        <v>0</v>
      </c>
      <c r="H517" s="10">
        <v>0</v>
      </c>
      <c r="I517" s="10">
        <v>0</v>
      </c>
      <c r="J517" s="6">
        <v>0</v>
      </c>
    </row>
    <row r="518" spans="1:10">
      <c r="A518" t="s">
        <v>78</v>
      </c>
      <c r="B518">
        <v>1</v>
      </c>
      <c r="C518">
        <v>0</v>
      </c>
      <c r="D518" s="3">
        <v>0</v>
      </c>
      <c r="E518">
        <v>0</v>
      </c>
      <c r="F518">
        <v>0</v>
      </c>
      <c r="G518" s="3">
        <v>0</v>
      </c>
      <c r="H518" s="10">
        <v>0</v>
      </c>
      <c r="I518" s="10">
        <v>0</v>
      </c>
      <c r="J518" s="6">
        <v>0</v>
      </c>
    </row>
    <row r="519" spans="1:10">
      <c r="A519" t="s">
        <v>78</v>
      </c>
      <c r="B519">
        <v>1</v>
      </c>
      <c r="C519">
        <v>0</v>
      </c>
      <c r="D519" s="3">
        <v>0</v>
      </c>
      <c r="E519">
        <v>0</v>
      </c>
      <c r="F519">
        <v>0</v>
      </c>
      <c r="G519" s="3">
        <v>0</v>
      </c>
      <c r="H519" s="10">
        <v>0</v>
      </c>
      <c r="I519" s="10">
        <v>0</v>
      </c>
      <c r="J519" s="6">
        <v>0</v>
      </c>
    </row>
    <row r="520" spans="1:10">
      <c r="A520" t="s">
        <v>79</v>
      </c>
      <c r="B520">
        <v>1</v>
      </c>
      <c r="C520">
        <v>0</v>
      </c>
      <c r="D520" s="3">
        <v>0</v>
      </c>
      <c r="E520">
        <v>0</v>
      </c>
      <c r="F520">
        <v>0</v>
      </c>
      <c r="G520" s="3">
        <v>0</v>
      </c>
      <c r="H520" s="10">
        <v>0</v>
      </c>
      <c r="I520" s="10">
        <v>0</v>
      </c>
      <c r="J520" s="6">
        <v>0</v>
      </c>
    </row>
    <row r="521" spans="1:10">
      <c r="A521" t="s">
        <v>54</v>
      </c>
      <c r="B521">
        <v>1</v>
      </c>
      <c r="C521">
        <v>0</v>
      </c>
      <c r="D521" s="3">
        <v>0</v>
      </c>
      <c r="E521">
        <v>0</v>
      </c>
      <c r="F521">
        <v>0</v>
      </c>
      <c r="G521" s="3">
        <v>0</v>
      </c>
      <c r="H521" s="10">
        <v>0</v>
      </c>
      <c r="I521" s="10">
        <v>0</v>
      </c>
      <c r="J521" s="6">
        <v>0</v>
      </c>
    </row>
    <row r="522" spans="1:10">
      <c r="A522" t="s">
        <v>54</v>
      </c>
      <c r="B522">
        <v>1</v>
      </c>
      <c r="C522">
        <v>0</v>
      </c>
      <c r="D522" s="3">
        <v>0</v>
      </c>
      <c r="E522">
        <v>0</v>
      </c>
      <c r="F522">
        <v>0</v>
      </c>
      <c r="G522" s="3">
        <v>0</v>
      </c>
      <c r="H522" s="10">
        <v>0</v>
      </c>
      <c r="I522" s="10">
        <v>0</v>
      </c>
      <c r="J522" s="6">
        <v>0</v>
      </c>
    </row>
    <row r="523" spans="1:10">
      <c r="A523" t="s">
        <v>54</v>
      </c>
      <c r="B523">
        <v>1</v>
      </c>
      <c r="C523">
        <v>0</v>
      </c>
      <c r="D523" s="3">
        <v>0</v>
      </c>
      <c r="E523">
        <v>0</v>
      </c>
      <c r="F523">
        <v>0</v>
      </c>
      <c r="G523" s="3">
        <v>0</v>
      </c>
      <c r="H523" s="10">
        <v>0</v>
      </c>
      <c r="I523" s="10">
        <v>0</v>
      </c>
      <c r="J523" s="6">
        <v>0</v>
      </c>
    </row>
    <row r="524" spans="1:10">
      <c r="A524" t="s">
        <v>54</v>
      </c>
      <c r="B524">
        <v>1</v>
      </c>
      <c r="C524">
        <v>0</v>
      </c>
      <c r="D524" s="3">
        <v>0</v>
      </c>
      <c r="E524">
        <v>0</v>
      </c>
      <c r="F524">
        <v>0</v>
      </c>
      <c r="G524" s="3">
        <v>0</v>
      </c>
      <c r="H524" s="10">
        <v>0</v>
      </c>
      <c r="I524" s="10">
        <v>0</v>
      </c>
      <c r="J524" s="6">
        <v>0</v>
      </c>
    </row>
    <row r="525" spans="1:10">
      <c r="A525" t="s">
        <v>54</v>
      </c>
      <c r="B525">
        <v>1</v>
      </c>
      <c r="C525">
        <v>0</v>
      </c>
      <c r="D525" s="3">
        <v>0</v>
      </c>
      <c r="E525">
        <v>0</v>
      </c>
      <c r="F525">
        <v>0</v>
      </c>
      <c r="G525" s="3">
        <v>0</v>
      </c>
      <c r="H525" s="10">
        <v>0</v>
      </c>
      <c r="I525" s="10">
        <v>0</v>
      </c>
      <c r="J525" s="6">
        <v>0</v>
      </c>
    </row>
    <row r="526" spans="1:10">
      <c r="A526" t="s">
        <v>54</v>
      </c>
      <c r="B526">
        <v>1</v>
      </c>
      <c r="C526">
        <v>0</v>
      </c>
      <c r="D526" s="3">
        <v>0</v>
      </c>
      <c r="E526">
        <v>0</v>
      </c>
      <c r="F526">
        <v>0</v>
      </c>
      <c r="G526" s="3">
        <v>0</v>
      </c>
      <c r="H526" s="10">
        <v>0</v>
      </c>
      <c r="I526" s="10">
        <v>0</v>
      </c>
      <c r="J526" s="6">
        <v>0</v>
      </c>
    </row>
    <row r="527" spans="1:10">
      <c r="A527" t="s">
        <v>54</v>
      </c>
      <c r="B527">
        <v>1</v>
      </c>
      <c r="C527">
        <v>0</v>
      </c>
      <c r="D527" s="3">
        <v>0</v>
      </c>
      <c r="E527">
        <v>0</v>
      </c>
      <c r="F527">
        <v>0</v>
      </c>
      <c r="G527" s="3">
        <v>0</v>
      </c>
      <c r="H527" s="10">
        <v>0</v>
      </c>
      <c r="I527" s="10">
        <v>0</v>
      </c>
      <c r="J527" s="6">
        <v>0</v>
      </c>
    </row>
    <row r="528" spans="1:10">
      <c r="A528" t="s">
        <v>54</v>
      </c>
      <c r="B528">
        <v>1</v>
      </c>
      <c r="C528">
        <v>147</v>
      </c>
      <c r="D528" s="3">
        <v>1.3600000000000001E-2</v>
      </c>
      <c r="E528">
        <v>2</v>
      </c>
      <c r="F528">
        <v>0</v>
      </c>
      <c r="G528" s="3">
        <v>2.5000000000000001E-4</v>
      </c>
      <c r="H528" s="10">
        <v>0</v>
      </c>
      <c r="I528" s="10">
        <v>0</v>
      </c>
      <c r="J528" s="6">
        <v>0</v>
      </c>
    </row>
    <row r="529" spans="1:10">
      <c r="A529" t="s">
        <v>54</v>
      </c>
      <c r="B529">
        <v>1</v>
      </c>
      <c r="C529">
        <v>62</v>
      </c>
      <c r="D529" s="3">
        <v>0</v>
      </c>
      <c r="E529">
        <v>0</v>
      </c>
      <c r="F529">
        <v>0</v>
      </c>
      <c r="G529" s="3">
        <v>0</v>
      </c>
      <c r="H529" s="10">
        <v>0</v>
      </c>
      <c r="I529" s="10">
        <v>0</v>
      </c>
      <c r="J529" s="6">
        <v>0</v>
      </c>
    </row>
    <row r="530" spans="1:10">
      <c r="A530" t="s">
        <v>80</v>
      </c>
      <c r="B530">
        <v>1</v>
      </c>
      <c r="C530">
        <v>0</v>
      </c>
      <c r="D530" s="3">
        <v>0</v>
      </c>
      <c r="E530">
        <v>0</v>
      </c>
      <c r="F530">
        <v>0</v>
      </c>
      <c r="G530" s="3">
        <v>0</v>
      </c>
      <c r="H530" s="10">
        <v>0</v>
      </c>
      <c r="I530" s="10">
        <v>0</v>
      </c>
      <c r="J530" s="6">
        <v>0</v>
      </c>
    </row>
    <row r="531" spans="1:10">
      <c r="A531" t="s">
        <v>80</v>
      </c>
      <c r="B531">
        <v>1</v>
      </c>
      <c r="C531">
        <v>41</v>
      </c>
      <c r="D531" s="3">
        <v>0</v>
      </c>
      <c r="E531">
        <v>0</v>
      </c>
      <c r="F531">
        <v>0</v>
      </c>
      <c r="G531" s="3">
        <v>0</v>
      </c>
      <c r="H531" s="10">
        <v>0</v>
      </c>
      <c r="I531" s="10">
        <v>0</v>
      </c>
      <c r="J531" s="6">
        <v>0</v>
      </c>
    </row>
    <row r="532" spans="1:10">
      <c r="A532" t="s">
        <v>69</v>
      </c>
      <c r="B532">
        <v>1</v>
      </c>
      <c r="C532">
        <v>0</v>
      </c>
      <c r="D532" s="3">
        <v>0</v>
      </c>
      <c r="E532">
        <v>0</v>
      </c>
      <c r="F532">
        <v>0</v>
      </c>
      <c r="G532" s="3">
        <v>0</v>
      </c>
      <c r="H532" s="10">
        <v>0</v>
      </c>
      <c r="I532" s="10">
        <v>0</v>
      </c>
      <c r="J532" s="6">
        <v>0</v>
      </c>
    </row>
    <row r="533" spans="1:10">
      <c r="A533" t="s">
        <v>69</v>
      </c>
      <c r="B533">
        <v>1</v>
      </c>
      <c r="C533">
        <v>206</v>
      </c>
      <c r="D533" s="3">
        <v>2.9100000000000001E-2</v>
      </c>
      <c r="E533">
        <v>6</v>
      </c>
      <c r="F533">
        <v>0</v>
      </c>
      <c r="G533" s="3">
        <v>0.1</v>
      </c>
      <c r="H533" s="10">
        <v>0</v>
      </c>
      <c r="I533" s="10">
        <v>0</v>
      </c>
      <c r="J533" s="6">
        <v>0</v>
      </c>
    </row>
    <row r="534" spans="1:10">
      <c r="A534" t="s">
        <v>61</v>
      </c>
      <c r="B534">
        <v>1</v>
      </c>
      <c r="C534">
        <v>0</v>
      </c>
      <c r="D534" s="3">
        <v>0</v>
      </c>
      <c r="E534">
        <v>0</v>
      </c>
      <c r="F534">
        <v>0</v>
      </c>
      <c r="G534" s="3">
        <v>0</v>
      </c>
      <c r="H534" s="10">
        <v>0</v>
      </c>
      <c r="I534" s="10">
        <v>0</v>
      </c>
      <c r="J534" s="6">
        <v>0</v>
      </c>
    </row>
    <row r="535" spans="1:10">
      <c r="A535" t="s">
        <v>61</v>
      </c>
      <c r="B535">
        <v>1</v>
      </c>
      <c r="C535">
        <v>0</v>
      </c>
      <c r="D535" s="3">
        <v>0</v>
      </c>
      <c r="E535">
        <v>0</v>
      </c>
      <c r="F535">
        <v>0</v>
      </c>
      <c r="G535" s="3">
        <v>0</v>
      </c>
      <c r="H535" s="10">
        <v>0</v>
      </c>
      <c r="I535" s="10">
        <v>0</v>
      </c>
      <c r="J535" s="6">
        <v>0</v>
      </c>
    </row>
    <row r="536" spans="1:10">
      <c r="A536" t="s">
        <v>61</v>
      </c>
      <c r="B536">
        <v>1</v>
      </c>
      <c r="C536">
        <v>0</v>
      </c>
      <c r="D536" s="3">
        <v>0</v>
      </c>
      <c r="E536">
        <v>0</v>
      </c>
      <c r="F536">
        <v>0</v>
      </c>
      <c r="G536" s="3">
        <v>0</v>
      </c>
      <c r="H536" s="10">
        <v>0</v>
      </c>
      <c r="I536" s="10">
        <v>0</v>
      </c>
      <c r="J536" s="6">
        <v>0</v>
      </c>
    </row>
    <row r="537" spans="1:10">
      <c r="A537" t="s">
        <v>61</v>
      </c>
      <c r="B537">
        <v>1</v>
      </c>
      <c r="C537">
        <v>0</v>
      </c>
      <c r="D537" s="3">
        <v>0</v>
      </c>
      <c r="E537">
        <v>0</v>
      </c>
      <c r="F537">
        <v>0</v>
      </c>
      <c r="G537" s="3">
        <v>0</v>
      </c>
      <c r="H537" s="10">
        <v>0</v>
      </c>
      <c r="I537" s="10">
        <v>0</v>
      </c>
      <c r="J537" s="6">
        <v>0</v>
      </c>
    </row>
    <row r="538" spans="1:10">
      <c r="A538" t="s">
        <v>61</v>
      </c>
      <c r="B538">
        <v>1</v>
      </c>
      <c r="C538">
        <v>178</v>
      </c>
      <c r="D538" s="3">
        <v>6.1799999999999994E-2</v>
      </c>
      <c r="E538">
        <v>11</v>
      </c>
      <c r="F538">
        <v>0</v>
      </c>
      <c r="G538" s="3">
        <v>3.333E-3</v>
      </c>
      <c r="H538" s="10">
        <v>0</v>
      </c>
      <c r="I538" s="10">
        <v>0</v>
      </c>
      <c r="J538" s="6">
        <v>0</v>
      </c>
    </row>
    <row r="539" spans="1:10">
      <c r="A539" t="s">
        <v>61</v>
      </c>
      <c r="B539">
        <v>1</v>
      </c>
      <c r="C539">
        <v>181</v>
      </c>
      <c r="D539" s="3">
        <v>2.76E-2</v>
      </c>
      <c r="E539">
        <v>5</v>
      </c>
      <c r="F539">
        <v>0</v>
      </c>
      <c r="G539" s="3">
        <v>7.1399999999999991E-2</v>
      </c>
      <c r="H539" s="10">
        <v>0</v>
      </c>
      <c r="I539" s="10">
        <v>0</v>
      </c>
      <c r="J539" s="6">
        <v>0</v>
      </c>
    </row>
    <row r="540" spans="1:10">
      <c r="A540" t="s">
        <v>61</v>
      </c>
      <c r="B540">
        <v>1</v>
      </c>
      <c r="C540">
        <v>214</v>
      </c>
      <c r="D540" s="3">
        <v>1.3999999999999999E-2</v>
      </c>
      <c r="E540">
        <v>3</v>
      </c>
      <c r="F540">
        <v>1</v>
      </c>
      <c r="G540" s="3">
        <v>6.25E-2</v>
      </c>
      <c r="H540" s="10">
        <v>11.99</v>
      </c>
      <c r="I540" s="10">
        <v>35.97</v>
      </c>
      <c r="J540" s="6">
        <v>35.97</v>
      </c>
    </row>
    <row r="541" spans="1:10">
      <c r="A541" t="s">
        <v>61</v>
      </c>
      <c r="B541">
        <v>1</v>
      </c>
      <c r="C541">
        <v>219</v>
      </c>
      <c r="D541" s="3">
        <v>2.7400000000000001E-2</v>
      </c>
      <c r="E541">
        <v>6</v>
      </c>
      <c r="F541">
        <v>0</v>
      </c>
      <c r="G541" s="3">
        <v>0.26319999999999999</v>
      </c>
      <c r="H541" s="10">
        <v>0</v>
      </c>
      <c r="I541" s="10">
        <v>0</v>
      </c>
      <c r="J541" s="6">
        <v>0</v>
      </c>
    </row>
    <row r="542" spans="1:10">
      <c r="A542" t="s">
        <v>61</v>
      </c>
      <c r="B542">
        <v>1</v>
      </c>
      <c r="C542">
        <v>0</v>
      </c>
      <c r="D542" s="3">
        <v>0</v>
      </c>
      <c r="E542">
        <v>0</v>
      </c>
      <c r="F542">
        <v>0</v>
      </c>
      <c r="G542" s="3">
        <v>0</v>
      </c>
      <c r="H542" s="10">
        <v>0</v>
      </c>
      <c r="I542" s="10">
        <v>0</v>
      </c>
      <c r="J542" s="6">
        <v>0</v>
      </c>
    </row>
    <row r="543" spans="1:10">
      <c r="A543" t="s">
        <v>61</v>
      </c>
      <c r="B543">
        <v>1</v>
      </c>
      <c r="C543">
        <v>0</v>
      </c>
      <c r="D543" s="3">
        <v>0</v>
      </c>
      <c r="E543">
        <v>0</v>
      </c>
      <c r="F543">
        <v>0</v>
      </c>
      <c r="G543" s="3">
        <v>0</v>
      </c>
      <c r="H543" s="10">
        <v>0</v>
      </c>
      <c r="I543" s="10">
        <v>0</v>
      </c>
      <c r="J543" s="6">
        <v>0</v>
      </c>
    </row>
    <row r="544" spans="1:10">
      <c r="A544" t="s">
        <v>61</v>
      </c>
      <c r="B544">
        <v>1</v>
      </c>
      <c r="C544">
        <v>240</v>
      </c>
      <c r="D544" s="3">
        <v>2.0799999999999999E-2</v>
      </c>
      <c r="E544">
        <v>5</v>
      </c>
      <c r="F544">
        <v>0</v>
      </c>
      <c r="G544" s="3">
        <v>0.05</v>
      </c>
      <c r="H544" s="10">
        <v>0</v>
      </c>
      <c r="I544" s="10">
        <v>0</v>
      </c>
      <c r="J544" s="6">
        <v>0</v>
      </c>
    </row>
    <row r="545" spans="1:10">
      <c r="A545" t="s">
        <v>61</v>
      </c>
      <c r="B545">
        <v>1</v>
      </c>
      <c r="C545">
        <v>0</v>
      </c>
      <c r="D545" s="3">
        <v>0</v>
      </c>
      <c r="E545">
        <v>0</v>
      </c>
      <c r="F545">
        <v>0</v>
      </c>
      <c r="G545" s="3">
        <v>0</v>
      </c>
      <c r="H545" s="10">
        <v>0</v>
      </c>
      <c r="I545" s="10">
        <v>0</v>
      </c>
      <c r="J545" s="6">
        <v>0</v>
      </c>
    </row>
    <row r="546" spans="1:10">
      <c r="A546" t="s">
        <v>61</v>
      </c>
      <c r="B546">
        <v>1</v>
      </c>
      <c r="C546">
        <v>0</v>
      </c>
      <c r="D546" s="3">
        <v>0</v>
      </c>
      <c r="E546">
        <v>0</v>
      </c>
      <c r="F546">
        <v>0</v>
      </c>
      <c r="G546" s="3">
        <v>0</v>
      </c>
      <c r="H546" s="10">
        <v>0</v>
      </c>
      <c r="I546" s="10">
        <v>0</v>
      </c>
      <c r="J546" s="6">
        <v>0</v>
      </c>
    </row>
    <row r="547" spans="1:10">
      <c r="A547" t="s">
        <v>61</v>
      </c>
      <c r="B547">
        <v>1</v>
      </c>
      <c r="C547">
        <v>2</v>
      </c>
      <c r="D547" s="3">
        <v>0</v>
      </c>
      <c r="E547">
        <v>0</v>
      </c>
      <c r="F547">
        <v>0</v>
      </c>
      <c r="G547" s="3">
        <v>0.16670000000000001</v>
      </c>
      <c r="H547" s="10">
        <v>0</v>
      </c>
      <c r="I547" s="10">
        <v>0</v>
      </c>
      <c r="J547" s="6">
        <v>0</v>
      </c>
    </row>
    <row r="548" spans="1:10">
      <c r="A548" t="s">
        <v>81</v>
      </c>
      <c r="B548">
        <v>1</v>
      </c>
      <c r="C548">
        <v>0</v>
      </c>
      <c r="D548" s="3">
        <v>0</v>
      </c>
      <c r="E548">
        <v>0</v>
      </c>
      <c r="F548">
        <v>0</v>
      </c>
      <c r="G548" s="3">
        <v>0</v>
      </c>
      <c r="H548" s="10">
        <v>0</v>
      </c>
      <c r="I548" s="10">
        <v>0</v>
      </c>
      <c r="J548" s="6">
        <v>0</v>
      </c>
    </row>
    <row r="549" spans="1:10">
      <c r="A549" t="s">
        <v>79</v>
      </c>
      <c r="B549">
        <v>1</v>
      </c>
      <c r="C549">
        <v>0</v>
      </c>
      <c r="D549" s="3">
        <v>0</v>
      </c>
      <c r="E549">
        <v>0</v>
      </c>
      <c r="F549">
        <v>0</v>
      </c>
      <c r="G549" s="3">
        <v>0</v>
      </c>
      <c r="H549" s="10">
        <v>0</v>
      </c>
      <c r="I549" s="10">
        <v>0</v>
      </c>
      <c r="J549" s="6">
        <v>0</v>
      </c>
    </row>
    <row r="550" spans="1:10">
      <c r="A550" t="s">
        <v>79</v>
      </c>
      <c r="B550">
        <v>1</v>
      </c>
      <c r="C550">
        <v>0</v>
      </c>
      <c r="D550" s="3">
        <v>0</v>
      </c>
      <c r="E550">
        <v>0</v>
      </c>
      <c r="F550">
        <v>0</v>
      </c>
      <c r="G550" s="3">
        <v>0</v>
      </c>
      <c r="H550" s="10">
        <v>0</v>
      </c>
      <c r="I550" s="10">
        <v>0</v>
      </c>
      <c r="J550" s="6">
        <v>0</v>
      </c>
    </row>
    <row r="551" spans="1:10">
      <c r="A551" t="s">
        <v>79</v>
      </c>
      <c r="B551">
        <v>1</v>
      </c>
      <c r="C551">
        <v>0</v>
      </c>
      <c r="D551" s="3">
        <v>0</v>
      </c>
      <c r="E551">
        <v>0</v>
      </c>
      <c r="F551">
        <v>0</v>
      </c>
      <c r="G551" s="3">
        <v>0</v>
      </c>
      <c r="H551" s="10">
        <v>0</v>
      </c>
      <c r="I551" s="10">
        <v>0</v>
      </c>
      <c r="J551" s="6">
        <v>0</v>
      </c>
    </row>
    <row r="552" spans="1:10">
      <c r="A552" t="s">
        <v>82</v>
      </c>
      <c r="B552">
        <v>1</v>
      </c>
      <c r="C552">
        <v>154</v>
      </c>
      <c r="D552" s="3">
        <v>3.9E-2</v>
      </c>
      <c r="E552">
        <v>6</v>
      </c>
      <c r="F552">
        <v>0</v>
      </c>
      <c r="G552" s="3">
        <v>7.4100000000000001E-4</v>
      </c>
      <c r="H552" s="10">
        <v>0</v>
      </c>
      <c r="I552" s="10">
        <v>0</v>
      </c>
      <c r="J552" s="6">
        <v>0</v>
      </c>
    </row>
    <row r="553" spans="1:10">
      <c r="A553" t="s">
        <v>83</v>
      </c>
      <c r="B553">
        <v>1</v>
      </c>
      <c r="C553">
        <v>0</v>
      </c>
      <c r="D553" s="3">
        <v>0</v>
      </c>
      <c r="E553">
        <v>0</v>
      </c>
      <c r="F553">
        <v>0</v>
      </c>
      <c r="G553" s="3">
        <v>0</v>
      </c>
      <c r="H553" s="10">
        <v>0</v>
      </c>
      <c r="I553" s="10">
        <v>0</v>
      </c>
      <c r="J553" s="6">
        <v>0</v>
      </c>
    </row>
    <row r="554" spans="1:10">
      <c r="A554" t="s">
        <v>83</v>
      </c>
      <c r="B554">
        <v>1</v>
      </c>
      <c r="C554">
        <v>0</v>
      </c>
      <c r="D554" s="3">
        <v>0</v>
      </c>
      <c r="E554">
        <v>0</v>
      </c>
      <c r="F554">
        <v>0</v>
      </c>
      <c r="G554" s="3">
        <v>0</v>
      </c>
      <c r="H554" s="10">
        <v>0</v>
      </c>
      <c r="I554" s="10">
        <v>0</v>
      </c>
      <c r="J554" s="6">
        <v>0</v>
      </c>
    </row>
    <row r="555" spans="1:10">
      <c r="A555" t="s">
        <v>84</v>
      </c>
      <c r="B555">
        <v>1</v>
      </c>
      <c r="C555">
        <v>0</v>
      </c>
      <c r="D555" s="3">
        <v>0</v>
      </c>
      <c r="E555">
        <v>0</v>
      </c>
      <c r="F555">
        <v>0</v>
      </c>
      <c r="G555" s="3">
        <v>0</v>
      </c>
      <c r="H555" s="10">
        <v>0</v>
      </c>
      <c r="I555" s="10">
        <v>0</v>
      </c>
      <c r="J555" s="6">
        <v>0</v>
      </c>
    </row>
    <row r="556" spans="1:10">
      <c r="A556" t="s">
        <v>85</v>
      </c>
      <c r="B556">
        <v>1</v>
      </c>
      <c r="C556">
        <v>0</v>
      </c>
      <c r="D556" s="3">
        <v>0</v>
      </c>
      <c r="E556">
        <v>0</v>
      </c>
      <c r="F556">
        <v>0</v>
      </c>
      <c r="G556" s="3">
        <v>0</v>
      </c>
      <c r="H556" s="10">
        <v>0</v>
      </c>
      <c r="I556" s="10">
        <v>0</v>
      </c>
      <c r="J556" s="6">
        <v>0</v>
      </c>
    </row>
    <row r="557" spans="1:10">
      <c r="A557" t="s">
        <v>86</v>
      </c>
      <c r="B557">
        <v>1</v>
      </c>
      <c r="C557">
        <v>0</v>
      </c>
      <c r="D557" s="3">
        <v>0</v>
      </c>
      <c r="E557">
        <v>0</v>
      </c>
      <c r="F557">
        <v>0</v>
      </c>
      <c r="G557" s="3">
        <v>0</v>
      </c>
      <c r="H557" s="10">
        <v>0</v>
      </c>
      <c r="I557" s="10">
        <v>0</v>
      </c>
      <c r="J557" s="6">
        <v>0</v>
      </c>
    </row>
    <row r="558" spans="1:10">
      <c r="A558" t="s">
        <v>87</v>
      </c>
      <c r="B558">
        <v>1</v>
      </c>
      <c r="C558">
        <v>0</v>
      </c>
      <c r="D558" s="3">
        <v>0</v>
      </c>
      <c r="E558">
        <v>0</v>
      </c>
      <c r="F558">
        <v>0</v>
      </c>
      <c r="G558" s="3">
        <v>0</v>
      </c>
      <c r="H558" s="10">
        <v>0</v>
      </c>
      <c r="I558" s="10">
        <v>0</v>
      </c>
      <c r="J558" s="6">
        <v>0</v>
      </c>
    </row>
    <row r="559" spans="1:10">
      <c r="A559" t="s">
        <v>88</v>
      </c>
      <c r="B559">
        <v>1</v>
      </c>
      <c r="C559">
        <v>0</v>
      </c>
      <c r="D559" s="3">
        <v>0</v>
      </c>
      <c r="E559">
        <v>0</v>
      </c>
      <c r="F559">
        <v>0</v>
      </c>
      <c r="G559" s="3">
        <v>0</v>
      </c>
      <c r="H559" s="10">
        <v>0</v>
      </c>
      <c r="I559" s="10">
        <v>0</v>
      </c>
      <c r="J559" s="6">
        <v>0</v>
      </c>
    </row>
    <row r="560" spans="1:10">
      <c r="A560" t="s">
        <v>88</v>
      </c>
      <c r="B560">
        <v>1</v>
      </c>
      <c r="C560">
        <v>180</v>
      </c>
      <c r="D560" s="3">
        <v>7.7800000000000008E-2</v>
      </c>
      <c r="E560">
        <v>14</v>
      </c>
      <c r="F560">
        <v>0</v>
      </c>
      <c r="G560" s="3">
        <v>0.16670000000000001</v>
      </c>
      <c r="H560" s="10">
        <v>0</v>
      </c>
      <c r="I560" s="10">
        <v>0</v>
      </c>
      <c r="J560" s="6">
        <v>0</v>
      </c>
    </row>
    <row r="561" spans="1:10">
      <c r="A561" t="s">
        <v>89</v>
      </c>
      <c r="B561">
        <v>1</v>
      </c>
      <c r="C561">
        <v>0</v>
      </c>
      <c r="D561" s="3">
        <v>0</v>
      </c>
      <c r="E561">
        <v>0</v>
      </c>
      <c r="F561">
        <v>0</v>
      </c>
      <c r="G561" s="3">
        <v>0</v>
      </c>
      <c r="H561" s="10">
        <v>0</v>
      </c>
      <c r="I561" s="10">
        <v>0</v>
      </c>
      <c r="J561" s="6">
        <v>0</v>
      </c>
    </row>
    <row r="562" spans="1:10">
      <c r="A562" t="s">
        <v>89</v>
      </c>
      <c r="B562">
        <v>1</v>
      </c>
      <c r="C562">
        <v>63</v>
      </c>
      <c r="D562" s="3">
        <v>6.3500000000000001E-2</v>
      </c>
      <c r="E562">
        <v>4</v>
      </c>
      <c r="F562">
        <v>0</v>
      </c>
      <c r="G562" s="3">
        <v>0</v>
      </c>
      <c r="H562" s="10">
        <v>0</v>
      </c>
      <c r="I562" s="10">
        <v>0</v>
      </c>
      <c r="J562" s="6">
        <v>0</v>
      </c>
    </row>
    <row r="563" spans="1:10">
      <c r="A563" t="s">
        <v>90</v>
      </c>
      <c r="B563">
        <v>1</v>
      </c>
      <c r="C563">
        <v>225</v>
      </c>
      <c r="D563" s="3">
        <v>2.2200000000000001E-2</v>
      </c>
      <c r="E563">
        <v>5</v>
      </c>
      <c r="F563">
        <v>0</v>
      </c>
      <c r="G563" s="3">
        <v>7.1399999999999991E-2</v>
      </c>
      <c r="H563" s="10">
        <v>0</v>
      </c>
      <c r="I563" s="10">
        <v>0</v>
      </c>
      <c r="J563" s="6">
        <v>0</v>
      </c>
    </row>
    <row r="564" spans="1:10">
      <c r="A564" t="s">
        <v>91</v>
      </c>
      <c r="B564">
        <v>1</v>
      </c>
      <c r="C564">
        <v>0</v>
      </c>
      <c r="D564" s="3">
        <v>0</v>
      </c>
      <c r="E564">
        <v>0</v>
      </c>
      <c r="F564">
        <v>0</v>
      </c>
      <c r="G564" s="3">
        <v>0</v>
      </c>
      <c r="H564" s="10">
        <v>0</v>
      </c>
      <c r="I564" s="10">
        <v>0</v>
      </c>
      <c r="J564" s="6">
        <v>0</v>
      </c>
    </row>
    <row r="565" spans="1:10">
      <c r="A565" t="s">
        <v>91</v>
      </c>
      <c r="B565">
        <v>1</v>
      </c>
      <c r="C565">
        <v>0</v>
      </c>
      <c r="D565" s="3">
        <v>0</v>
      </c>
      <c r="E565">
        <v>0</v>
      </c>
      <c r="F565">
        <v>0</v>
      </c>
      <c r="G565" s="3">
        <v>0</v>
      </c>
      <c r="H565" s="10">
        <v>0</v>
      </c>
      <c r="I565" s="10">
        <v>0</v>
      </c>
      <c r="J565" s="6">
        <v>0</v>
      </c>
    </row>
    <row r="566" spans="1:10">
      <c r="A566" t="s">
        <v>91</v>
      </c>
      <c r="B566">
        <v>1</v>
      </c>
      <c r="C566">
        <v>0</v>
      </c>
      <c r="D566" s="3">
        <v>0</v>
      </c>
      <c r="E566">
        <v>0</v>
      </c>
      <c r="F566">
        <v>0</v>
      </c>
      <c r="G566" s="3">
        <v>0</v>
      </c>
      <c r="H566" s="10">
        <v>0</v>
      </c>
      <c r="I566" s="10">
        <v>0</v>
      </c>
      <c r="J566" s="6">
        <v>0</v>
      </c>
    </row>
    <row r="567" spans="1:10">
      <c r="A567" t="s">
        <v>91</v>
      </c>
      <c r="B567">
        <v>1</v>
      </c>
      <c r="C567">
        <v>0</v>
      </c>
      <c r="D567" s="3">
        <v>0</v>
      </c>
      <c r="E567">
        <v>0</v>
      </c>
      <c r="F567">
        <v>0</v>
      </c>
      <c r="G567" s="3">
        <v>0</v>
      </c>
      <c r="H567" s="10">
        <v>0</v>
      </c>
      <c r="I567" s="10">
        <v>0</v>
      </c>
      <c r="J567" s="6">
        <v>0</v>
      </c>
    </row>
    <row r="568" spans="1:10">
      <c r="A568" t="s">
        <v>91</v>
      </c>
      <c r="B568">
        <v>1</v>
      </c>
      <c r="C568">
        <v>0</v>
      </c>
      <c r="D568" s="3">
        <v>0</v>
      </c>
      <c r="E568">
        <v>0</v>
      </c>
      <c r="F568">
        <v>0</v>
      </c>
      <c r="G568" s="3">
        <v>0</v>
      </c>
      <c r="H568" s="10">
        <v>0</v>
      </c>
      <c r="I568" s="10">
        <v>0</v>
      </c>
      <c r="J568" s="6">
        <v>0</v>
      </c>
    </row>
    <row r="569" spans="1:10">
      <c r="A569" t="s">
        <v>91</v>
      </c>
      <c r="B569">
        <v>1</v>
      </c>
      <c r="C569">
        <v>0</v>
      </c>
      <c r="D569" s="3">
        <v>0</v>
      </c>
      <c r="E569">
        <v>0</v>
      </c>
      <c r="F569">
        <v>0</v>
      </c>
      <c r="G569" s="3">
        <v>0</v>
      </c>
      <c r="H569" s="10">
        <v>0</v>
      </c>
      <c r="I569" s="10">
        <v>0</v>
      </c>
      <c r="J569" s="6">
        <v>0</v>
      </c>
    </row>
    <row r="570" spans="1:10">
      <c r="A570" t="s">
        <v>91</v>
      </c>
      <c r="B570">
        <v>1</v>
      </c>
      <c r="C570">
        <v>0</v>
      </c>
      <c r="D570" s="3">
        <v>0</v>
      </c>
      <c r="E570">
        <v>0</v>
      </c>
      <c r="F570">
        <v>0</v>
      </c>
      <c r="G570" s="3">
        <v>0</v>
      </c>
      <c r="H570" s="10">
        <v>0</v>
      </c>
      <c r="I570" s="10">
        <v>0</v>
      </c>
      <c r="J570" s="6">
        <v>0</v>
      </c>
    </row>
    <row r="571" spans="1:10">
      <c r="A571" t="s">
        <v>91</v>
      </c>
      <c r="B571">
        <v>1</v>
      </c>
      <c r="C571">
        <v>0</v>
      </c>
      <c r="D571" s="3">
        <v>0</v>
      </c>
      <c r="E571">
        <v>0</v>
      </c>
      <c r="F571">
        <v>0</v>
      </c>
      <c r="G571" s="3">
        <v>0</v>
      </c>
      <c r="H571" s="10">
        <v>0</v>
      </c>
      <c r="I571" s="10">
        <v>0</v>
      </c>
      <c r="J571" s="6">
        <v>0</v>
      </c>
    </row>
    <row r="572" spans="1:10">
      <c r="A572" t="s">
        <v>91</v>
      </c>
      <c r="B572">
        <v>1</v>
      </c>
      <c r="C572">
        <v>0</v>
      </c>
      <c r="D572" s="3">
        <v>0</v>
      </c>
      <c r="E572">
        <v>0</v>
      </c>
      <c r="F572">
        <v>0</v>
      </c>
      <c r="G572" s="3">
        <v>0</v>
      </c>
      <c r="H572" s="10">
        <v>0</v>
      </c>
      <c r="I572" s="10">
        <v>0</v>
      </c>
      <c r="J572" s="6">
        <v>0</v>
      </c>
    </row>
    <row r="573" spans="1:10">
      <c r="A573" t="s">
        <v>91</v>
      </c>
      <c r="B573">
        <v>1</v>
      </c>
      <c r="C573">
        <v>0</v>
      </c>
      <c r="D573" s="3">
        <v>0</v>
      </c>
      <c r="E573">
        <v>0</v>
      </c>
      <c r="F573">
        <v>0</v>
      </c>
      <c r="G573" s="3">
        <v>0</v>
      </c>
      <c r="H573" s="10">
        <v>0</v>
      </c>
      <c r="I573" s="10">
        <v>0</v>
      </c>
      <c r="J573" s="6">
        <v>0</v>
      </c>
    </row>
    <row r="574" spans="1:10">
      <c r="A574" t="s">
        <v>92</v>
      </c>
      <c r="B574">
        <v>1</v>
      </c>
      <c r="C574">
        <v>0</v>
      </c>
      <c r="D574" s="3">
        <v>0</v>
      </c>
      <c r="E574">
        <v>0</v>
      </c>
      <c r="F574">
        <v>0</v>
      </c>
      <c r="G574" s="3">
        <v>0</v>
      </c>
      <c r="H574" s="10">
        <v>0</v>
      </c>
      <c r="I574" s="10">
        <v>0</v>
      </c>
      <c r="J574" s="6">
        <v>0</v>
      </c>
    </row>
    <row r="575" spans="1:10">
      <c r="A575" t="s">
        <v>92</v>
      </c>
      <c r="B575">
        <v>1</v>
      </c>
      <c r="C575">
        <v>0</v>
      </c>
      <c r="D575" s="3">
        <v>0</v>
      </c>
      <c r="E575">
        <v>0</v>
      </c>
      <c r="F575">
        <v>0</v>
      </c>
      <c r="G575" s="3">
        <v>0</v>
      </c>
      <c r="H575" s="10">
        <v>0</v>
      </c>
      <c r="I575" s="10">
        <v>0</v>
      </c>
      <c r="J575" s="6">
        <v>0</v>
      </c>
    </row>
    <row r="576" spans="1:10">
      <c r="A576" t="s">
        <v>92</v>
      </c>
      <c r="B576">
        <v>1</v>
      </c>
      <c r="C576">
        <v>160</v>
      </c>
      <c r="D576" s="3">
        <v>1.8799999999999997E-2</v>
      </c>
      <c r="E576">
        <v>3</v>
      </c>
      <c r="F576">
        <v>0</v>
      </c>
      <c r="G576" s="3">
        <v>1.379E-3</v>
      </c>
      <c r="H576" s="10">
        <v>0</v>
      </c>
      <c r="I576" s="10">
        <v>0</v>
      </c>
      <c r="J576" s="6">
        <v>0</v>
      </c>
    </row>
    <row r="577" spans="1:10">
      <c r="A577" t="s">
        <v>92</v>
      </c>
      <c r="B577">
        <v>1</v>
      </c>
      <c r="C577">
        <v>196</v>
      </c>
      <c r="D577" s="3">
        <v>2.0400000000000001E-2</v>
      </c>
      <c r="E577">
        <v>4</v>
      </c>
      <c r="F577">
        <v>0</v>
      </c>
      <c r="G577" s="3">
        <v>3.3300000000000003E-2</v>
      </c>
      <c r="H577" s="10">
        <v>0</v>
      </c>
      <c r="I577" s="10">
        <v>0</v>
      </c>
      <c r="J577" s="6">
        <v>0</v>
      </c>
    </row>
    <row r="578" spans="1:10">
      <c r="A578" t="s">
        <v>92</v>
      </c>
      <c r="B578">
        <v>1</v>
      </c>
      <c r="C578">
        <v>168</v>
      </c>
      <c r="D578" s="3">
        <v>2.3799999999999998E-2</v>
      </c>
      <c r="E578">
        <v>4</v>
      </c>
      <c r="F578">
        <v>0</v>
      </c>
      <c r="G578" s="3">
        <v>7.6900000000000015E-4</v>
      </c>
      <c r="H578" s="10">
        <v>0</v>
      </c>
      <c r="I578" s="10">
        <v>0</v>
      </c>
      <c r="J578" s="6">
        <v>0</v>
      </c>
    </row>
    <row r="579" spans="1:10">
      <c r="A579" t="s">
        <v>92</v>
      </c>
      <c r="B579">
        <v>1</v>
      </c>
      <c r="C579">
        <v>0</v>
      </c>
      <c r="D579" s="3">
        <v>0</v>
      </c>
      <c r="E579">
        <v>0</v>
      </c>
      <c r="F579">
        <v>0</v>
      </c>
      <c r="G579" s="3">
        <v>0</v>
      </c>
      <c r="H579" s="10">
        <v>0</v>
      </c>
      <c r="I579" s="10">
        <v>0</v>
      </c>
      <c r="J579" s="6">
        <v>0</v>
      </c>
    </row>
    <row r="580" spans="1:10">
      <c r="A580" t="s">
        <v>92</v>
      </c>
      <c r="B580">
        <v>1</v>
      </c>
      <c r="C580">
        <v>103</v>
      </c>
      <c r="D580" s="3">
        <v>2.9100000000000001E-2</v>
      </c>
      <c r="E580">
        <v>3</v>
      </c>
      <c r="F580">
        <v>0</v>
      </c>
      <c r="G580" s="3">
        <v>0</v>
      </c>
      <c r="H580" s="10">
        <v>0</v>
      </c>
      <c r="I580" s="10">
        <v>0</v>
      </c>
      <c r="J580" s="6">
        <v>0</v>
      </c>
    </row>
    <row r="581" spans="1:10">
      <c r="A581" t="s">
        <v>92</v>
      </c>
      <c r="B581">
        <v>1</v>
      </c>
      <c r="C581">
        <v>152</v>
      </c>
      <c r="D581" s="3">
        <v>1.32E-2</v>
      </c>
      <c r="E581">
        <v>2</v>
      </c>
      <c r="F581">
        <v>0</v>
      </c>
      <c r="G581" s="3">
        <v>1.6670000000000001E-3</v>
      </c>
      <c r="H581" s="10">
        <v>0</v>
      </c>
      <c r="I581" s="10">
        <v>0</v>
      </c>
      <c r="J581" s="6">
        <v>0</v>
      </c>
    </row>
    <row r="582" spans="1:10">
      <c r="A582" t="s">
        <v>92</v>
      </c>
      <c r="B582">
        <v>1</v>
      </c>
      <c r="C582">
        <v>226</v>
      </c>
      <c r="D582" s="3">
        <v>1.77E-2</v>
      </c>
      <c r="E582">
        <v>4</v>
      </c>
      <c r="F582">
        <v>2</v>
      </c>
      <c r="G582" s="3">
        <v>5.2600000000000001E-2</v>
      </c>
      <c r="H582" s="10">
        <v>5.04</v>
      </c>
      <c r="I582" s="10">
        <v>10.07</v>
      </c>
      <c r="J582" s="6">
        <v>20.14</v>
      </c>
    </row>
    <row r="583" spans="1:10">
      <c r="A583" t="s">
        <v>92</v>
      </c>
      <c r="B583">
        <v>1</v>
      </c>
      <c r="C583">
        <v>92</v>
      </c>
      <c r="D583" s="3">
        <v>2.1700000000000001E-2</v>
      </c>
      <c r="E583">
        <v>2</v>
      </c>
      <c r="F583">
        <v>0</v>
      </c>
      <c r="G583" s="3">
        <v>0</v>
      </c>
      <c r="H583" s="10">
        <v>0</v>
      </c>
      <c r="I583" s="10">
        <v>0</v>
      </c>
      <c r="J583" s="6">
        <v>0</v>
      </c>
    </row>
    <row r="584" spans="1:10">
      <c r="A584" t="s">
        <v>82</v>
      </c>
      <c r="B584">
        <v>1</v>
      </c>
      <c r="C584">
        <v>0</v>
      </c>
      <c r="D584" s="3">
        <v>0</v>
      </c>
      <c r="E584">
        <v>0</v>
      </c>
      <c r="F584">
        <v>0</v>
      </c>
      <c r="G584" s="3">
        <v>0</v>
      </c>
      <c r="H584" s="10">
        <v>0</v>
      </c>
      <c r="I584" s="10">
        <v>0</v>
      </c>
      <c r="J584" s="6">
        <v>0</v>
      </c>
    </row>
    <row r="585" spans="1:10">
      <c r="A585" t="s">
        <v>82</v>
      </c>
      <c r="B585">
        <v>1</v>
      </c>
      <c r="C585">
        <v>0</v>
      </c>
      <c r="D585" s="3">
        <v>0</v>
      </c>
      <c r="E585">
        <v>0</v>
      </c>
      <c r="F585">
        <v>0</v>
      </c>
      <c r="G585" s="3">
        <v>0</v>
      </c>
      <c r="H585" s="10">
        <v>0</v>
      </c>
      <c r="I585" s="10">
        <v>0</v>
      </c>
      <c r="J585" s="6">
        <v>0</v>
      </c>
    </row>
    <row r="586" spans="1:10">
      <c r="A586" t="s">
        <v>82</v>
      </c>
      <c r="B586">
        <v>1</v>
      </c>
      <c r="C586">
        <v>0</v>
      </c>
      <c r="D586" s="3">
        <v>0</v>
      </c>
      <c r="E586">
        <v>0</v>
      </c>
      <c r="F586">
        <v>0</v>
      </c>
      <c r="G586" s="3">
        <v>0</v>
      </c>
      <c r="H586" s="10">
        <v>0</v>
      </c>
      <c r="I586" s="10">
        <v>0</v>
      </c>
      <c r="J586" s="6">
        <v>0</v>
      </c>
    </row>
    <row r="587" spans="1:10">
      <c r="A587" t="s">
        <v>82</v>
      </c>
      <c r="B587">
        <v>1</v>
      </c>
      <c r="C587">
        <v>127</v>
      </c>
      <c r="D587" s="3">
        <v>5.5099999999999996E-2</v>
      </c>
      <c r="E587">
        <v>7</v>
      </c>
      <c r="F587">
        <v>1</v>
      </c>
      <c r="G587" s="3">
        <v>8.3299999999999997E-4</v>
      </c>
      <c r="H587" s="10">
        <v>1.35</v>
      </c>
      <c r="I587" s="10">
        <v>9.43</v>
      </c>
      <c r="J587" s="6">
        <v>9.43</v>
      </c>
    </row>
    <row r="588" spans="1:10">
      <c r="A588" t="s">
        <v>82</v>
      </c>
      <c r="B588">
        <v>1</v>
      </c>
      <c r="C588">
        <v>0</v>
      </c>
      <c r="D588" s="3">
        <v>0</v>
      </c>
      <c r="E588">
        <v>0</v>
      </c>
      <c r="F588">
        <v>0</v>
      </c>
      <c r="G588" s="3">
        <v>0</v>
      </c>
      <c r="H588" s="10">
        <v>0</v>
      </c>
      <c r="I588" s="10">
        <v>0</v>
      </c>
      <c r="J588" s="6">
        <v>0</v>
      </c>
    </row>
    <row r="589" spans="1:10">
      <c r="A589" t="s">
        <v>82</v>
      </c>
      <c r="B589">
        <v>1</v>
      </c>
      <c r="C589">
        <v>0</v>
      </c>
      <c r="D589" s="3">
        <v>0</v>
      </c>
      <c r="E589">
        <v>0</v>
      </c>
      <c r="F589">
        <v>0</v>
      </c>
      <c r="G589" s="3">
        <v>0</v>
      </c>
      <c r="H589" s="10">
        <v>0</v>
      </c>
      <c r="I589" s="10">
        <v>0</v>
      </c>
      <c r="J589" s="6">
        <v>0</v>
      </c>
    </row>
    <row r="590" spans="1:10">
      <c r="A590" t="s">
        <v>82</v>
      </c>
      <c r="B590">
        <v>1</v>
      </c>
      <c r="C590">
        <v>89</v>
      </c>
      <c r="D590" s="3">
        <v>6.7400000000000002E-2</v>
      </c>
      <c r="E590">
        <v>6</v>
      </c>
      <c r="F590">
        <v>0</v>
      </c>
      <c r="G590" s="3">
        <v>0</v>
      </c>
      <c r="H590" s="10">
        <v>0</v>
      </c>
      <c r="I590" s="10">
        <v>0</v>
      </c>
      <c r="J590" s="6">
        <v>0</v>
      </c>
    </row>
    <row r="591" spans="1:10">
      <c r="A591" t="s">
        <v>82</v>
      </c>
      <c r="B591">
        <v>1</v>
      </c>
      <c r="C591">
        <v>95</v>
      </c>
      <c r="D591" s="3">
        <v>5.2600000000000001E-2</v>
      </c>
      <c r="E591">
        <v>5</v>
      </c>
      <c r="F591">
        <v>0</v>
      </c>
      <c r="G591" s="3">
        <v>0</v>
      </c>
      <c r="H591" s="10">
        <v>0</v>
      </c>
      <c r="I591" s="10">
        <v>0</v>
      </c>
      <c r="J591" s="6">
        <v>0</v>
      </c>
    </row>
    <row r="592" spans="1:10">
      <c r="A592" t="s">
        <v>82</v>
      </c>
      <c r="B592">
        <v>1</v>
      </c>
      <c r="C592">
        <v>0</v>
      </c>
      <c r="D592" s="3">
        <v>0</v>
      </c>
      <c r="E592">
        <v>0</v>
      </c>
      <c r="F592">
        <v>0</v>
      </c>
      <c r="G592" s="3">
        <v>0</v>
      </c>
      <c r="H592" s="10">
        <v>0</v>
      </c>
      <c r="I592" s="10">
        <v>0</v>
      </c>
      <c r="J592" s="6">
        <v>0</v>
      </c>
    </row>
    <row r="593" spans="1:10">
      <c r="A593" t="s">
        <v>82</v>
      </c>
      <c r="B593">
        <v>1</v>
      </c>
      <c r="C593">
        <v>0</v>
      </c>
      <c r="D593" s="3">
        <v>0</v>
      </c>
      <c r="E593">
        <v>0</v>
      </c>
      <c r="F593">
        <v>0</v>
      </c>
      <c r="G593" s="3">
        <v>0</v>
      </c>
      <c r="H593" s="10">
        <v>0</v>
      </c>
      <c r="I593" s="10">
        <v>0</v>
      </c>
      <c r="J593" s="6">
        <v>0</v>
      </c>
    </row>
    <row r="594" spans="1:10">
      <c r="A594" t="s">
        <v>82</v>
      </c>
      <c r="B594">
        <v>1</v>
      </c>
      <c r="C594">
        <v>0</v>
      </c>
      <c r="D594" s="3">
        <v>0</v>
      </c>
      <c r="E594">
        <v>0</v>
      </c>
      <c r="F594">
        <v>0</v>
      </c>
      <c r="G594" s="3">
        <v>0</v>
      </c>
      <c r="H594" s="10">
        <v>0</v>
      </c>
      <c r="I594" s="10">
        <v>0</v>
      </c>
      <c r="J594" s="6">
        <v>0</v>
      </c>
    </row>
    <row r="595" spans="1:10">
      <c r="A595" t="s">
        <v>82</v>
      </c>
      <c r="B595">
        <v>1</v>
      </c>
      <c r="C595">
        <v>0</v>
      </c>
      <c r="D595" s="3">
        <v>0</v>
      </c>
      <c r="E595">
        <v>0</v>
      </c>
      <c r="F595">
        <v>0</v>
      </c>
      <c r="G595" s="3">
        <v>0</v>
      </c>
      <c r="H595" s="10">
        <v>0</v>
      </c>
      <c r="I595" s="10">
        <v>0</v>
      </c>
      <c r="J595" s="6">
        <v>0</v>
      </c>
    </row>
    <row r="596" spans="1:10">
      <c r="A596" t="s">
        <v>82</v>
      </c>
      <c r="B596">
        <v>1</v>
      </c>
      <c r="C596">
        <v>0</v>
      </c>
      <c r="D596" s="3">
        <v>0</v>
      </c>
      <c r="E596">
        <v>0</v>
      </c>
      <c r="F596">
        <v>0</v>
      </c>
      <c r="G596" s="3">
        <v>0</v>
      </c>
      <c r="H596" s="10">
        <v>0</v>
      </c>
      <c r="I596" s="10">
        <v>0</v>
      </c>
      <c r="J596" s="6">
        <v>0</v>
      </c>
    </row>
    <row r="597" spans="1:10">
      <c r="A597" t="s">
        <v>82</v>
      </c>
      <c r="B597">
        <v>1</v>
      </c>
      <c r="C597">
        <v>0</v>
      </c>
      <c r="D597" s="3">
        <v>0</v>
      </c>
      <c r="E597">
        <v>0</v>
      </c>
      <c r="F597">
        <v>0</v>
      </c>
      <c r="G597" s="3">
        <v>0</v>
      </c>
      <c r="H597" s="10">
        <v>0</v>
      </c>
      <c r="I597" s="10">
        <v>0</v>
      </c>
      <c r="J597" s="6">
        <v>0</v>
      </c>
    </row>
    <row r="598" spans="1:10">
      <c r="A598" t="s">
        <v>82</v>
      </c>
      <c r="B598">
        <v>1</v>
      </c>
      <c r="C598">
        <v>109</v>
      </c>
      <c r="D598" s="3">
        <v>4.5899999999999996E-2</v>
      </c>
      <c r="E598">
        <v>5</v>
      </c>
      <c r="F598">
        <v>0</v>
      </c>
      <c r="G598" s="3">
        <v>5.0000000000000001E-3</v>
      </c>
      <c r="H598" s="10">
        <v>0</v>
      </c>
      <c r="I598" s="10">
        <v>0</v>
      </c>
      <c r="J598" s="6">
        <v>0</v>
      </c>
    </row>
    <row r="599" spans="1:10">
      <c r="A599" t="s">
        <v>82</v>
      </c>
      <c r="B599">
        <v>1</v>
      </c>
      <c r="C599">
        <v>120</v>
      </c>
      <c r="D599" s="3">
        <v>2.5000000000000001E-2</v>
      </c>
      <c r="E599">
        <v>3</v>
      </c>
      <c r="F599">
        <v>0</v>
      </c>
      <c r="G599" s="3">
        <v>7.6900000000000015E-4</v>
      </c>
      <c r="H599" s="10">
        <v>0</v>
      </c>
      <c r="I599" s="10">
        <v>0</v>
      </c>
      <c r="J599" s="6">
        <v>0</v>
      </c>
    </row>
    <row r="600" spans="1:10">
      <c r="A600" t="s">
        <v>93</v>
      </c>
      <c r="B600">
        <v>1</v>
      </c>
      <c r="C600">
        <v>0</v>
      </c>
      <c r="D600" s="3">
        <v>0</v>
      </c>
      <c r="E600">
        <v>0</v>
      </c>
      <c r="F600">
        <v>0</v>
      </c>
      <c r="G600" s="3">
        <v>0</v>
      </c>
      <c r="H600" s="10">
        <v>0</v>
      </c>
      <c r="I600" s="10">
        <v>0</v>
      </c>
      <c r="J600" s="6">
        <v>0</v>
      </c>
    </row>
    <row r="601" spans="1:10">
      <c r="A601" t="s">
        <v>93</v>
      </c>
      <c r="B601">
        <v>1</v>
      </c>
      <c r="C601">
        <v>0</v>
      </c>
      <c r="D601" s="3">
        <v>0</v>
      </c>
      <c r="E601">
        <v>0</v>
      </c>
      <c r="F601">
        <v>0</v>
      </c>
      <c r="G601" s="3">
        <v>0</v>
      </c>
      <c r="H601" s="10">
        <v>0</v>
      </c>
      <c r="I601" s="10">
        <v>0</v>
      </c>
      <c r="J601" s="6">
        <v>0</v>
      </c>
    </row>
    <row r="602" spans="1:10">
      <c r="A602" t="s">
        <v>93</v>
      </c>
      <c r="B602">
        <v>1</v>
      </c>
      <c r="C602">
        <v>0</v>
      </c>
      <c r="D602" s="3">
        <v>0</v>
      </c>
      <c r="E602">
        <v>0</v>
      </c>
      <c r="F602">
        <v>0</v>
      </c>
      <c r="G602" s="3">
        <v>0</v>
      </c>
      <c r="H602" s="10">
        <v>0</v>
      </c>
      <c r="I602" s="10">
        <v>0</v>
      </c>
      <c r="J602" s="6">
        <v>0</v>
      </c>
    </row>
    <row r="603" spans="1:10">
      <c r="A603" t="s">
        <v>94</v>
      </c>
      <c r="B603">
        <v>1</v>
      </c>
      <c r="C603">
        <v>0</v>
      </c>
      <c r="D603" s="3">
        <v>0</v>
      </c>
      <c r="E603">
        <v>0</v>
      </c>
      <c r="F603">
        <v>0</v>
      </c>
      <c r="G603" s="3">
        <v>0</v>
      </c>
      <c r="H603" s="10">
        <v>0</v>
      </c>
      <c r="I603" s="10">
        <v>0</v>
      </c>
      <c r="J603" s="6">
        <v>0</v>
      </c>
    </row>
    <row r="604" spans="1:10">
      <c r="A604" t="s">
        <v>94</v>
      </c>
      <c r="B604">
        <v>1</v>
      </c>
      <c r="C604">
        <v>121</v>
      </c>
      <c r="D604" s="3">
        <v>3.3099999999999997E-2</v>
      </c>
      <c r="E604">
        <v>4</v>
      </c>
      <c r="F604">
        <v>0</v>
      </c>
      <c r="G604" s="3">
        <v>4.0000000000000001E-3</v>
      </c>
      <c r="H604" s="10">
        <v>0</v>
      </c>
      <c r="I604" s="10">
        <v>0</v>
      </c>
      <c r="J604" s="6">
        <v>0</v>
      </c>
    </row>
    <row r="605" spans="1:10">
      <c r="A605" t="s">
        <v>94</v>
      </c>
      <c r="B605">
        <v>1</v>
      </c>
      <c r="C605">
        <v>138</v>
      </c>
      <c r="D605" s="3">
        <v>4.3499999999999997E-2</v>
      </c>
      <c r="E605">
        <v>6</v>
      </c>
      <c r="F605">
        <v>0</v>
      </c>
      <c r="G605" s="3">
        <v>8.3299999999999997E-4</v>
      </c>
      <c r="H605" s="10">
        <v>0</v>
      </c>
      <c r="I605" s="10">
        <v>0</v>
      </c>
      <c r="J605" s="6">
        <v>0</v>
      </c>
    </row>
    <row r="606" spans="1:10">
      <c r="A606" t="s">
        <v>95</v>
      </c>
      <c r="B606">
        <v>1</v>
      </c>
      <c r="C606">
        <v>0</v>
      </c>
      <c r="D606" s="3">
        <v>0</v>
      </c>
      <c r="E606">
        <v>0</v>
      </c>
      <c r="F606">
        <v>0</v>
      </c>
      <c r="G606" s="3">
        <v>0</v>
      </c>
      <c r="H606" s="10">
        <v>0</v>
      </c>
      <c r="I606" s="10">
        <v>0</v>
      </c>
      <c r="J606" s="6">
        <v>0</v>
      </c>
    </row>
    <row r="607" spans="1:10">
      <c r="A607" t="s">
        <v>95</v>
      </c>
      <c r="B607">
        <v>1</v>
      </c>
      <c r="C607">
        <v>0</v>
      </c>
      <c r="D607" s="3">
        <v>0</v>
      </c>
      <c r="E607">
        <v>0</v>
      </c>
      <c r="F607">
        <v>0</v>
      </c>
      <c r="G607" s="3">
        <v>0</v>
      </c>
      <c r="H607" s="10">
        <v>0</v>
      </c>
      <c r="I607" s="10">
        <v>0</v>
      </c>
      <c r="J607" s="6">
        <v>0</v>
      </c>
    </row>
    <row r="608" spans="1:10">
      <c r="A608" t="s">
        <v>95</v>
      </c>
      <c r="B608">
        <v>1</v>
      </c>
      <c r="C608">
        <v>0</v>
      </c>
      <c r="D608" s="3">
        <v>0</v>
      </c>
      <c r="E608">
        <v>0</v>
      </c>
      <c r="F608">
        <v>0</v>
      </c>
      <c r="G608" s="3">
        <v>0</v>
      </c>
      <c r="H608" s="10">
        <v>0</v>
      </c>
      <c r="I608" s="10">
        <v>0</v>
      </c>
      <c r="J608" s="6">
        <v>0</v>
      </c>
    </row>
    <row r="609" spans="1:10">
      <c r="A609" t="s">
        <v>95</v>
      </c>
      <c r="B609">
        <v>1</v>
      </c>
      <c r="C609">
        <v>0</v>
      </c>
      <c r="D609" s="3">
        <v>0</v>
      </c>
      <c r="E609">
        <v>0</v>
      </c>
      <c r="F609">
        <v>0</v>
      </c>
      <c r="G609" s="3">
        <v>0</v>
      </c>
      <c r="H609" s="10">
        <v>0</v>
      </c>
      <c r="I609" s="10">
        <v>0</v>
      </c>
      <c r="J609" s="6">
        <v>0</v>
      </c>
    </row>
    <row r="610" spans="1:10">
      <c r="A610" t="s">
        <v>95</v>
      </c>
      <c r="B610">
        <v>1</v>
      </c>
      <c r="C610">
        <v>0</v>
      </c>
      <c r="D610" s="3">
        <v>0</v>
      </c>
      <c r="E610">
        <v>0</v>
      </c>
      <c r="F610">
        <v>0</v>
      </c>
      <c r="G610" s="3">
        <v>0</v>
      </c>
      <c r="H610" s="10">
        <v>0</v>
      </c>
      <c r="I610" s="10">
        <v>0</v>
      </c>
      <c r="J610" s="6">
        <v>0</v>
      </c>
    </row>
    <row r="611" spans="1:10">
      <c r="A611" t="s">
        <v>95</v>
      </c>
      <c r="B611">
        <v>1</v>
      </c>
      <c r="C611">
        <v>0</v>
      </c>
      <c r="D611" s="3">
        <v>0</v>
      </c>
      <c r="E611">
        <v>0</v>
      </c>
      <c r="F611">
        <v>0</v>
      </c>
      <c r="G611" s="3">
        <v>0</v>
      </c>
      <c r="H611" s="10">
        <v>0</v>
      </c>
      <c r="I611" s="10">
        <v>0</v>
      </c>
      <c r="J611" s="6">
        <v>0</v>
      </c>
    </row>
    <row r="612" spans="1:10">
      <c r="A612" t="s">
        <v>95</v>
      </c>
      <c r="B612">
        <v>1</v>
      </c>
      <c r="C612">
        <v>0</v>
      </c>
      <c r="D612" s="3">
        <v>0</v>
      </c>
      <c r="E612">
        <v>0</v>
      </c>
      <c r="F612">
        <v>0</v>
      </c>
      <c r="G612" s="3">
        <v>0</v>
      </c>
      <c r="H612" s="10">
        <v>0</v>
      </c>
      <c r="I612" s="10">
        <v>0</v>
      </c>
      <c r="J612" s="6">
        <v>0</v>
      </c>
    </row>
    <row r="613" spans="1:10">
      <c r="A613" t="s">
        <v>95</v>
      </c>
      <c r="B613">
        <v>1</v>
      </c>
      <c r="C613">
        <v>0</v>
      </c>
      <c r="D613" s="3">
        <v>0</v>
      </c>
      <c r="E613">
        <v>0</v>
      </c>
      <c r="F613">
        <v>0</v>
      </c>
      <c r="G613" s="3">
        <v>0</v>
      </c>
      <c r="H613" s="10">
        <v>0</v>
      </c>
      <c r="I613" s="10">
        <v>0</v>
      </c>
      <c r="J613" s="6">
        <v>0</v>
      </c>
    </row>
    <row r="614" spans="1:10">
      <c r="A614" t="s">
        <v>95</v>
      </c>
      <c r="B614">
        <v>1</v>
      </c>
      <c r="C614">
        <v>0</v>
      </c>
      <c r="D614" s="3">
        <v>0</v>
      </c>
      <c r="E614">
        <v>0</v>
      </c>
      <c r="F614">
        <v>0</v>
      </c>
      <c r="G614" s="3">
        <v>0</v>
      </c>
      <c r="H614" s="10">
        <v>0</v>
      </c>
      <c r="I614" s="10">
        <v>0</v>
      </c>
      <c r="J614" s="6">
        <v>0</v>
      </c>
    </row>
    <row r="615" spans="1:10">
      <c r="A615" t="s">
        <v>96</v>
      </c>
      <c r="B615">
        <v>1</v>
      </c>
      <c r="C615">
        <v>0</v>
      </c>
      <c r="D615" s="3">
        <v>0</v>
      </c>
      <c r="E615">
        <v>0</v>
      </c>
      <c r="F615">
        <v>0</v>
      </c>
      <c r="G615" s="3">
        <v>0</v>
      </c>
      <c r="H615" s="10">
        <v>0</v>
      </c>
      <c r="I615" s="10">
        <v>0</v>
      </c>
      <c r="J615" s="6">
        <v>0</v>
      </c>
    </row>
    <row r="616" spans="1:10">
      <c r="A616" t="s">
        <v>96</v>
      </c>
      <c r="B616">
        <v>1</v>
      </c>
      <c r="C616">
        <v>0</v>
      </c>
      <c r="D616" s="3">
        <v>0</v>
      </c>
      <c r="E616">
        <v>0</v>
      </c>
      <c r="F616">
        <v>0</v>
      </c>
      <c r="G616" s="3">
        <v>0</v>
      </c>
      <c r="H616" s="10">
        <v>0</v>
      </c>
      <c r="I616" s="10">
        <v>0</v>
      </c>
      <c r="J616" s="6">
        <v>0</v>
      </c>
    </row>
    <row r="617" spans="1:10">
      <c r="A617" t="s">
        <v>96</v>
      </c>
      <c r="B617">
        <v>1</v>
      </c>
      <c r="C617">
        <v>0</v>
      </c>
      <c r="D617" s="3">
        <v>0</v>
      </c>
      <c r="E617">
        <v>0</v>
      </c>
      <c r="F617">
        <v>0</v>
      </c>
      <c r="G617" s="3">
        <v>0</v>
      </c>
      <c r="H617" s="10">
        <v>0</v>
      </c>
      <c r="I617" s="10">
        <v>0</v>
      </c>
      <c r="J617" s="6">
        <v>0</v>
      </c>
    </row>
    <row r="618" spans="1:10">
      <c r="A618" t="s">
        <v>96</v>
      </c>
      <c r="B618">
        <v>1</v>
      </c>
      <c r="C618">
        <v>0</v>
      </c>
      <c r="D618" s="3">
        <v>0</v>
      </c>
      <c r="E618">
        <v>0</v>
      </c>
      <c r="F618">
        <v>0</v>
      </c>
      <c r="G618" s="3">
        <v>0</v>
      </c>
      <c r="H618" s="10">
        <v>0</v>
      </c>
      <c r="I618" s="10">
        <v>0</v>
      </c>
      <c r="J618" s="6">
        <v>0</v>
      </c>
    </row>
    <row r="619" spans="1:10">
      <c r="A619" t="s">
        <v>96</v>
      </c>
      <c r="B619">
        <v>1</v>
      </c>
      <c r="C619">
        <v>0</v>
      </c>
      <c r="D619" s="3">
        <v>0</v>
      </c>
      <c r="E619">
        <v>0</v>
      </c>
      <c r="F619">
        <v>0</v>
      </c>
      <c r="G619" s="3">
        <v>0</v>
      </c>
      <c r="H619" s="10">
        <v>0</v>
      </c>
      <c r="I619" s="10">
        <v>0</v>
      </c>
      <c r="J619" s="6">
        <v>0</v>
      </c>
    </row>
    <row r="620" spans="1:10">
      <c r="A620" t="s">
        <v>96</v>
      </c>
      <c r="B620">
        <v>1</v>
      </c>
      <c r="C620">
        <v>0</v>
      </c>
      <c r="D620" s="3">
        <v>0</v>
      </c>
      <c r="E620">
        <v>0</v>
      </c>
      <c r="F620">
        <v>0</v>
      </c>
      <c r="G620" s="3">
        <v>0</v>
      </c>
      <c r="H620" s="10">
        <v>0</v>
      </c>
      <c r="I620" s="10">
        <v>0</v>
      </c>
      <c r="J620" s="6">
        <v>0</v>
      </c>
    </row>
    <row r="621" spans="1:10">
      <c r="A621" t="s">
        <v>96</v>
      </c>
      <c r="B621">
        <v>1</v>
      </c>
      <c r="C621">
        <v>0</v>
      </c>
      <c r="D621" s="3">
        <v>0</v>
      </c>
      <c r="E621">
        <v>0</v>
      </c>
      <c r="F621">
        <v>0</v>
      </c>
      <c r="G621" s="3">
        <v>0</v>
      </c>
      <c r="H621" s="10">
        <v>0</v>
      </c>
      <c r="I621" s="10">
        <v>0</v>
      </c>
      <c r="J621" s="6">
        <v>0</v>
      </c>
    </row>
    <row r="622" spans="1:10">
      <c r="A622" t="s">
        <v>96</v>
      </c>
      <c r="B622">
        <v>1</v>
      </c>
      <c r="C622">
        <v>0</v>
      </c>
      <c r="D622" s="3">
        <v>0</v>
      </c>
      <c r="E622">
        <v>0</v>
      </c>
      <c r="F622">
        <v>0</v>
      </c>
      <c r="G622" s="3">
        <v>0</v>
      </c>
      <c r="H622" s="10">
        <v>0</v>
      </c>
      <c r="I622" s="10">
        <v>0</v>
      </c>
      <c r="J622" s="6">
        <v>0</v>
      </c>
    </row>
    <row r="623" spans="1:10">
      <c r="A623" t="s">
        <v>96</v>
      </c>
      <c r="B623">
        <v>1</v>
      </c>
      <c r="C623">
        <v>0</v>
      </c>
      <c r="D623" s="3">
        <v>0</v>
      </c>
      <c r="E623">
        <v>0</v>
      </c>
      <c r="F623">
        <v>0</v>
      </c>
      <c r="G623" s="3">
        <v>0</v>
      </c>
      <c r="H623" s="10">
        <v>0</v>
      </c>
      <c r="I623" s="10">
        <v>0</v>
      </c>
      <c r="J623" s="6">
        <v>0</v>
      </c>
    </row>
    <row r="624" spans="1:10">
      <c r="A624" t="s">
        <v>96</v>
      </c>
      <c r="B624">
        <v>1</v>
      </c>
      <c r="C624">
        <v>0</v>
      </c>
      <c r="D624" s="3">
        <v>0</v>
      </c>
      <c r="E624">
        <v>0</v>
      </c>
      <c r="F624">
        <v>0</v>
      </c>
      <c r="G624" s="3">
        <v>0</v>
      </c>
      <c r="H624" s="10">
        <v>0</v>
      </c>
      <c r="I624" s="10">
        <v>0</v>
      </c>
      <c r="J624" s="6">
        <v>0</v>
      </c>
    </row>
    <row r="625" spans="1:10">
      <c r="A625" t="s">
        <v>96</v>
      </c>
      <c r="B625">
        <v>1</v>
      </c>
      <c r="C625">
        <v>0</v>
      </c>
      <c r="D625" s="3">
        <v>0</v>
      </c>
      <c r="E625">
        <v>0</v>
      </c>
      <c r="F625">
        <v>0</v>
      </c>
      <c r="G625" s="3">
        <v>0</v>
      </c>
      <c r="H625" s="10">
        <v>0</v>
      </c>
      <c r="I625" s="10">
        <v>0</v>
      </c>
      <c r="J625" s="6">
        <v>0</v>
      </c>
    </row>
    <row r="626" spans="1:10">
      <c r="A626" t="s">
        <v>96</v>
      </c>
      <c r="B626">
        <v>1</v>
      </c>
      <c r="C626">
        <v>0</v>
      </c>
      <c r="D626" s="3">
        <v>0</v>
      </c>
      <c r="E626">
        <v>0</v>
      </c>
      <c r="F626">
        <v>0</v>
      </c>
      <c r="G626" s="3">
        <v>0</v>
      </c>
      <c r="H626" s="10">
        <v>0</v>
      </c>
      <c r="I626" s="10">
        <v>0</v>
      </c>
      <c r="J626" s="6">
        <v>0</v>
      </c>
    </row>
    <row r="627" spans="1:10">
      <c r="A627" t="s">
        <v>96</v>
      </c>
      <c r="B627">
        <v>1</v>
      </c>
      <c r="C627">
        <v>0</v>
      </c>
      <c r="D627" s="3">
        <v>0</v>
      </c>
      <c r="E627">
        <v>0</v>
      </c>
      <c r="F627">
        <v>0</v>
      </c>
      <c r="G627" s="3">
        <v>0</v>
      </c>
      <c r="H627" s="10">
        <v>0</v>
      </c>
      <c r="I627" s="10">
        <v>0</v>
      </c>
      <c r="J627" s="6">
        <v>0</v>
      </c>
    </row>
    <row r="628" spans="1:10">
      <c r="A628" t="s">
        <v>96</v>
      </c>
      <c r="B628">
        <v>1</v>
      </c>
      <c r="C628">
        <v>0</v>
      </c>
      <c r="D628" s="3">
        <v>0</v>
      </c>
      <c r="E628">
        <v>0</v>
      </c>
      <c r="F628">
        <v>0</v>
      </c>
      <c r="G628" s="3">
        <v>0</v>
      </c>
      <c r="H628" s="10">
        <v>0</v>
      </c>
      <c r="I628" s="10">
        <v>0</v>
      </c>
      <c r="J628" s="6">
        <v>0</v>
      </c>
    </row>
    <row r="629" spans="1:10">
      <c r="A629" t="s">
        <v>96</v>
      </c>
      <c r="B629">
        <v>1</v>
      </c>
      <c r="C629">
        <v>0</v>
      </c>
      <c r="D629" s="3">
        <v>0</v>
      </c>
      <c r="E629">
        <v>0</v>
      </c>
      <c r="F629">
        <v>0</v>
      </c>
      <c r="G629" s="3">
        <v>0</v>
      </c>
      <c r="H629" s="10">
        <v>0</v>
      </c>
      <c r="I629" s="10">
        <v>0</v>
      </c>
      <c r="J629" s="6">
        <v>0</v>
      </c>
    </row>
    <row r="630" spans="1:10">
      <c r="A630" t="s">
        <v>96</v>
      </c>
      <c r="B630">
        <v>1</v>
      </c>
      <c r="C630">
        <v>33</v>
      </c>
      <c r="D630" s="3">
        <v>0</v>
      </c>
      <c r="E630">
        <v>0</v>
      </c>
      <c r="F630">
        <v>0</v>
      </c>
      <c r="G630" s="3">
        <v>0</v>
      </c>
      <c r="H630" s="10">
        <v>0</v>
      </c>
      <c r="I630" s="10">
        <v>0</v>
      </c>
      <c r="J630" s="6">
        <v>0</v>
      </c>
    </row>
    <row r="631" spans="1:10">
      <c r="A631" t="s">
        <v>96</v>
      </c>
      <c r="B631">
        <v>1</v>
      </c>
      <c r="C631">
        <v>48</v>
      </c>
      <c r="D631" s="3">
        <v>4.1700000000000001E-2</v>
      </c>
      <c r="E631">
        <v>2</v>
      </c>
      <c r="F631">
        <v>0</v>
      </c>
      <c r="G631" s="3">
        <v>0</v>
      </c>
      <c r="H631" s="10">
        <v>0</v>
      </c>
      <c r="I631" s="10">
        <v>0</v>
      </c>
      <c r="J631" s="6">
        <v>0</v>
      </c>
    </row>
    <row r="632" spans="1:10">
      <c r="A632" t="s">
        <v>96</v>
      </c>
      <c r="B632">
        <v>1</v>
      </c>
      <c r="C632">
        <v>55</v>
      </c>
      <c r="D632" s="3">
        <v>3.6400000000000002E-2</v>
      </c>
      <c r="E632">
        <v>2</v>
      </c>
      <c r="F632">
        <v>0</v>
      </c>
      <c r="G632" s="3">
        <v>0</v>
      </c>
      <c r="H632" s="10">
        <v>0</v>
      </c>
      <c r="I632" s="10">
        <v>0</v>
      </c>
      <c r="J632" s="6">
        <v>0</v>
      </c>
    </row>
    <row r="633" spans="1:10">
      <c r="A633" t="s">
        <v>96</v>
      </c>
      <c r="B633">
        <v>1</v>
      </c>
      <c r="C633">
        <v>65</v>
      </c>
      <c r="D633" s="3">
        <v>6.1500000000000006E-2</v>
      </c>
      <c r="E633">
        <v>4</v>
      </c>
      <c r="F633">
        <v>1</v>
      </c>
      <c r="G633" s="3">
        <v>25</v>
      </c>
      <c r="H633" s="10">
        <v>1.82</v>
      </c>
      <c r="I633" s="10">
        <v>7.29</v>
      </c>
      <c r="J633" s="6">
        <v>7.29</v>
      </c>
    </row>
    <row r="634" spans="1:10">
      <c r="A634" t="s">
        <v>96</v>
      </c>
      <c r="B634">
        <v>1</v>
      </c>
      <c r="C634">
        <v>95</v>
      </c>
      <c r="D634" s="3">
        <v>2.1099999999999997E-2</v>
      </c>
      <c r="E634">
        <v>2</v>
      </c>
      <c r="F634">
        <v>0</v>
      </c>
      <c r="G634" s="3">
        <v>0</v>
      </c>
      <c r="H634" s="10">
        <v>0</v>
      </c>
      <c r="I634" s="10">
        <v>0</v>
      </c>
      <c r="J634" s="6">
        <v>0</v>
      </c>
    </row>
    <row r="635" spans="1:10">
      <c r="A635" t="s">
        <v>97</v>
      </c>
      <c r="B635">
        <v>1</v>
      </c>
      <c r="C635">
        <v>107</v>
      </c>
      <c r="D635" s="3">
        <v>3.7400000000000003E-2</v>
      </c>
      <c r="E635">
        <v>4</v>
      </c>
      <c r="F635">
        <v>0</v>
      </c>
      <c r="G635" s="3">
        <v>0</v>
      </c>
      <c r="H635" s="10">
        <v>0</v>
      </c>
      <c r="I635" s="10">
        <v>0</v>
      </c>
      <c r="J635" s="6">
        <v>0</v>
      </c>
    </row>
    <row r="636" spans="1:10">
      <c r="A636" t="s">
        <v>97</v>
      </c>
      <c r="B636">
        <v>1</v>
      </c>
      <c r="C636">
        <v>162</v>
      </c>
      <c r="D636" s="3">
        <v>1.8500000000000003E-2</v>
      </c>
      <c r="E636">
        <v>3</v>
      </c>
      <c r="F636">
        <v>0</v>
      </c>
      <c r="G636" s="3">
        <v>1.5380000000000003E-3</v>
      </c>
      <c r="H636" s="10">
        <v>0</v>
      </c>
      <c r="I636" s="10">
        <v>0</v>
      </c>
      <c r="J636" s="6">
        <v>0</v>
      </c>
    </row>
    <row r="637" spans="1:10">
      <c r="A637" t="s">
        <v>97</v>
      </c>
      <c r="B637">
        <v>1</v>
      </c>
      <c r="C637">
        <v>201</v>
      </c>
      <c r="D637" s="3">
        <v>0.01</v>
      </c>
      <c r="E637">
        <v>2</v>
      </c>
      <c r="F637">
        <v>0</v>
      </c>
      <c r="G637" s="3">
        <v>0.15</v>
      </c>
      <c r="H637" s="10">
        <v>0</v>
      </c>
      <c r="I637" s="10">
        <v>0</v>
      </c>
      <c r="J637" s="6">
        <v>0</v>
      </c>
    </row>
    <row r="638" spans="1:10">
      <c r="A638" t="s">
        <v>83</v>
      </c>
      <c r="B638">
        <v>1</v>
      </c>
      <c r="C638">
        <v>0</v>
      </c>
      <c r="D638" s="3">
        <v>0</v>
      </c>
      <c r="E638">
        <v>0</v>
      </c>
      <c r="F638">
        <v>0</v>
      </c>
      <c r="G638" s="3">
        <v>0</v>
      </c>
      <c r="H638" s="10">
        <v>0</v>
      </c>
      <c r="I638" s="10">
        <v>0</v>
      </c>
      <c r="J638" s="6">
        <v>0</v>
      </c>
    </row>
    <row r="639" spans="1:10">
      <c r="A639" t="s">
        <v>83</v>
      </c>
      <c r="B639">
        <v>1</v>
      </c>
      <c r="C639">
        <v>0</v>
      </c>
      <c r="D639" s="3">
        <v>0</v>
      </c>
      <c r="E639">
        <v>0</v>
      </c>
      <c r="F639">
        <v>0</v>
      </c>
      <c r="G639" s="3">
        <v>0</v>
      </c>
      <c r="H639" s="10">
        <v>0</v>
      </c>
      <c r="I639" s="10">
        <v>0</v>
      </c>
      <c r="J639" s="6">
        <v>0</v>
      </c>
    </row>
    <row r="640" spans="1:10">
      <c r="A640" t="s">
        <v>83</v>
      </c>
      <c r="B640">
        <v>1</v>
      </c>
      <c r="C640">
        <v>0</v>
      </c>
      <c r="D640" s="3">
        <v>0</v>
      </c>
      <c r="E640">
        <v>0</v>
      </c>
      <c r="F640">
        <v>0</v>
      </c>
      <c r="G640" s="3">
        <v>0</v>
      </c>
      <c r="H640" s="10">
        <v>0</v>
      </c>
      <c r="I640" s="10">
        <v>0</v>
      </c>
      <c r="J640" s="6">
        <v>0</v>
      </c>
    </row>
    <row r="641" spans="1:10">
      <c r="A641" t="s">
        <v>83</v>
      </c>
      <c r="B641">
        <v>1</v>
      </c>
      <c r="C641">
        <v>0</v>
      </c>
      <c r="D641" s="3">
        <v>0</v>
      </c>
      <c r="E641">
        <v>0</v>
      </c>
      <c r="F641">
        <v>0</v>
      </c>
      <c r="G641" s="3">
        <v>0</v>
      </c>
      <c r="H641" s="10">
        <v>0</v>
      </c>
      <c r="I641" s="10">
        <v>0</v>
      </c>
      <c r="J641" s="6">
        <v>0</v>
      </c>
    </row>
    <row r="642" spans="1:10">
      <c r="A642" t="s">
        <v>83</v>
      </c>
      <c r="B642">
        <v>1</v>
      </c>
      <c r="C642">
        <v>0</v>
      </c>
      <c r="D642" s="3">
        <v>0</v>
      </c>
      <c r="E642">
        <v>0</v>
      </c>
      <c r="F642">
        <v>0</v>
      </c>
      <c r="G642" s="3">
        <v>0</v>
      </c>
      <c r="H642" s="10">
        <v>0</v>
      </c>
      <c r="I642" s="10">
        <v>0</v>
      </c>
      <c r="J642" s="6">
        <v>0</v>
      </c>
    </row>
    <row r="643" spans="1:10">
      <c r="A643" t="s">
        <v>83</v>
      </c>
      <c r="B643">
        <v>1</v>
      </c>
      <c r="C643">
        <v>0</v>
      </c>
      <c r="D643" s="3">
        <v>0</v>
      </c>
      <c r="E643">
        <v>0</v>
      </c>
      <c r="F643">
        <v>0</v>
      </c>
      <c r="G643" s="3">
        <v>0</v>
      </c>
      <c r="H643" s="10">
        <v>0</v>
      </c>
      <c r="I643" s="10">
        <v>0</v>
      </c>
      <c r="J643" s="6">
        <v>0</v>
      </c>
    </row>
    <row r="644" spans="1:10">
      <c r="A644" t="s">
        <v>83</v>
      </c>
      <c r="B644">
        <v>1</v>
      </c>
      <c r="C644">
        <v>0</v>
      </c>
      <c r="D644" s="3">
        <v>0</v>
      </c>
      <c r="E644">
        <v>0</v>
      </c>
      <c r="F644">
        <v>0</v>
      </c>
      <c r="G644" s="3">
        <v>0</v>
      </c>
      <c r="H644" s="10">
        <v>0</v>
      </c>
      <c r="I644" s="10">
        <v>0</v>
      </c>
      <c r="J644" s="6">
        <v>0</v>
      </c>
    </row>
    <row r="645" spans="1:10">
      <c r="A645" t="s">
        <v>83</v>
      </c>
      <c r="B645">
        <v>1</v>
      </c>
      <c r="C645">
        <v>0</v>
      </c>
      <c r="D645" s="3">
        <v>0</v>
      </c>
      <c r="E645">
        <v>0</v>
      </c>
      <c r="F645">
        <v>0</v>
      </c>
      <c r="G645" s="3">
        <v>0</v>
      </c>
      <c r="H645" s="10">
        <v>0</v>
      </c>
      <c r="I645" s="10">
        <v>0</v>
      </c>
      <c r="J645" s="6">
        <v>0</v>
      </c>
    </row>
    <row r="646" spans="1:10">
      <c r="A646" t="s">
        <v>83</v>
      </c>
      <c r="B646">
        <v>1</v>
      </c>
      <c r="C646">
        <v>0</v>
      </c>
      <c r="D646" s="3">
        <v>0</v>
      </c>
      <c r="E646">
        <v>0</v>
      </c>
      <c r="F646">
        <v>0</v>
      </c>
      <c r="G646" s="3">
        <v>0</v>
      </c>
      <c r="H646" s="10">
        <v>0</v>
      </c>
      <c r="I646" s="10">
        <v>0</v>
      </c>
      <c r="J646" s="6">
        <v>0</v>
      </c>
    </row>
    <row r="647" spans="1:10">
      <c r="A647" t="s">
        <v>83</v>
      </c>
      <c r="B647">
        <v>1</v>
      </c>
      <c r="C647">
        <v>0</v>
      </c>
      <c r="D647" s="3">
        <v>0</v>
      </c>
      <c r="E647">
        <v>0</v>
      </c>
      <c r="F647">
        <v>0</v>
      </c>
      <c r="G647" s="3">
        <v>0</v>
      </c>
      <c r="H647" s="10">
        <v>0</v>
      </c>
      <c r="I647" s="10">
        <v>0</v>
      </c>
      <c r="J647" s="6">
        <v>0</v>
      </c>
    </row>
    <row r="648" spans="1:10">
      <c r="A648" t="s">
        <v>83</v>
      </c>
      <c r="B648">
        <v>1</v>
      </c>
      <c r="C648">
        <v>0</v>
      </c>
      <c r="D648" s="3">
        <v>0</v>
      </c>
      <c r="E648">
        <v>0</v>
      </c>
      <c r="F648">
        <v>0</v>
      </c>
      <c r="G648" s="3">
        <v>0</v>
      </c>
      <c r="H648" s="10">
        <v>0</v>
      </c>
      <c r="I648" s="10">
        <v>0</v>
      </c>
      <c r="J648" s="6">
        <v>0</v>
      </c>
    </row>
    <row r="649" spans="1:10">
      <c r="A649" t="s">
        <v>83</v>
      </c>
      <c r="B649">
        <v>1</v>
      </c>
      <c r="C649">
        <v>62</v>
      </c>
      <c r="D649" s="3">
        <v>1.61E-2</v>
      </c>
      <c r="E649">
        <v>1</v>
      </c>
      <c r="F649">
        <v>0</v>
      </c>
      <c r="G649" s="3">
        <v>0</v>
      </c>
      <c r="H649" s="10">
        <v>0</v>
      </c>
      <c r="I649" s="10">
        <v>0</v>
      </c>
      <c r="J649" s="6">
        <v>0</v>
      </c>
    </row>
    <row r="650" spans="1:10">
      <c r="A650" t="s">
        <v>98</v>
      </c>
      <c r="B650">
        <v>1</v>
      </c>
      <c r="C650">
        <v>0</v>
      </c>
      <c r="D650" s="3">
        <v>0</v>
      </c>
      <c r="E650">
        <v>0</v>
      </c>
      <c r="F650">
        <v>0</v>
      </c>
      <c r="G650" s="3">
        <v>0</v>
      </c>
      <c r="H650" s="10">
        <v>0</v>
      </c>
      <c r="I650" s="10">
        <v>0</v>
      </c>
      <c r="J650" s="6">
        <v>0</v>
      </c>
    </row>
    <row r="651" spans="1:10">
      <c r="A651" t="s">
        <v>98</v>
      </c>
      <c r="B651">
        <v>1</v>
      </c>
      <c r="C651">
        <v>0</v>
      </c>
      <c r="D651" s="3">
        <v>0</v>
      </c>
      <c r="E651">
        <v>0</v>
      </c>
      <c r="F651">
        <v>0</v>
      </c>
      <c r="G651" s="3">
        <v>0</v>
      </c>
      <c r="H651" s="10">
        <v>0</v>
      </c>
      <c r="I651" s="10">
        <v>0</v>
      </c>
      <c r="J651" s="6">
        <v>0</v>
      </c>
    </row>
    <row r="652" spans="1:10">
      <c r="A652" t="s">
        <v>98</v>
      </c>
      <c r="B652">
        <v>1</v>
      </c>
      <c r="C652">
        <v>0</v>
      </c>
      <c r="D652" s="3">
        <v>0</v>
      </c>
      <c r="E652">
        <v>0</v>
      </c>
      <c r="F652">
        <v>0</v>
      </c>
      <c r="G652" s="3">
        <v>0</v>
      </c>
      <c r="H652" s="10">
        <v>0</v>
      </c>
      <c r="I652" s="10">
        <v>0</v>
      </c>
      <c r="J652" s="6">
        <v>0</v>
      </c>
    </row>
    <row r="653" spans="1:10">
      <c r="A653" t="s">
        <v>98</v>
      </c>
      <c r="B653">
        <v>1</v>
      </c>
      <c r="C653">
        <v>0</v>
      </c>
      <c r="D653" s="3">
        <v>0</v>
      </c>
      <c r="E653">
        <v>0</v>
      </c>
      <c r="F653">
        <v>0</v>
      </c>
      <c r="G653" s="3">
        <v>0</v>
      </c>
      <c r="H653" s="10">
        <v>0</v>
      </c>
      <c r="I653" s="10">
        <v>0</v>
      </c>
      <c r="J653" s="6">
        <v>0</v>
      </c>
    </row>
    <row r="654" spans="1:10">
      <c r="A654" t="s">
        <v>98</v>
      </c>
      <c r="B654">
        <v>1</v>
      </c>
      <c r="C654">
        <v>10</v>
      </c>
      <c r="D654" s="3">
        <v>0</v>
      </c>
      <c r="E654">
        <v>0</v>
      </c>
      <c r="F654">
        <v>0</v>
      </c>
      <c r="G654" s="3">
        <v>0</v>
      </c>
      <c r="H654" s="10">
        <v>0</v>
      </c>
      <c r="I654" s="10">
        <v>0</v>
      </c>
      <c r="J654" s="6">
        <v>0</v>
      </c>
    </row>
    <row r="655" spans="1:10">
      <c r="A655" t="s">
        <v>98</v>
      </c>
      <c r="B655">
        <v>1</v>
      </c>
      <c r="C655">
        <v>109</v>
      </c>
      <c r="D655" s="3">
        <v>1.83E-2</v>
      </c>
      <c r="E655">
        <v>2</v>
      </c>
      <c r="F655">
        <v>1</v>
      </c>
      <c r="G655" s="3">
        <v>2.5000000000000001E-3</v>
      </c>
      <c r="H655" s="10">
        <v>5.21</v>
      </c>
      <c r="I655" s="10">
        <v>10.42</v>
      </c>
      <c r="J655" s="6">
        <v>10.42</v>
      </c>
    </row>
    <row r="656" spans="1:10">
      <c r="A656" t="s">
        <v>98</v>
      </c>
      <c r="B656">
        <v>1</v>
      </c>
      <c r="C656">
        <v>109</v>
      </c>
      <c r="D656" s="3">
        <v>9.1999999999999998E-3</v>
      </c>
      <c r="E656">
        <v>1</v>
      </c>
      <c r="F656">
        <v>0</v>
      </c>
      <c r="G656" s="3">
        <v>5.5599999999999996E-4</v>
      </c>
      <c r="H656" s="10">
        <v>0</v>
      </c>
      <c r="I656" s="10">
        <v>0</v>
      </c>
      <c r="J656" s="6">
        <v>0</v>
      </c>
    </row>
    <row r="657" spans="1:10">
      <c r="A657" t="s">
        <v>98</v>
      </c>
      <c r="B657">
        <v>1</v>
      </c>
      <c r="C657">
        <v>116</v>
      </c>
      <c r="D657" s="3">
        <v>1.72E-2</v>
      </c>
      <c r="E657">
        <v>2</v>
      </c>
      <c r="F657">
        <v>0</v>
      </c>
      <c r="G657" s="3">
        <v>1.333E-3</v>
      </c>
      <c r="H657" s="10">
        <v>0</v>
      </c>
      <c r="I657" s="10">
        <v>0</v>
      </c>
      <c r="J657" s="6">
        <v>0</v>
      </c>
    </row>
    <row r="658" spans="1:10">
      <c r="A658" t="s">
        <v>98</v>
      </c>
      <c r="B658">
        <v>1</v>
      </c>
      <c r="C658">
        <v>130</v>
      </c>
      <c r="D658" s="3">
        <v>3.0800000000000001E-2</v>
      </c>
      <c r="E658">
        <v>4</v>
      </c>
      <c r="F658">
        <v>1</v>
      </c>
      <c r="G658" s="3">
        <v>6.2500000000000001E-4</v>
      </c>
      <c r="H658" s="10">
        <v>0.81</v>
      </c>
      <c r="I658" s="10">
        <v>3.25</v>
      </c>
      <c r="J658" s="6">
        <v>3.25</v>
      </c>
    </row>
    <row r="659" spans="1:10">
      <c r="A659" t="s">
        <v>98</v>
      </c>
      <c r="B659">
        <v>1</v>
      </c>
      <c r="C659">
        <v>134</v>
      </c>
      <c r="D659" s="3">
        <v>1.49E-2</v>
      </c>
      <c r="E659">
        <v>2</v>
      </c>
      <c r="F659">
        <v>0</v>
      </c>
      <c r="G659" s="3">
        <v>1.5789999999999999E-3</v>
      </c>
      <c r="H659" s="10">
        <v>0</v>
      </c>
      <c r="I659" s="10">
        <v>0</v>
      </c>
      <c r="J659" s="6">
        <v>0</v>
      </c>
    </row>
    <row r="660" spans="1:10">
      <c r="A660" t="s">
        <v>98</v>
      </c>
      <c r="B660">
        <v>1</v>
      </c>
      <c r="C660">
        <v>140</v>
      </c>
      <c r="D660" s="3">
        <v>3.5699999999999996E-2</v>
      </c>
      <c r="E660">
        <v>5</v>
      </c>
      <c r="F660">
        <v>2</v>
      </c>
      <c r="G660" s="3">
        <v>2.2729999999999998E-3</v>
      </c>
      <c r="H660" s="10">
        <v>11.36</v>
      </c>
      <c r="I660" s="10">
        <v>28.41</v>
      </c>
      <c r="J660" s="6">
        <v>56.82</v>
      </c>
    </row>
    <row r="661" spans="1:10">
      <c r="A661" t="s">
        <v>98</v>
      </c>
      <c r="B661">
        <v>1</v>
      </c>
      <c r="C661">
        <v>209</v>
      </c>
      <c r="D661" s="3">
        <v>1.9099999999999999E-2</v>
      </c>
      <c r="E661">
        <v>4</v>
      </c>
      <c r="F661">
        <v>1</v>
      </c>
      <c r="G661" s="3">
        <v>0.26669999999999999</v>
      </c>
      <c r="H661" s="10">
        <v>4.42</v>
      </c>
      <c r="I661" s="10">
        <v>17.66</v>
      </c>
      <c r="J661" s="6">
        <v>17.66</v>
      </c>
    </row>
    <row r="662" spans="1:10">
      <c r="A662" t="s">
        <v>98</v>
      </c>
      <c r="B662">
        <v>1</v>
      </c>
      <c r="C662">
        <v>27</v>
      </c>
      <c r="D662" s="3">
        <v>0</v>
      </c>
      <c r="E662">
        <v>0</v>
      </c>
      <c r="F662">
        <v>0</v>
      </c>
      <c r="G662" s="3">
        <v>6.9800000000000001E-2</v>
      </c>
      <c r="H662" s="10">
        <v>0</v>
      </c>
      <c r="I662" s="10">
        <v>0</v>
      </c>
      <c r="J662" s="6">
        <v>0</v>
      </c>
    </row>
    <row r="663" spans="1:10">
      <c r="A663" t="s">
        <v>98</v>
      </c>
      <c r="B663">
        <v>1</v>
      </c>
      <c r="C663">
        <v>89</v>
      </c>
      <c r="D663" s="3">
        <v>2.2499999999999999E-2</v>
      </c>
      <c r="E663">
        <v>2</v>
      </c>
      <c r="F663">
        <v>0</v>
      </c>
      <c r="G663" s="3">
        <v>0</v>
      </c>
      <c r="H663" s="10">
        <v>0</v>
      </c>
      <c r="I663" s="10">
        <v>0</v>
      </c>
      <c r="J663" s="6">
        <v>0</v>
      </c>
    </row>
    <row r="664" spans="1:10">
      <c r="A664" t="s">
        <v>99</v>
      </c>
      <c r="B664">
        <v>1</v>
      </c>
      <c r="C664">
        <v>0</v>
      </c>
      <c r="D664" s="3">
        <v>0</v>
      </c>
      <c r="E664">
        <v>0</v>
      </c>
      <c r="F664">
        <v>0</v>
      </c>
      <c r="G664" s="3">
        <v>0</v>
      </c>
      <c r="H664" s="10">
        <v>0</v>
      </c>
      <c r="I664" s="10">
        <v>0</v>
      </c>
      <c r="J664" s="6">
        <v>0</v>
      </c>
    </row>
    <row r="665" spans="1:10">
      <c r="A665" t="s">
        <v>99</v>
      </c>
      <c r="B665">
        <v>1</v>
      </c>
      <c r="C665">
        <v>0</v>
      </c>
      <c r="D665" s="3">
        <v>0</v>
      </c>
      <c r="E665">
        <v>0</v>
      </c>
      <c r="F665">
        <v>0</v>
      </c>
      <c r="G665" s="3">
        <v>0</v>
      </c>
      <c r="H665" s="10">
        <v>0</v>
      </c>
      <c r="I665" s="10">
        <v>0</v>
      </c>
      <c r="J665" s="6">
        <v>0</v>
      </c>
    </row>
    <row r="666" spans="1:10">
      <c r="A666" t="s">
        <v>99</v>
      </c>
      <c r="B666">
        <v>1</v>
      </c>
      <c r="C666">
        <v>0</v>
      </c>
      <c r="D666" s="3">
        <v>0</v>
      </c>
      <c r="E666">
        <v>0</v>
      </c>
      <c r="F666">
        <v>0</v>
      </c>
      <c r="G666" s="3">
        <v>0</v>
      </c>
      <c r="H666" s="10">
        <v>0</v>
      </c>
      <c r="I666" s="10">
        <v>0</v>
      </c>
      <c r="J666" s="6">
        <v>0</v>
      </c>
    </row>
    <row r="667" spans="1:10">
      <c r="A667" t="s">
        <v>99</v>
      </c>
      <c r="B667">
        <v>1</v>
      </c>
      <c r="C667">
        <v>0</v>
      </c>
      <c r="D667" s="3">
        <v>0</v>
      </c>
      <c r="E667">
        <v>0</v>
      </c>
      <c r="F667">
        <v>0</v>
      </c>
      <c r="G667" s="3">
        <v>0</v>
      </c>
      <c r="H667" s="10">
        <v>0</v>
      </c>
      <c r="I667" s="10">
        <v>0</v>
      </c>
      <c r="J667" s="6">
        <v>0</v>
      </c>
    </row>
    <row r="668" spans="1:10">
      <c r="A668" t="s">
        <v>99</v>
      </c>
      <c r="B668">
        <v>1</v>
      </c>
      <c r="C668">
        <v>0</v>
      </c>
      <c r="D668" s="3">
        <v>0</v>
      </c>
      <c r="E668">
        <v>0</v>
      </c>
      <c r="F668">
        <v>0</v>
      </c>
      <c r="G668" s="3">
        <v>0</v>
      </c>
      <c r="H668" s="10">
        <v>0</v>
      </c>
      <c r="I668" s="10">
        <v>0</v>
      </c>
      <c r="J668" s="6">
        <v>0</v>
      </c>
    </row>
    <row r="669" spans="1:10">
      <c r="A669" t="s">
        <v>99</v>
      </c>
      <c r="B669">
        <v>1</v>
      </c>
      <c r="C669">
        <v>0</v>
      </c>
      <c r="D669" s="3">
        <v>0</v>
      </c>
      <c r="E669">
        <v>0</v>
      </c>
      <c r="F669">
        <v>0</v>
      </c>
      <c r="G669" s="3">
        <v>0</v>
      </c>
      <c r="H669" s="10">
        <v>0</v>
      </c>
      <c r="I669" s="10">
        <v>0</v>
      </c>
      <c r="J669" s="6">
        <v>0</v>
      </c>
    </row>
    <row r="670" spans="1:10">
      <c r="A670" t="s">
        <v>99</v>
      </c>
      <c r="B670">
        <v>1</v>
      </c>
      <c r="C670">
        <v>0</v>
      </c>
      <c r="D670" s="3">
        <v>0</v>
      </c>
      <c r="E670">
        <v>0</v>
      </c>
      <c r="F670">
        <v>0</v>
      </c>
      <c r="G670" s="3">
        <v>0</v>
      </c>
      <c r="H670" s="10">
        <v>0</v>
      </c>
      <c r="I670" s="10">
        <v>0</v>
      </c>
      <c r="J670" s="6">
        <v>0</v>
      </c>
    </row>
    <row r="671" spans="1:10">
      <c r="A671" t="s">
        <v>99</v>
      </c>
      <c r="B671">
        <v>1</v>
      </c>
      <c r="C671">
        <v>0</v>
      </c>
      <c r="D671" s="3">
        <v>0</v>
      </c>
      <c r="E671">
        <v>0</v>
      </c>
      <c r="F671">
        <v>0</v>
      </c>
      <c r="G671" s="3">
        <v>0</v>
      </c>
      <c r="H671" s="10">
        <v>0</v>
      </c>
      <c r="I671" s="10">
        <v>0</v>
      </c>
      <c r="J671" s="6">
        <v>0</v>
      </c>
    </row>
    <row r="672" spans="1:10">
      <c r="A672" t="s">
        <v>99</v>
      </c>
      <c r="B672">
        <v>1</v>
      </c>
      <c r="C672">
        <v>0</v>
      </c>
      <c r="D672" s="3">
        <v>0</v>
      </c>
      <c r="E672">
        <v>0</v>
      </c>
      <c r="F672">
        <v>0</v>
      </c>
      <c r="G672" s="3">
        <v>0</v>
      </c>
      <c r="H672" s="10">
        <v>0</v>
      </c>
      <c r="I672" s="10">
        <v>0</v>
      </c>
      <c r="J672" s="6">
        <v>0</v>
      </c>
    </row>
    <row r="673" spans="1:10">
      <c r="A673" t="s">
        <v>100</v>
      </c>
      <c r="B673">
        <v>1</v>
      </c>
      <c r="C673">
        <v>0</v>
      </c>
      <c r="D673" s="3">
        <v>0</v>
      </c>
      <c r="E673">
        <v>0</v>
      </c>
      <c r="F673">
        <v>0</v>
      </c>
      <c r="G673" s="3">
        <v>0</v>
      </c>
      <c r="H673" s="10">
        <v>0</v>
      </c>
      <c r="I673" s="10">
        <v>0</v>
      </c>
      <c r="J673" s="6">
        <v>0</v>
      </c>
    </row>
    <row r="674" spans="1:10">
      <c r="A674" t="s">
        <v>100</v>
      </c>
      <c r="B674">
        <v>1</v>
      </c>
      <c r="C674">
        <v>0</v>
      </c>
      <c r="D674" s="3">
        <v>0</v>
      </c>
      <c r="E674">
        <v>0</v>
      </c>
      <c r="F674">
        <v>0</v>
      </c>
      <c r="G674" s="3">
        <v>0</v>
      </c>
      <c r="H674" s="10">
        <v>0</v>
      </c>
      <c r="I674" s="10">
        <v>0</v>
      </c>
      <c r="J674" s="6">
        <v>0</v>
      </c>
    </row>
    <row r="675" spans="1:10">
      <c r="A675" t="s">
        <v>100</v>
      </c>
      <c r="B675">
        <v>1</v>
      </c>
      <c r="C675">
        <v>0</v>
      </c>
      <c r="D675" s="3">
        <v>0</v>
      </c>
      <c r="E675">
        <v>0</v>
      </c>
      <c r="F675">
        <v>0</v>
      </c>
      <c r="G675" s="3">
        <v>0</v>
      </c>
      <c r="H675" s="10">
        <v>0</v>
      </c>
      <c r="I675" s="10">
        <v>0</v>
      </c>
      <c r="J675" s="6">
        <v>0</v>
      </c>
    </row>
    <row r="676" spans="1:10">
      <c r="A676" t="s">
        <v>100</v>
      </c>
      <c r="B676">
        <v>1</v>
      </c>
      <c r="C676">
        <v>0</v>
      </c>
      <c r="D676" s="3">
        <v>0</v>
      </c>
      <c r="E676">
        <v>0</v>
      </c>
      <c r="F676">
        <v>0</v>
      </c>
      <c r="G676" s="3">
        <v>0</v>
      </c>
      <c r="H676" s="10">
        <v>0</v>
      </c>
      <c r="I676" s="10">
        <v>0</v>
      </c>
      <c r="J676" s="6">
        <v>0</v>
      </c>
    </row>
    <row r="677" spans="1:10">
      <c r="A677" t="s">
        <v>100</v>
      </c>
      <c r="B677">
        <v>1</v>
      </c>
      <c r="C677">
        <v>0</v>
      </c>
      <c r="D677" s="3">
        <v>0</v>
      </c>
      <c r="E677">
        <v>0</v>
      </c>
      <c r="F677">
        <v>0</v>
      </c>
      <c r="G677" s="3">
        <v>0</v>
      </c>
      <c r="H677" s="10">
        <v>0</v>
      </c>
      <c r="I677" s="10">
        <v>0</v>
      </c>
      <c r="J677" s="6">
        <v>0</v>
      </c>
    </row>
    <row r="678" spans="1:10">
      <c r="A678" t="s">
        <v>100</v>
      </c>
      <c r="B678">
        <v>1</v>
      </c>
      <c r="C678">
        <v>0</v>
      </c>
      <c r="D678" s="3">
        <v>0</v>
      </c>
      <c r="E678">
        <v>0</v>
      </c>
      <c r="F678">
        <v>0</v>
      </c>
      <c r="G678" s="3">
        <v>0</v>
      </c>
      <c r="H678" s="10">
        <v>0</v>
      </c>
      <c r="I678" s="10">
        <v>0</v>
      </c>
      <c r="J678" s="6">
        <v>0</v>
      </c>
    </row>
    <row r="679" spans="1:10">
      <c r="A679" t="s">
        <v>100</v>
      </c>
      <c r="B679">
        <v>1</v>
      </c>
      <c r="C679">
        <v>0</v>
      </c>
      <c r="D679" s="3">
        <v>0</v>
      </c>
      <c r="E679">
        <v>0</v>
      </c>
      <c r="F679">
        <v>0</v>
      </c>
      <c r="G679" s="3">
        <v>0</v>
      </c>
      <c r="H679" s="10">
        <v>0</v>
      </c>
      <c r="I679" s="10">
        <v>0</v>
      </c>
      <c r="J679" s="6">
        <v>0</v>
      </c>
    </row>
    <row r="680" spans="1:10">
      <c r="A680" t="s">
        <v>100</v>
      </c>
      <c r="B680">
        <v>1</v>
      </c>
      <c r="C680">
        <v>0</v>
      </c>
      <c r="D680" s="3">
        <v>0</v>
      </c>
      <c r="E680">
        <v>0</v>
      </c>
      <c r="F680">
        <v>0</v>
      </c>
      <c r="G680" s="3">
        <v>0</v>
      </c>
      <c r="H680" s="10">
        <v>0</v>
      </c>
      <c r="I680" s="10">
        <v>0</v>
      </c>
      <c r="J680" s="6">
        <v>0</v>
      </c>
    </row>
    <row r="681" spans="1:10">
      <c r="A681" t="s">
        <v>100</v>
      </c>
      <c r="B681">
        <v>1</v>
      </c>
      <c r="C681">
        <v>0</v>
      </c>
      <c r="D681" s="3">
        <v>0</v>
      </c>
      <c r="E681">
        <v>0</v>
      </c>
      <c r="F681">
        <v>0</v>
      </c>
      <c r="G681" s="3">
        <v>0</v>
      </c>
      <c r="H681" s="10">
        <v>0</v>
      </c>
      <c r="I681" s="10">
        <v>0</v>
      </c>
      <c r="J681" s="6">
        <v>0</v>
      </c>
    </row>
    <row r="682" spans="1:10">
      <c r="A682" t="s">
        <v>100</v>
      </c>
      <c r="B682">
        <v>1</v>
      </c>
      <c r="C682">
        <v>0</v>
      </c>
      <c r="D682" s="3">
        <v>0</v>
      </c>
      <c r="E682">
        <v>0</v>
      </c>
      <c r="F682">
        <v>0</v>
      </c>
      <c r="G682" s="3">
        <v>0</v>
      </c>
      <c r="H682" s="10">
        <v>0</v>
      </c>
      <c r="I682" s="10">
        <v>0</v>
      </c>
      <c r="J682" s="6">
        <v>0</v>
      </c>
    </row>
    <row r="683" spans="1:10">
      <c r="A683" t="s">
        <v>100</v>
      </c>
      <c r="B683">
        <v>1</v>
      </c>
      <c r="C683">
        <v>0</v>
      </c>
      <c r="D683" s="3">
        <v>0</v>
      </c>
      <c r="E683">
        <v>0</v>
      </c>
      <c r="F683">
        <v>0</v>
      </c>
      <c r="G683" s="3">
        <v>0</v>
      </c>
      <c r="H683" s="10">
        <v>0</v>
      </c>
      <c r="I683" s="10">
        <v>0</v>
      </c>
      <c r="J683" s="6">
        <v>0</v>
      </c>
    </row>
    <row r="684" spans="1:10">
      <c r="A684" t="s">
        <v>101</v>
      </c>
      <c r="B684">
        <v>1</v>
      </c>
      <c r="C684">
        <v>0</v>
      </c>
      <c r="D684" s="3">
        <v>0</v>
      </c>
      <c r="E684">
        <v>0</v>
      </c>
      <c r="F684">
        <v>0</v>
      </c>
      <c r="G684" s="3">
        <v>0</v>
      </c>
      <c r="H684" s="10">
        <v>0</v>
      </c>
      <c r="I684" s="10">
        <v>0</v>
      </c>
      <c r="J684" s="6">
        <v>0</v>
      </c>
    </row>
    <row r="685" spans="1:10">
      <c r="A685" t="s">
        <v>101</v>
      </c>
      <c r="B685">
        <v>1</v>
      </c>
      <c r="C685">
        <v>0</v>
      </c>
      <c r="D685" s="3">
        <v>0</v>
      </c>
      <c r="E685">
        <v>0</v>
      </c>
      <c r="F685">
        <v>0</v>
      </c>
      <c r="G685" s="3">
        <v>0</v>
      </c>
      <c r="H685" s="10">
        <v>0</v>
      </c>
      <c r="I685" s="10">
        <v>0</v>
      </c>
      <c r="J685" s="6">
        <v>0</v>
      </c>
    </row>
    <row r="686" spans="1:10">
      <c r="A686" t="s">
        <v>63</v>
      </c>
      <c r="B686">
        <v>1</v>
      </c>
      <c r="C686">
        <v>0</v>
      </c>
      <c r="D686" s="3">
        <v>0</v>
      </c>
      <c r="E686">
        <v>0</v>
      </c>
      <c r="F686">
        <v>0</v>
      </c>
      <c r="G686" s="3">
        <v>0</v>
      </c>
      <c r="H686" s="10">
        <v>0</v>
      </c>
      <c r="I686" s="10">
        <v>0</v>
      </c>
      <c r="J686" s="6">
        <v>0</v>
      </c>
    </row>
    <row r="687" spans="1:10">
      <c r="A687" t="s">
        <v>63</v>
      </c>
      <c r="B687">
        <v>1</v>
      </c>
      <c r="C687">
        <v>0</v>
      </c>
      <c r="D687" s="3">
        <v>0</v>
      </c>
      <c r="E687">
        <v>0</v>
      </c>
      <c r="F687">
        <v>0</v>
      </c>
      <c r="G687" s="3">
        <v>0</v>
      </c>
      <c r="H687" s="10">
        <v>0</v>
      </c>
      <c r="I687" s="10">
        <v>0</v>
      </c>
      <c r="J687" s="6">
        <v>0</v>
      </c>
    </row>
    <row r="688" spans="1:10">
      <c r="A688" t="s">
        <v>63</v>
      </c>
      <c r="B688">
        <v>1</v>
      </c>
      <c r="C688">
        <v>0</v>
      </c>
      <c r="D688" s="3">
        <v>0</v>
      </c>
      <c r="E688">
        <v>0</v>
      </c>
      <c r="F688">
        <v>0</v>
      </c>
      <c r="G688" s="3">
        <v>0</v>
      </c>
      <c r="H688" s="10">
        <v>0</v>
      </c>
      <c r="I688" s="10">
        <v>0</v>
      </c>
      <c r="J688" s="6">
        <v>0</v>
      </c>
    </row>
    <row r="689" spans="1:10">
      <c r="A689" t="s">
        <v>63</v>
      </c>
      <c r="B689">
        <v>1</v>
      </c>
      <c r="C689">
        <v>119</v>
      </c>
      <c r="D689" s="3">
        <v>5.04E-2</v>
      </c>
      <c r="E689">
        <v>6</v>
      </c>
      <c r="F689">
        <v>0</v>
      </c>
      <c r="G689" s="3">
        <v>1E-3</v>
      </c>
      <c r="H689" s="10">
        <v>0</v>
      </c>
      <c r="I689" s="10">
        <v>0</v>
      </c>
      <c r="J689" s="6">
        <v>0</v>
      </c>
    </row>
    <row r="690" spans="1:10">
      <c r="A690" t="s">
        <v>63</v>
      </c>
      <c r="B690">
        <v>1</v>
      </c>
      <c r="C690">
        <v>120</v>
      </c>
      <c r="D690" s="3">
        <v>0.05</v>
      </c>
      <c r="E690">
        <v>6</v>
      </c>
      <c r="F690">
        <v>0</v>
      </c>
      <c r="G690" s="3">
        <v>6.6699999999999995E-4</v>
      </c>
      <c r="H690" s="10">
        <v>0</v>
      </c>
      <c r="I690" s="10">
        <v>0</v>
      </c>
      <c r="J690" s="6">
        <v>0</v>
      </c>
    </row>
    <row r="691" spans="1:10">
      <c r="A691" t="s">
        <v>63</v>
      </c>
      <c r="B691">
        <v>1</v>
      </c>
      <c r="C691">
        <v>141</v>
      </c>
      <c r="D691" s="3">
        <v>4.9599999999999998E-2</v>
      </c>
      <c r="E691">
        <v>7</v>
      </c>
      <c r="F691">
        <v>1</v>
      </c>
      <c r="G691" s="3">
        <v>7.139999999999999E-4</v>
      </c>
      <c r="H691" s="10">
        <v>1.5</v>
      </c>
      <c r="I691" s="10">
        <v>10.48</v>
      </c>
      <c r="J691" s="6">
        <v>10.48</v>
      </c>
    </row>
    <row r="692" spans="1:10">
      <c r="A692" t="s">
        <v>63</v>
      </c>
      <c r="B692">
        <v>1</v>
      </c>
      <c r="C692">
        <v>146</v>
      </c>
      <c r="D692" s="3">
        <v>6.8499999999999991E-2</v>
      </c>
      <c r="E692">
        <v>10</v>
      </c>
      <c r="F692">
        <v>1</v>
      </c>
      <c r="G692" s="3">
        <v>4.55E-4</v>
      </c>
      <c r="H692" s="10">
        <v>2.91</v>
      </c>
      <c r="I692" s="10">
        <v>29.11</v>
      </c>
      <c r="J692" s="6">
        <v>29.11</v>
      </c>
    </row>
    <row r="693" spans="1:10">
      <c r="A693" t="s">
        <v>63</v>
      </c>
      <c r="B693">
        <v>1</v>
      </c>
      <c r="C693">
        <v>170</v>
      </c>
      <c r="D693" s="3">
        <v>4.7100000000000003E-2</v>
      </c>
      <c r="E693">
        <v>8</v>
      </c>
      <c r="F693">
        <v>0</v>
      </c>
      <c r="G693" s="3">
        <v>1.111E-3</v>
      </c>
      <c r="H693" s="10">
        <v>0</v>
      </c>
      <c r="I693" s="10">
        <v>0</v>
      </c>
      <c r="J693" s="6">
        <v>0</v>
      </c>
    </row>
    <row r="694" spans="1:10">
      <c r="A694" t="s">
        <v>63</v>
      </c>
      <c r="B694">
        <v>1</v>
      </c>
      <c r="C694">
        <v>199</v>
      </c>
      <c r="D694" s="3">
        <v>3.5200000000000002E-2</v>
      </c>
      <c r="E694">
        <v>7</v>
      </c>
      <c r="F694">
        <v>0</v>
      </c>
      <c r="G694" s="3">
        <v>0.1</v>
      </c>
      <c r="H694" s="10">
        <v>0</v>
      </c>
      <c r="I694" s="10">
        <v>0</v>
      </c>
      <c r="J694" s="6">
        <v>0</v>
      </c>
    </row>
    <row r="695" spans="1:10">
      <c r="A695" t="s">
        <v>63</v>
      </c>
      <c r="B695">
        <v>1</v>
      </c>
      <c r="C695">
        <v>21</v>
      </c>
      <c r="D695" s="3">
        <v>0.1429</v>
      </c>
      <c r="E695">
        <v>3</v>
      </c>
      <c r="F695">
        <v>0</v>
      </c>
      <c r="G695" s="3">
        <v>0.08</v>
      </c>
      <c r="H695" s="10">
        <v>0</v>
      </c>
      <c r="I695" s="10">
        <v>0</v>
      </c>
      <c r="J695" s="6">
        <v>0</v>
      </c>
    </row>
    <row r="696" spans="1:10">
      <c r="A696" t="s">
        <v>63</v>
      </c>
      <c r="B696">
        <v>1</v>
      </c>
      <c r="C696">
        <v>260</v>
      </c>
      <c r="D696" s="3">
        <v>3.0800000000000001E-2</v>
      </c>
      <c r="E696">
        <v>8</v>
      </c>
      <c r="F696">
        <v>1</v>
      </c>
      <c r="G696" s="3">
        <v>9.3000000000000013E-2</v>
      </c>
      <c r="H696" s="10">
        <v>0.35</v>
      </c>
      <c r="I696" s="10">
        <v>2.8</v>
      </c>
      <c r="J696" s="6">
        <v>2.8</v>
      </c>
    </row>
    <row r="697" spans="1:10">
      <c r="A697" t="s">
        <v>63</v>
      </c>
      <c r="B697">
        <v>1</v>
      </c>
      <c r="C697">
        <v>285</v>
      </c>
      <c r="D697" s="3">
        <v>2.81E-2</v>
      </c>
      <c r="E697">
        <v>8</v>
      </c>
      <c r="F697">
        <v>1</v>
      </c>
      <c r="G697" s="3">
        <v>12.5</v>
      </c>
      <c r="H697" s="10">
        <v>1.03</v>
      </c>
      <c r="I697" s="10">
        <v>8.24</v>
      </c>
      <c r="J697" s="6">
        <v>8.24</v>
      </c>
    </row>
    <row r="698" spans="1:10">
      <c r="A698" t="s">
        <v>63</v>
      </c>
      <c r="B698">
        <v>1</v>
      </c>
      <c r="C698">
        <v>30</v>
      </c>
      <c r="D698" s="3">
        <v>0</v>
      </c>
      <c r="E698">
        <v>0</v>
      </c>
      <c r="F698">
        <v>0</v>
      </c>
      <c r="G698" s="3">
        <v>0</v>
      </c>
      <c r="H698" s="10">
        <v>0</v>
      </c>
      <c r="I698" s="10">
        <v>0</v>
      </c>
      <c r="J698" s="6">
        <v>0</v>
      </c>
    </row>
    <row r="699" spans="1:10">
      <c r="A699" t="s">
        <v>102</v>
      </c>
      <c r="B699">
        <v>1</v>
      </c>
      <c r="C699">
        <v>0</v>
      </c>
      <c r="D699" s="3">
        <v>0</v>
      </c>
      <c r="E699">
        <v>0</v>
      </c>
      <c r="F699">
        <v>0</v>
      </c>
      <c r="G699" s="3">
        <v>0</v>
      </c>
      <c r="H699" s="10">
        <v>0</v>
      </c>
      <c r="I699" s="10">
        <v>0</v>
      </c>
      <c r="J699" s="6">
        <v>0</v>
      </c>
    </row>
    <row r="700" spans="1:10">
      <c r="A700" t="s">
        <v>102</v>
      </c>
      <c r="B700">
        <v>1</v>
      </c>
      <c r="C700">
        <v>0</v>
      </c>
      <c r="D700" s="3">
        <v>0</v>
      </c>
      <c r="E700">
        <v>0</v>
      </c>
      <c r="F700">
        <v>0</v>
      </c>
      <c r="G700" s="3">
        <v>0</v>
      </c>
      <c r="H700" s="10">
        <v>0</v>
      </c>
      <c r="I700" s="10">
        <v>0</v>
      </c>
      <c r="J700" s="6">
        <v>0</v>
      </c>
    </row>
    <row r="701" spans="1:10">
      <c r="A701" t="s">
        <v>102</v>
      </c>
      <c r="B701">
        <v>1</v>
      </c>
      <c r="C701">
        <v>0</v>
      </c>
      <c r="D701" s="3">
        <v>0</v>
      </c>
      <c r="E701">
        <v>0</v>
      </c>
      <c r="F701">
        <v>0</v>
      </c>
      <c r="G701" s="3">
        <v>0</v>
      </c>
      <c r="H701" s="10">
        <v>0</v>
      </c>
      <c r="I701" s="10">
        <v>0</v>
      </c>
      <c r="J701" s="6">
        <v>0</v>
      </c>
    </row>
    <row r="702" spans="1:10">
      <c r="A702" t="s">
        <v>102</v>
      </c>
      <c r="B702">
        <v>1</v>
      </c>
      <c r="C702">
        <v>0</v>
      </c>
      <c r="D702" s="3">
        <v>0</v>
      </c>
      <c r="E702">
        <v>0</v>
      </c>
      <c r="F702">
        <v>0</v>
      </c>
      <c r="G702" s="3">
        <v>0</v>
      </c>
      <c r="H702" s="10">
        <v>0</v>
      </c>
      <c r="I702" s="10">
        <v>0</v>
      </c>
      <c r="J702" s="6">
        <v>0</v>
      </c>
    </row>
    <row r="703" spans="1:10">
      <c r="A703" t="s">
        <v>102</v>
      </c>
      <c r="B703">
        <v>1</v>
      </c>
      <c r="C703">
        <v>0</v>
      </c>
      <c r="D703" s="3">
        <v>0</v>
      </c>
      <c r="E703">
        <v>0</v>
      </c>
      <c r="F703">
        <v>0</v>
      </c>
      <c r="G703" s="3">
        <v>0</v>
      </c>
      <c r="H703" s="10">
        <v>0</v>
      </c>
      <c r="I703" s="10">
        <v>0</v>
      </c>
      <c r="J703" s="6">
        <v>0</v>
      </c>
    </row>
    <row r="704" spans="1:10">
      <c r="A704" t="s">
        <v>102</v>
      </c>
      <c r="B704">
        <v>1</v>
      </c>
      <c r="C704">
        <v>0</v>
      </c>
      <c r="D704" s="3">
        <v>0</v>
      </c>
      <c r="E704">
        <v>0</v>
      </c>
      <c r="F704">
        <v>0</v>
      </c>
      <c r="G704" s="3">
        <v>0</v>
      </c>
      <c r="H704" s="10">
        <v>0</v>
      </c>
      <c r="I704" s="10">
        <v>0</v>
      </c>
      <c r="J704" s="6">
        <v>0</v>
      </c>
    </row>
    <row r="705" spans="1:10">
      <c r="A705" t="s">
        <v>102</v>
      </c>
      <c r="B705">
        <v>1</v>
      </c>
      <c r="C705">
        <v>0</v>
      </c>
      <c r="D705" s="3">
        <v>0</v>
      </c>
      <c r="E705">
        <v>0</v>
      </c>
      <c r="F705">
        <v>0</v>
      </c>
      <c r="G705" s="3">
        <v>0</v>
      </c>
      <c r="H705" s="10">
        <v>0</v>
      </c>
      <c r="I705" s="10">
        <v>0</v>
      </c>
      <c r="J705" s="6">
        <v>0</v>
      </c>
    </row>
    <row r="706" spans="1:10">
      <c r="A706" t="s">
        <v>102</v>
      </c>
      <c r="B706">
        <v>1</v>
      </c>
      <c r="C706">
        <v>0</v>
      </c>
      <c r="D706" s="3">
        <v>0</v>
      </c>
      <c r="E706">
        <v>0</v>
      </c>
      <c r="F706">
        <v>0</v>
      </c>
      <c r="G706" s="3">
        <v>0</v>
      </c>
      <c r="H706" s="10">
        <v>0</v>
      </c>
      <c r="I706" s="10">
        <v>0</v>
      </c>
      <c r="J706" s="6">
        <v>0</v>
      </c>
    </row>
    <row r="707" spans="1:10">
      <c r="A707" t="s">
        <v>102</v>
      </c>
      <c r="B707">
        <v>1</v>
      </c>
      <c r="C707">
        <v>0</v>
      </c>
      <c r="D707" s="3">
        <v>0</v>
      </c>
      <c r="E707">
        <v>0</v>
      </c>
      <c r="F707">
        <v>0</v>
      </c>
      <c r="G707" s="3">
        <v>0</v>
      </c>
      <c r="H707" s="10">
        <v>0</v>
      </c>
      <c r="I707" s="10">
        <v>0</v>
      </c>
      <c r="J707" s="6">
        <v>0</v>
      </c>
    </row>
    <row r="708" spans="1:10">
      <c r="A708" t="s">
        <v>102</v>
      </c>
      <c r="B708">
        <v>1</v>
      </c>
      <c r="C708">
        <v>0</v>
      </c>
      <c r="D708" s="3">
        <v>0</v>
      </c>
      <c r="E708">
        <v>0</v>
      </c>
      <c r="F708">
        <v>0</v>
      </c>
      <c r="G708" s="3">
        <v>0</v>
      </c>
      <c r="H708" s="10">
        <v>0</v>
      </c>
      <c r="I708" s="10">
        <v>0</v>
      </c>
      <c r="J708" s="6">
        <v>0</v>
      </c>
    </row>
    <row r="709" spans="1:10">
      <c r="A709" t="s">
        <v>102</v>
      </c>
      <c r="B709">
        <v>1</v>
      </c>
      <c r="C709">
        <v>0</v>
      </c>
      <c r="D709" s="3">
        <v>0</v>
      </c>
      <c r="E709">
        <v>0</v>
      </c>
      <c r="F709">
        <v>0</v>
      </c>
      <c r="G709" s="3">
        <v>0</v>
      </c>
      <c r="H709" s="10">
        <v>0</v>
      </c>
      <c r="I709" s="10">
        <v>0</v>
      </c>
      <c r="J709" s="6">
        <v>0</v>
      </c>
    </row>
    <row r="710" spans="1:10">
      <c r="A710" t="s">
        <v>102</v>
      </c>
      <c r="B710">
        <v>1</v>
      </c>
      <c r="C710">
        <v>0</v>
      </c>
      <c r="D710" s="3">
        <v>0</v>
      </c>
      <c r="E710">
        <v>0</v>
      </c>
      <c r="F710">
        <v>0</v>
      </c>
      <c r="G710" s="3">
        <v>0</v>
      </c>
      <c r="H710" s="10">
        <v>0</v>
      </c>
      <c r="I710" s="10">
        <v>0</v>
      </c>
      <c r="J710" s="6">
        <v>0</v>
      </c>
    </row>
    <row r="711" spans="1:10">
      <c r="A711" t="s">
        <v>102</v>
      </c>
      <c r="B711">
        <v>1</v>
      </c>
      <c r="C711">
        <v>0</v>
      </c>
      <c r="D711" s="3">
        <v>0</v>
      </c>
      <c r="E711">
        <v>0</v>
      </c>
      <c r="F711">
        <v>0</v>
      </c>
      <c r="G711" s="3">
        <v>0</v>
      </c>
      <c r="H711" s="10">
        <v>0</v>
      </c>
      <c r="I711" s="10">
        <v>0</v>
      </c>
      <c r="J711" s="6">
        <v>0</v>
      </c>
    </row>
    <row r="712" spans="1:10">
      <c r="A712" t="s">
        <v>102</v>
      </c>
      <c r="B712">
        <v>1</v>
      </c>
      <c r="C712">
        <v>0</v>
      </c>
      <c r="D712" s="3">
        <v>0</v>
      </c>
      <c r="E712">
        <v>0</v>
      </c>
      <c r="F712">
        <v>0</v>
      </c>
      <c r="G712" s="3">
        <v>0</v>
      </c>
      <c r="H712" s="10">
        <v>0</v>
      </c>
      <c r="I712" s="10">
        <v>0</v>
      </c>
      <c r="J712" s="6">
        <v>0</v>
      </c>
    </row>
    <row r="713" spans="1:10">
      <c r="A713" t="s">
        <v>103</v>
      </c>
      <c r="B713">
        <v>1</v>
      </c>
      <c r="C713">
        <v>0</v>
      </c>
      <c r="D713" s="3">
        <v>0</v>
      </c>
      <c r="E713">
        <v>0</v>
      </c>
      <c r="F713">
        <v>0</v>
      </c>
      <c r="G713" s="3">
        <v>0</v>
      </c>
      <c r="H713" s="10">
        <v>0</v>
      </c>
      <c r="I713" s="10">
        <v>0</v>
      </c>
      <c r="J713" s="6">
        <v>0</v>
      </c>
    </row>
    <row r="714" spans="1:10">
      <c r="A714" t="s">
        <v>103</v>
      </c>
      <c r="B714">
        <v>1</v>
      </c>
      <c r="C714">
        <v>0</v>
      </c>
      <c r="D714" s="3">
        <v>0</v>
      </c>
      <c r="E714">
        <v>0</v>
      </c>
      <c r="F714">
        <v>0</v>
      </c>
      <c r="G714" s="3">
        <v>0</v>
      </c>
      <c r="H714" s="10">
        <v>0</v>
      </c>
      <c r="I714" s="10">
        <v>0</v>
      </c>
      <c r="J714" s="6">
        <v>0</v>
      </c>
    </row>
    <row r="715" spans="1:10">
      <c r="A715" t="s">
        <v>103</v>
      </c>
      <c r="B715">
        <v>1</v>
      </c>
      <c r="C715">
        <v>0</v>
      </c>
      <c r="D715" s="3">
        <v>0</v>
      </c>
      <c r="E715">
        <v>0</v>
      </c>
      <c r="F715">
        <v>0</v>
      </c>
      <c r="G715" s="3">
        <v>0</v>
      </c>
      <c r="H715" s="10">
        <v>0</v>
      </c>
      <c r="I715" s="10">
        <v>0</v>
      </c>
      <c r="J715" s="6">
        <v>0</v>
      </c>
    </row>
    <row r="716" spans="1:10">
      <c r="A716" t="s">
        <v>103</v>
      </c>
      <c r="B716">
        <v>1</v>
      </c>
      <c r="C716">
        <v>0</v>
      </c>
      <c r="D716" s="3">
        <v>0</v>
      </c>
      <c r="E716">
        <v>0</v>
      </c>
      <c r="F716">
        <v>0</v>
      </c>
      <c r="G716" s="3">
        <v>0</v>
      </c>
      <c r="H716" s="10">
        <v>0</v>
      </c>
      <c r="I716" s="10">
        <v>0</v>
      </c>
      <c r="J716" s="6">
        <v>0</v>
      </c>
    </row>
    <row r="717" spans="1:10">
      <c r="A717" t="s">
        <v>103</v>
      </c>
      <c r="B717">
        <v>1</v>
      </c>
      <c r="C717">
        <v>0</v>
      </c>
      <c r="D717" s="3">
        <v>0</v>
      </c>
      <c r="E717">
        <v>0</v>
      </c>
      <c r="F717">
        <v>0</v>
      </c>
      <c r="G717" s="3">
        <v>0</v>
      </c>
      <c r="H717" s="10">
        <v>0</v>
      </c>
      <c r="I717" s="10">
        <v>0</v>
      </c>
      <c r="J717" s="6">
        <v>0</v>
      </c>
    </row>
    <row r="718" spans="1:10">
      <c r="A718" t="s">
        <v>103</v>
      </c>
      <c r="B718">
        <v>1</v>
      </c>
      <c r="C718">
        <v>0</v>
      </c>
      <c r="D718" s="3">
        <v>0</v>
      </c>
      <c r="E718">
        <v>0</v>
      </c>
      <c r="F718">
        <v>0</v>
      </c>
      <c r="G718" s="3">
        <v>0</v>
      </c>
      <c r="H718" s="10">
        <v>0</v>
      </c>
      <c r="I718" s="10">
        <v>0</v>
      </c>
      <c r="J718" s="6">
        <v>0</v>
      </c>
    </row>
    <row r="719" spans="1:10">
      <c r="A719" t="s">
        <v>104</v>
      </c>
      <c r="B719">
        <v>1</v>
      </c>
      <c r="C719">
        <v>0</v>
      </c>
      <c r="D719" s="3">
        <v>0</v>
      </c>
      <c r="E719">
        <v>0</v>
      </c>
      <c r="F719">
        <v>0</v>
      </c>
      <c r="G719" s="3">
        <v>0</v>
      </c>
      <c r="H719" s="10">
        <v>0</v>
      </c>
      <c r="I719" s="10">
        <v>0</v>
      </c>
      <c r="J719" s="6">
        <v>0</v>
      </c>
    </row>
    <row r="720" spans="1:10">
      <c r="A720" t="s">
        <v>105</v>
      </c>
      <c r="B720">
        <v>1</v>
      </c>
      <c r="C720">
        <v>0</v>
      </c>
      <c r="D720" s="3">
        <v>0</v>
      </c>
      <c r="E720">
        <v>0</v>
      </c>
      <c r="F720">
        <v>0</v>
      </c>
      <c r="G720" s="3">
        <v>0</v>
      </c>
      <c r="H720" s="10">
        <v>0</v>
      </c>
      <c r="I720" s="10">
        <v>0</v>
      </c>
      <c r="J720" s="6">
        <v>0</v>
      </c>
    </row>
    <row r="721" spans="1:10">
      <c r="A721" t="s">
        <v>106</v>
      </c>
      <c r="B721">
        <v>1</v>
      </c>
      <c r="C721">
        <v>0</v>
      </c>
      <c r="D721" s="3">
        <v>0</v>
      </c>
      <c r="E721">
        <v>0</v>
      </c>
      <c r="F721">
        <v>0</v>
      </c>
      <c r="G721" s="3">
        <v>0</v>
      </c>
      <c r="H721" s="10">
        <v>0</v>
      </c>
      <c r="I721" s="10">
        <v>0</v>
      </c>
      <c r="J721" s="6">
        <v>0</v>
      </c>
    </row>
    <row r="722" spans="1:10">
      <c r="A722" t="s">
        <v>106</v>
      </c>
      <c r="B722">
        <v>1</v>
      </c>
      <c r="C722">
        <v>0</v>
      </c>
      <c r="D722" s="3">
        <v>0</v>
      </c>
      <c r="E722">
        <v>0</v>
      </c>
      <c r="F722">
        <v>0</v>
      </c>
      <c r="G722" s="3">
        <v>0</v>
      </c>
      <c r="H722" s="10">
        <v>0</v>
      </c>
      <c r="I722" s="10">
        <v>0</v>
      </c>
      <c r="J722" s="6">
        <v>0</v>
      </c>
    </row>
    <row r="723" spans="1:10">
      <c r="A723" t="s">
        <v>106</v>
      </c>
      <c r="B723">
        <v>1</v>
      </c>
      <c r="C723">
        <v>0</v>
      </c>
      <c r="D723" s="3">
        <v>0</v>
      </c>
      <c r="E723">
        <v>0</v>
      </c>
      <c r="F723">
        <v>0</v>
      </c>
      <c r="G723" s="3">
        <v>0</v>
      </c>
      <c r="H723" s="10">
        <v>0</v>
      </c>
      <c r="I723" s="10">
        <v>0</v>
      </c>
      <c r="J723" s="6">
        <v>0</v>
      </c>
    </row>
    <row r="724" spans="1:10">
      <c r="A724" t="s">
        <v>106</v>
      </c>
      <c r="B724">
        <v>1</v>
      </c>
      <c r="C724">
        <v>0</v>
      </c>
      <c r="D724" s="3">
        <v>0</v>
      </c>
      <c r="E724">
        <v>0</v>
      </c>
      <c r="F724">
        <v>0</v>
      </c>
      <c r="G724" s="3">
        <v>0</v>
      </c>
      <c r="H724" s="10">
        <v>0</v>
      </c>
      <c r="I724" s="10">
        <v>0</v>
      </c>
      <c r="J724" s="6">
        <v>0</v>
      </c>
    </row>
    <row r="725" spans="1:10">
      <c r="A725" t="s">
        <v>106</v>
      </c>
      <c r="B725">
        <v>1</v>
      </c>
      <c r="C725">
        <v>0</v>
      </c>
      <c r="D725" s="3">
        <v>0</v>
      </c>
      <c r="E725">
        <v>0</v>
      </c>
      <c r="F725">
        <v>0</v>
      </c>
      <c r="G725" s="3">
        <v>0</v>
      </c>
      <c r="H725" s="10">
        <v>0</v>
      </c>
      <c r="I725" s="10">
        <v>0</v>
      </c>
      <c r="J725" s="6">
        <v>0</v>
      </c>
    </row>
    <row r="726" spans="1:10">
      <c r="A726" t="s">
        <v>106</v>
      </c>
      <c r="B726">
        <v>1</v>
      </c>
      <c r="C726">
        <v>0</v>
      </c>
      <c r="D726" s="3">
        <v>0</v>
      </c>
      <c r="E726">
        <v>0</v>
      </c>
      <c r="F726">
        <v>0</v>
      </c>
      <c r="G726" s="3">
        <v>0</v>
      </c>
      <c r="H726" s="10">
        <v>0</v>
      </c>
      <c r="I726" s="10">
        <v>0</v>
      </c>
      <c r="J726" s="6">
        <v>0</v>
      </c>
    </row>
    <row r="727" spans="1:10">
      <c r="A727" t="s">
        <v>106</v>
      </c>
      <c r="B727">
        <v>1</v>
      </c>
      <c r="C727">
        <v>0</v>
      </c>
      <c r="D727" s="3">
        <v>0</v>
      </c>
      <c r="E727">
        <v>0</v>
      </c>
      <c r="F727">
        <v>0</v>
      </c>
      <c r="G727" s="3">
        <v>0</v>
      </c>
      <c r="H727" s="10">
        <v>0</v>
      </c>
      <c r="I727" s="10">
        <v>0</v>
      </c>
      <c r="J727" s="6">
        <v>0</v>
      </c>
    </row>
    <row r="728" spans="1:10">
      <c r="A728" t="s">
        <v>106</v>
      </c>
      <c r="B728">
        <v>1</v>
      </c>
      <c r="C728">
        <v>0</v>
      </c>
      <c r="D728" s="3">
        <v>0</v>
      </c>
      <c r="E728">
        <v>0</v>
      </c>
      <c r="F728">
        <v>0</v>
      </c>
      <c r="G728" s="3">
        <v>0</v>
      </c>
      <c r="H728" s="10">
        <v>0</v>
      </c>
      <c r="I728" s="10">
        <v>0</v>
      </c>
      <c r="J728" s="6">
        <v>0</v>
      </c>
    </row>
    <row r="729" spans="1:10">
      <c r="A729" t="s">
        <v>106</v>
      </c>
      <c r="B729">
        <v>1</v>
      </c>
      <c r="C729">
        <v>0</v>
      </c>
      <c r="D729" s="3">
        <v>0</v>
      </c>
      <c r="E729">
        <v>0</v>
      </c>
      <c r="F729">
        <v>0</v>
      </c>
      <c r="G729" s="3">
        <v>0</v>
      </c>
      <c r="H729" s="10">
        <v>0</v>
      </c>
      <c r="I729" s="10">
        <v>0</v>
      </c>
      <c r="J729" s="6">
        <v>0</v>
      </c>
    </row>
    <row r="730" spans="1:10">
      <c r="A730" t="s">
        <v>106</v>
      </c>
      <c r="B730">
        <v>1</v>
      </c>
      <c r="C730">
        <v>0</v>
      </c>
      <c r="D730" s="3">
        <v>0</v>
      </c>
      <c r="E730">
        <v>0</v>
      </c>
      <c r="F730">
        <v>0</v>
      </c>
      <c r="G730" s="3">
        <v>0</v>
      </c>
      <c r="H730" s="10">
        <v>0</v>
      </c>
      <c r="I730" s="10">
        <v>0</v>
      </c>
      <c r="J730" s="6">
        <v>0</v>
      </c>
    </row>
    <row r="731" spans="1:10">
      <c r="A731" t="s">
        <v>106</v>
      </c>
      <c r="B731">
        <v>1</v>
      </c>
      <c r="C731">
        <v>0</v>
      </c>
      <c r="D731" s="3">
        <v>0</v>
      </c>
      <c r="E731">
        <v>0</v>
      </c>
      <c r="F731">
        <v>0</v>
      </c>
      <c r="G731" s="3">
        <v>0</v>
      </c>
      <c r="H731" s="10">
        <v>0</v>
      </c>
      <c r="I731" s="10">
        <v>0</v>
      </c>
      <c r="J731" s="6">
        <v>0</v>
      </c>
    </row>
    <row r="732" spans="1:10">
      <c r="A732" t="s">
        <v>106</v>
      </c>
      <c r="B732">
        <v>1</v>
      </c>
      <c r="C732">
        <v>125</v>
      </c>
      <c r="D732" s="3">
        <v>0</v>
      </c>
      <c r="E732">
        <v>0</v>
      </c>
      <c r="F732">
        <v>0</v>
      </c>
      <c r="G732" s="3">
        <v>1E-3</v>
      </c>
      <c r="H732" s="10">
        <v>0</v>
      </c>
      <c r="I732" s="10">
        <v>0</v>
      </c>
      <c r="J732" s="6">
        <v>0</v>
      </c>
    </row>
    <row r="733" spans="1:10">
      <c r="A733" t="s">
        <v>107</v>
      </c>
      <c r="B733">
        <v>1</v>
      </c>
      <c r="C733">
        <v>0</v>
      </c>
      <c r="D733" s="3">
        <v>0</v>
      </c>
      <c r="E733">
        <v>0</v>
      </c>
      <c r="F733">
        <v>0</v>
      </c>
      <c r="G733" s="3">
        <v>0</v>
      </c>
      <c r="H733" s="10">
        <v>0</v>
      </c>
      <c r="I733" s="10">
        <v>0</v>
      </c>
      <c r="J733" s="6">
        <v>0</v>
      </c>
    </row>
    <row r="734" spans="1:10">
      <c r="A734" t="s">
        <v>107</v>
      </c>
      <c r="B734">
        <v>1</v>
      </c>
      <c r="C734">
        <v>0</v>
      </c>
      <c r="D734" s="3">
        <v>0</v>
      </c>
      <c r="E734">
        <v>0</v>
      </c>
      <c r="F734">
        <v>0</v>
      </c>
      <c r="G734" s="3">
        <v>0</v>
      </c>
      <c r="H734" s="10">
        <v>0</v>
      </c>
      <c r="I734" s="10">
        <v>0</v>
      </c>
      <c r="J734" s="6">
        <v>0</v>
      </c>
    </row>
    <row r="735" spans="1:10">
      <c r="A735" t="s">
        <v>107</v>
      </c>
      <c r="B735">
        <v>1</v>
      </c>
      <c r="C735">
        <v>0</v>
      </c>
      <c r="D735" s="3">
        <v>0</v>
      </c>
      <c r="E735">
        <v>0</v>
      </c>
      <c r="F735">
        <v>0</v>
      </c>
      <c r="G735" s="3">
        <v>0</v>
      </c>
      <c r="H735" s="10">
        <v>0</v>
      </c>
      <c r="I735" s="10">
        <v>0</v>
      </c>
      <c r="J735" s="6">
        <v>0</v>
      </c>
    </row>
    <row r="736" spans="1:10">
      <c r="A736" t="s">
        <v>107</v>
      </c>
      <c r="B736">
        <v>1</v>
      </c>
      <c r="C736">
        <v>0</v>
      </c>
      <c r="D736" s="3">
        <v>0</v>
      </c>
      <c r="E736">
        <v>0</v>
      </c>
      <c r="F736">
        <v>0</v>
      </c>
      <c r="G736" s="3">
        <v>0</v>
      </c>
      <c r="H736" s="10">
        <v>0</v>
      </c>
      <c r="I736" s="10">
        <v>0</v>
      </c>
      <c r="J736" s="6">
        <v>0</v>
      </c>
    </row>
    <row r="737" spans="1:10">
      <c r="A737" t="s">
        <v>107</v>
      </c>
      <c r="B737">
        <v>1</v>
      </c>
      <c r="C737">
        <v>0</v>
      </c>
      <c r="D737" s="3">
        <v>0</v>
      </c>
      <c r="E737">
        <v>0</v>
      </c>
      <c r="F737">
        <v>0</v>
      </c>
      <c r="G737" s="3">
        <v>0</v>
      </c>
      <c r="H737" s="10">
        <v>0</v>
      </c>
      <c r="I737" s="10">
        <v>0</v>
      </c>
      <c r="J737" s="6">
        <v>0</v>
      </c>
    </row>
    <row r="738" spans="1:10">
      <c r="A738" t="s">
        <v>107</v>
      </c>
      <c r="B738">
        <v>1</v>
      </c>
      <c r="C738">
        <v>0</v>
      </c>
      <c r="D738" s="3">
        <v>0</v>
      </c>
      <c r="E738">
        <v>0</v>
      </c>
      <c r="F738">
        <v>0</v>
      </c>
      <c r="G738" s="3">
        <v>0</v>
      </c>
      <c r="H738" s="10">
        <v>0</v>
      </c>
      <c r="I738" s="10">
        <v>0</v>
      </c>
      <c r="J738" s="6">
        <v>0</v>
      </c>
    </row>
    <row r="739" spans="1:10">
      <c r="A739" t="s">
        <v>107</v>
      </c>
      <c r="B739">
        <v>1</v>
      </c>
      <c r="C739">
        <v>0</v>
      </c>
      <c r="D739" s="3">
        <v>0</v>
      </c>
      <c r="E739">
        <v>0</v>
      </c>
      <c r="F739">
        <v>0</v>
      </c>
      <c r="G739" s="3">
        <v>0</v>
      </c>
      <c r="H739" s="10">
        <v>0</v>
      </c>
      <c r="I739" s="10">
        <v>0</v>
      </c>
      <c r="J739" s="6">
        <v>0</v>
      </c>
    </row>
    <row r="740" spans="1:10">
      <c r="A740" t="s">
        <v>107</v>
      </c>
      <c r="B740">
        <v>1</v>
      </c>
      <c r="C740">
        <v>0</v>
      </c>
      <c r="D740" s="3">
        <v>0</v>
      </c>
      <c r="E740">
        <v>0</v>
      </c>
      <c r="F740">
        <v>0</v>
      </c>
      <c r="G740" s="3">
        <v>0</v>
      </c>
      <c r="H740" s="10">
        <v>0</v>
      </c>
      <c r="I740" s="10">
        <v>0</v>
      </c>
      <c r="J740" s="6">
        <v>0</v>
      </c>
    </row>
    <row r="741" spans="1:10">
      <c r="A741" t="s">
        <v>107</v>
      </c>
      <c r="B741">
        <v>1</v>
      </c>
      <c r="C741">
        <v>0</v>
      </c>
      <c r="D741" s="3">
        <v>0</v>
      </c>
      <c r="E741">
        <v>0</v>
      </c>
      <c r="F741">
        <v>0</v>
      </c>
      <c r="G741" s="3">
        <v>0</v>
      </c>
      <c r="H741" s="10">
        <v>0</v>
      </c>
      <c r="I741" s="10">
        <v>0</v>
      </c>
      <c r="J741" s="6">
        <v>0</v>
      </c>
    </row>
    <row r="742" spans="1:10">
      <c r="A742" t="s">
        <v>107</v>
      </c>
      <c r="B742">
        <v>1</v>
      </c>
      <c r="C742">
        <v>204</v>
      </c>
      <c r="D742" s="3">
        <v>1.47E-2</v>
      </c>
      <c r="E742">
        <v>3</v>
      </c>
      <c r="F742">
        <v>0</v>
      </c>
      <c r="G742" s="3">
        <v>0.11109999999999999</v>
      </c>
      <c r="H742" s="10">
        <v>0</v>
      </c>
      <c r="I742" s="10">
        <v>0</v>
      </c>
      <c r="J742" s="6">
        <v>0</v>
      </c>
    </row>
    <row r="743" spans="1:10">
      <c r="A743" t="s">
        <v>107</v>
      </c>
      <c r="B743">
        <v>1</v>
      </c>
      <c r="C743">
        <v>277</v>
      </c>
      <c r="D743" s="3">
        <v>1.8100000000000002E-2</v>
      </c>
      <c r="E743">
        <v>5</v>
      </c>
      <c r="F743">
        <v>0</v>
      </c>
      <c r="G743" s="3">
        <v>0.2</v>
      </c>
      <c r="H743" s="10">
        <v>0</v>
      </c>
      <c r="I743" s="10">
        <v>0</v>
      </c>
      <c r="J743" s="6">
        <v>0</v>
      </c>
    </row>
    <row r="744" spans="1:10">
      <c r="A744" t="s">
        <v>107</v>
      </c>
      <c r="B744">
        <v>1</v>
      </c>
      <c r="C744">
        <v>0</v>
      </c>
      <c r="D744" s="3">
        <v>0</v>
      </c>
      <c r="E744">
        <v>0</v>
      </c>
      <c r="F744">
        <v>0</v>
      </c>
      <c r="G744" s="3">
        <v>0</v>
      </c>
      <c r="H744" s="10">
        <v>0</v>
      </c>
      <c r="I744" s="10">
        <v>0</v>
      </c>
      <c r="J744" s="6">
        <v>0</v>
      </c>
    </row>
    <row r="745" spans="1:10">
      <c r="A745" t="s">
        <v>107</v>
      </c>
      <c r="B745">
        <v>1</v>
      </c>
      <c r="C745">
        <v>0</v>
      </c>
      <c r="D745" s="3">
        <v>0</v>
      </c>
      <c r="E745">
        <v>0</v>
      </c>
      <c r="F745">
        <v>0</v>
      </c>
      <c r="G745" s="3">
        <v>0</v>
      </c>
      <c r="H745" s="10">
        <v>0</v>
      </c>
      <c r="I745" s="10">
        <v>0</v>
      </c>
      <c r="J745" s="6">
        <v>0</v>
      </c>
    </row>
    <row r="746" spans="1:10">
      <c r="A746" t="s">
        <v>107</v>
      </c>
      <c r="B746">
        <v>1</v>
      </c>
      <c r="C746">
        <v>0</v>
      </c>
      <c r="D746" s="3">
        <v>0</v>
      </c>
      <c r="E746">
        <v>0</v>
      </c>
      <c r="F746">
        <v>0</v>
      </c>
      <c r="G746" s="3">
        <v>0</v>
      </c>
      <c r="H746" s="10">
        <v>0</v>
      </c>
      <c r="I746" s="10">
        <v>0</v>
      </c>
      <c r="J746" s="6">
        <v>0</v>
      </c>
    </row>
    <row r="747" spans="1:10">
      <c r="A747" t="s">
        <v>107</v>
      </c>
      <c r="B747">
        <v>1</v>
      </c>
      <c r="C747">
        <v>0</v>
      </c>
      <c r="D747" s="3">
        <v>0</v>
      </c>
      <c r="E747">
        <v>0</v>
      </c>
      <c r="F747">
        <v>0</v>
      </c>
      <c r="G747" s="3">
        <v>0</v>
      </c>
      <c r="H747" s="10">
        <v>0</v>
      </c>
      <c r="I747" s="10">
        <v>0</v>
      </c>
      <c r="J747" s="6">
        <v>0</v>
      </c>
    </row>
    <row r="748" spans="1:10">
      <c r="A748" t="s">
        <v>107</v>
      </c>
      <c r="B748">
        <v>1</v>
      </c>
      <c r="C748">
        <v>0</v>
      </c>
      <c r="D748" s="3">
        <v>0</v>
      </c>
      <c r="E748">
        <v>0</v>
      </c>
      <c r="F748">
        <v>0</v>
      </c>
      <c r="G748" s="3">
        <v>0</v>
      </c>
      <c r="H748" s="10">
        <v>0</v>
      </c>
      <c r="I748" s="10">
        <v>0</v>
      </c>
      <c r="J748" s="6">
        <v>0</v>
      </c>
    </row>
    <row r="749" spans="1:10">
      <c r="A749" t="s">
        <v>107</v>
      </c>
      <c r="B749">
        <v>1</v>
      </c>
      <c r="C749">
        <v>0</v>
      </c>
      <c r="D749" s="3">
        <v>0</v>
      </c>
      <c r="E749">
        <v>0</v>
      </c>
      <c r="F749">
        <v>0</v>
      </c>
      <c r="G749" s="3">
        <v>0</v>
      </c>
      <c r="H749" s="10">
        <v>0</v>
      </c>
      <c r="I749" s="10">
        <v>0</v>
      </c>
      <c r="J749" s="6">
        <v>0</v>
      </c>
    </row>
    <row r="750" spans="1:10">
      <c r="A750" t="s">
        <v>107</v>
      </c>
      <c r="B750">
        <v>1</v>
      </c>
      <c r="C750">
        <v>83</v>
      </c>
      <c r="D750" s="3">
        <v>7.2300000000000003E-2</v>
      </c>
      <c r="E750">
        <v>6</v>
      </c>
      <c r="F750">
        <v>1</v>
      </c>
      <c r="G750" s="3">
        <v>16.670000000000002</v>
      </c>
      <c r="H750" s="10">
        <v>2.58</v>
      </c>
      <c r="I750" s="10">
        <v>15.47</v>
      </c>
      <c r="J750" s="6">
        <v>15.47</v>
      </c>
    </row>
    <row r="751" spans="1:10">
      <c r="A751" t="s">
        <v>108</v>
      </c>
      <c r="B751">
        <v>1</v>
      </c>
      <c r="C751">
        <v>0</v>
      </c>
      <c r="D751" s="3">
        <v>0</v>
      </c>
      <c r="E751">
        <v>0</v>
      </c>
      <c r="F751">
        <v>0</v>
      </c>
      <c r="G751" s="3">
        <v>0</v>
      </c>
      <c r="H751" s="10">
        <v>0</v>
      </c>
      <c r="I751" s="10">
        <v>0</v>
      </c>
      <c r="J751" s="6">
        <v>0</v>
      </c>
    </row>
    <row r="752" spans="1:10">
      <c r="A752" t="s">
        <v>108</v>
      </c>
      <c r="B752">
        <v>1</v>
      </c>
      <c r="C752">
        <v>0</v>
      </c>
      <c r="D752" s="3">
        <v>0</v>
      </c>
      <c r="E752">
        <v>0</v>
      </c>
      <c r="F752">
        <v>0</v>
      </c>
      <c r="G752" s="3">
        <v>0</v>
      </c>
      <c r="H752" s="10">
        <v>0</v>
      </c>
      <c r="I752" s="10">
        <v>0</v>
      </c>
      <c r="J752" s="6">
        <v>0</v>
      </c>
    </row>
    <row r="753" spans="1:10">
      <c r="A753" t="s">
        <v>108</v>
      </c>
      <c r="B753">
        <v>1</v>
      </c>
      <c r="C753">
        <v>94</v>
      </c>
      <c r="D753" s="3">
        <v>3.1899999999999998E-2</v>
      </c>
      <c r="E753">
        <v>3</v>
      </c>
      <c r="F753">
        <v>0</v>
      </c>
      <c r="G753" s="3">
        <v>0</v>
      </c>
      <c r="H753" s="10">
        <v>0</v>
      </c>
      <c r="I753" s="10">
        <v>0</v>
      </c>
      <c r="J753" s="6">
        <v>0</v>
      </c>
    </row>
    <row r="754" spans="1:10">
      <c r="A754" t="s">
        <v>108</v>
      </c>
      <c r="B754">
        <v>1</v>
      </c>
      <c r="C754">
        <v>0</v>
      </c>
      <c r="D754" s="3">
        <v>0</v>
      </c>
      <c r="E754">
        <v>0</v>
      </c>
      <c r="F754">
        <v>0</v>
      </c>
      <c r="G754" s="3">
        <v>0</v>
      </c>
      <c r="H754" s="10">
        <v>0</v>
      </c>
      <c r="I754" s="10">
        <v>0</v>
      </c>
      <c r="J754" s="6">
        <v>0</v>
      </c>
    </row>
    <row r="755" spans="1:10">
      <c r="A755" t="s">
        <v>108</v>
      </c>
      <c r="B755">
        <v>1</v>
      </c>
      <c r="C755">
        <v>0</v>
      </c>
      <c r="D755" s="3">
        <v>0</v>
      </c>
      <c r="E755">
        <v>0</v>
      </c>
      <c r="F755">
        <v>0</v>
      </c>
      <c r="G755" s="3">
        <v>0</v>
      </c>
      <c r="H755" s="10">
        <v>0</v>
      </c>
      <c r="I755" s="10">
        <v>0</v>
      </c>
      <c r="J755" s="6">
        <v>0</v>
      </c>
    </row>
    <row r="756" spans="1:10">
      <c r="A756" t="s">
        <v>108</v>
      </c>
      <c r="B756">
        <v>1</v>
      </c>
      <c r="C756">
        <v>0</v>
      </c>
      <c r="D756" s="3">
        <v>0</v>
      </c>
      <c r="E756">
        <v>0</v>
      </c>
      <c r="F756">
        <v>0</v>
      </c>
      <c r="G756" s="3">
        <v>0</v>
      </c>
      <c r="H756" s="10">
        <v>0</v>
      </c>
      <c r="I756" s="10">
        <v>0</v>
      </c>
      <c r="J756" s="6">
        <v>0</v>
      </c>
    </row>
    <row r="757" spans="1:10">
      <c r="A757" t="s">
        <v>108</v>
      </c>
      <c r="B757">
        <v>1</v>
      </c>
      <c r="C757">
        <v>0</v>
      </c>
      <c r="D757" s="3">
        <v>0</v>
      </c>
      <c r="E757">
        <v>0</v>
      </c>
      <c r="F757">
        <v>0</v>
      </c>
      <c r="G757" s="3">
        <v>0</v>
      </c>
      <c r="H757" s="10">
        <v>0</v>
      </c>
      <c r="I757" s="10">
        <v>0</v>
      </c>
      <c r="J757" s="6">
        <v>0</v>
      </c>
    </row>
    <row r="758" spans="1:10">
      <c r="A758" t="s">
        <v>108</v>
      </c>
      <c r="B758">
        <v>1</v>
      </c>
      <c r="C758">
        <v>0</v>
      </c>
      <c r="D758" s="3">
        <v>0</v>
      </c>
      <c r="E758">
        <v>0</v>
      </c>
      <c r="F758">
        <v>0</v>
      </c>
      <c r="G758" s="3">
        <v>0</v>
      </c>
      <c r="H758" s="10">
        <v>0</v>
      </c>
      <c r="I758" s="10">
        <v>0</v>
      </c>
      <c r="J758" s="6">
        <v>0</v>
      </c>
    </row>
    <row r="759" spans="1:10">
      <c r="A759" t="s">
        <v>108</v>
      </c>
      <c r="B759">
        <v>1</v>
      </c>
      <c r="C759">
        <v>0</v>
      </c>
      <c r="D759" s="3">
        <v>0</v>
      </c>
      <c r="E759">
        <v>0</v>
      </c>
      <c r="F759">
        <v>0</v>
      </c>
      <c r="G759" s="3">
        <v>0</v>
      </c>
      <c r="H759" s="10">
        <v>0</v>
      </c>
      <c r="I759" s="10">
        <v>0</v>
      </c>
      <c r="J759" s="6">
        <v>0</v>
      </c>
    </row>
    <row r="760" spans="1:10">
      <c r="A760" t="s">
        <v>108</v>
      </c>
      <c r="B760">
        <v>1</v>
      </c>
      <c r="C760">
        <v>103</v>
      </c>
      <c r="D760" s="3">
        <v>0</v>
      </c>
      <c r="E760">
        <v>0</v>
      </c>
      <c r="F760">
        <v>0</v>
      </c>
      <c r="G760" s="3">
        <v>0</v>
      </c>
      <c r="H760" s="10">
        <v>0</v>
      </c>
      <c r="I760" s="10">
        <v>0</v>
      </c>
      <c r="J760" s="6">
        <v>0</v>
      </c>
    </row>
    <row r="761" spans="1:10">
      <c r="A761" t="s">
        <v>109</v>
      </c>
      <c r="B761">
        <v>1</v>
      </c>
      <c r="C761">
        <v>0</v>
      </c>
      <c r="D761" s="3">
        <v>0</v>
      </c>
      <c r="E761">
        <v>0</v>
      </c>
      <c r="F761">
        <v>0</v>
      </c>
      <c r="G761" s="3">
        <v>0</v>
      </c>
      <c r="H761" s="10">
        <v>0</v>
      </c>
      <c r="I761" s="10">
        <v>0</v>
      </c>
      <c r="J761" s="6">
        <v>0</v>
      </c>
    </row>
    <row r="762" spans="1:10">
      <c r="A762" t="s">
        <v>109</v>
      </c>
      <c r="B762">
        <v>1</v>
      </c>
      <c r="C762">
        <v>0</v>
      </c>
      <c r="D762" s="3">
        <v>0</v>
      </c>
      <c r="E762">
        <v>0</v>
      </c>
      <c r="F762">
        <v>0</v>
      </c>
      <c r="G762" s="3">
        <v>0</v>
      </c>
      <c r="H762" s="10">
        <v>0</v>
      </c>
      <c r="I762" s="10">
        <v>0</v>
      </c>
      <c r="J762" s="6">
        <v>0</v>
      </c>
    </row>
    <row r="763" spans="1:10">
      <c r="A763" t="s">
        <v>109</v>
      </c>
      <c r="B763">
        <v>1</v>
      </c>
      <c r="C763">
        <v>0</v>
      </c>
      <c r="D763" s="3">
        <v>0</v>
      </c>
      <c r="E763">
        <v>0</v>
      </c>
      <c r="F763">
        <v>0</v>
      </c>
      <c r="G763" s="3">
        <v>0</v>
      </c>
      <c r="H763" s="10">
        <v>0</v>
      </c>
      <c r="I763" s="10">
        <v>0</v>
      </c>
      <c r="J763" s="6">
        <v>0</v>
      </c>
    </row>
    <row r="764" spans="1:10">
      <c r="A764" t="s">
        <v>109</v>
      </c>
      <c r="B764">
        <v>1</v>
      </c>
      <c r="C764">
        <v>469</v>
      </c>
      <c r="D764" s="3">
        <v>2.7699999999999999E-2</v>
      </c>
      <c r="E764">
        <v>13</v>
      </c>
      <c r="F764">
        <v>1</v>
      </c>
      <c r="G764" s="3">
        <v>7.69</v>
      </c>
      <c r="H764" s="10">
        <v>0.08</v>
      </c>
      <c r="I764" s="10">
        <v>1.05</v>
      </c>
      <c r="J764" s="6">
        <v>1.05</v>
      </c>
    </row>
    <row r="765" spans="1:10">
      <c r="A765" t="s">
        <v>109</v>
      </c>
      <c r="B765">
        <v>1</v>
      </c>
      <c r="C765">
        <v>60</v>
      </c>
      <c r="D765" s="3">
        <v>0.1167</v>
      </c>
      <c r="E765">
        <v>7</v>
      </c>
      <c r="F765">
        <v>0</v>
      </c>
      <c r="G765" s="3">
        <v>0</v>
      </c>
      <c r="H765" s="10">
        <v>0</v>
      </c>
      <c r="I765" s="10">
        <v>0</v>
      </c>
      <c r="J765" s="6">
        <v>0</v>
      </c>
    </row>
    <row r="766" spans="1:10">
      <c r="A766" t="s">
        <v>110</v>
      </c>
      <c r="B766">
        <v>1</v>
      </c>
      <c r="C766">
        <v>0</v>
      </c>
      <c r="D766" s="3">
        <v>0</v>
      </c>
      <c r="E766">
        <v>0</v>
      </c>
      <c r="F766">
        <v>0</v>
      </c>
      <c r="G766" s="3">
        <v>0</v>
      </c>
      <c r="H766" s="10">
        <v>0</v>
      </c>
      <c r="I766" s="10">
        <v>0</v>
      </c>
      <c r="J766" s="6">
        <v>0</v>
      </c>
    </row>
    <row r="767" spans="1:10">
      <c r="A767" t="s">
        <v>110</v>
      </c>
      <c r="B767">
        <v>1</v>
      </c>
      <c r="C767">
        <v>0</v>
      </c>
      <c r="D767" s="3">
        <v>0</v>
      </c>
      <c r="E767">
        <v>0</v>
      </c>
      <c r="F767">
        <v>0</v>
      </c>
      <c r="G767" s="3">
        <v>0</v>
      </c>
      <c r="H767" s="10">
        <v>0</v>
      </c>
      <c r="I767" s="10">
        <v>0</v>
      </c>
      <c r="J767" s="6">
        <v>0</v>
      </c>
    </row>
    <row r="768" spans="1:10">
      <c r="A768" t="s">
        <v>101</v>
      </c>
      <c r="B768">
        <v>1</v>
      </c>
      <c r="C768">
        <v>0</v>
      </c>
      <c r="D768" s="3">
        <v>0</v>
      </c>
      <c r="E768">
        <v>0</v>
      </c>
      <c r="F768">
        <v>0</v>
      </c>
      <c r="G768" s="3">
        <v>0</v>
      </c>
      <c r="H768" s="10">
        <v>0</v>
      </c>
      <c r="I768" s="10">
        <v>0</v>
      </c>
      <c r="J768" s="6">
        <v>0</v>
      </c>
    </row>
    <row r="769" spans="1:10">
      <c r="A769" t="s">
        <v>101</v>
      </c>
      <c r="B769">
        <v>1</v>
      </c>
      <c r="C769">
        <v>0</v>
      </c>
      <c r="D769" s="3">
        <v>0</v>
      </c>
      <c r="E769">
        <v>0</v>
      </c>
      <c r="F769">
        <v>0</v>
      </c>
      <c r="G769" s="3">
        <v>0</v>
      </c>
      <c r="H769" s="10">
        <v>0</v>
      </c>
      <c r="I769" s="10">
        <v>0</v>
      </c>
      <c r="J769" s="6">
        <v>0</v>
      </c>
    </row>
    <row r="770" spans="1:10">
      <c r="A770" t="s">
        <v>101</v>
      </c>
      <c r="B770">
        <v>1</v>
      </c>
      <c r="C770">
        <v>0</v>
      </c>
      <c r="D770" s="3">
        <v>0</v>
      </c>
      <c r="E770">
        <v>0</v>
      </c>
      <c r="F770">
        <v>0</v>
      </c>
      <c r="G770" s="3">
        <v>0</v>
      </c>
      <c r="H770" s="10">
        <v>0</v>
      </c>
      <c r="I770" s="10">
        <v>0</v>
      </c>
      <c r="J770" s="6">
        <v>0</v>
      </c>
    </row>
    <row r="771" spans="1:10">
      <c r="A771" t="s">
        <v>101</v>
      </c>
      <c r="B771">
        <v>1</v>
      </c>
      <c r="C771">
        <v>0</v>
      </c>
      <c r="D771" s="3">
        <v>0</v>
      </c>
      <c r="E771">
        <v>0</v>
      </c>
      <c r="F771">
        <v>0</v>
      </c>
      <c r="G771" s="3">
        <v>0</v>
      </c>
      <c r="H771" s="10">
        <v>0</v>
      </c>
      <c r="I771" s="10">
        <v>0</v>
      </c>
      <c r="J771" s="6">
        <v>0</v>
      </c>
    </row>
    <row r="772" spans="1:10">
      <c r="A772" t="s">
        <v>101</v>
      </c>
      <c r="B772">
        <v>1</v>
      </c>
      <c r="C772">
        <v>0</v>
      </c>
      <c r="D772" s="3">
        <v>0</v>
      </c>
      <c r="E772">
        <v>0</v>
      </c>
      <c r="F772">
        <v>0</v>
      </c>
      <c r="G772" s="3">
        <v>0</v>
      </c>
      <c r="H772" s="10">
        <v>0</v>
      </c>
      <c r="I772" s="10">
        <v>0</v>
      </c>
      <c r="J772" s="6">
        <v>0</v>
      </c>
    </row>
    <row r="773" spans="1:10">
      <c r="A773" t="s">
        <v>101</v>
      </c>
      <c r="B773">
        <v>1</v>
      </c>
      <c r="C773">
        <v>0</v>
      </c>
      <c r="D773" s="3">
        <v>0</v>
      </c>
      <c r="E773">
        <v>0</v>
      </c>
      <c r="F773">
        <v>0</v>
      </c>
      <c r="G773" s="3">
        <v>0</v>
      </c>
      <c r="H773" s="10">
        <v>0</v>
      </c>
      <c r="I773" s="10">
        <v>0</v>
      </c>
      <c r="J773" s="6">
        <v>0</v>
      </c>
    </row>
    <row r="774" spans="1:10">
      <c r="A774" t="s">
        <v>101</v>
      </c>
      <c r="B774">
        <v>1</v>
      </c>
      <c r="C774">
        <v>121</v>
      </c>
      <c r="D774" s="3">
        <v>4.1299999999999996E-2</v>
      </c>
      <c r="E774">
        <v>5</v>
      </c>
      <c r="F774">
        <v>0</v>
      </c>
      <c r="G774" s="3">
        <v>1.4289999999999999E-3</v>
      </c>
      <c r="H774" s="10">
        <v>0</v>
      </c>
      <c r="I774" s="10">
        <v>0</v>
      </c>
      <c r="J774" s="6">
        <v>0</v>
      </c>
    </row>
    <row r="775" spans="1:10">
      <c r="A775" t="s">
        <v>101</v>
      </c>
      <c r="B775">
        <v>1</v>
      </c>
      <c r="C775">
        <v>144</v>
      </c>
      <c r="D775" s="3">
        <v>6.8999999999999999E-3</v>
      </c>
      <c r="E775">
        <v>1</v>
      </c>
      <c r="F775">
        <v>0</v>
      </c>
      <c r="G775" s="3">
        <v>6.6699999999999995E-4</v>
      </c>
      <c r="H775" s="10">
        <v>0</v>
      </c>
      <c r="I775" s="10">
        <v>0</v>
      </c>
      <c r="J775" s="6">
        <v>0</v>
      </c>
    </row>
    <row r="776" spans="1:10">
      <c r="A776" t="s">
        <v>101</v>
      </c>
      <c r="B776">
        <v>1</v>
      </c>
      <c r="C776">
        <v>159</v>
      </c>
      <c r="D776" s="3">
        <v>3.1400000000000004E-2</v>
      </c>
      <c r="E776">
        <v>5</v>
      </c>
      <c r="F776">
        <v>0</v>
      </c>
      <c r="G776" s="3">
        <v>8.0000000000000004E-4</v>
      </c>
      <c r="H776" s="10">
        <v>0</v>
      </c>
      <c r="I776" s="10">
        <v>0</v>
      </c>
      <c r="J776" s="6">
        <v>0</v>
      </c>
    </row>
    <row r="777" spans="1:10">
      <c r="A777" t="s">
        <v>101</v>
      </c>
      <c r="B777">
        <v>1</v>
      </c>
      <c r="C777">
        <v>274</v>
      </c>
      <c r="D777" s="3">
        <v>1.46E-2</v>
      </c>
      <c r="E777">
        <v>4</v>
      </c>
      <c r="F777">
        <v>1</v>
      </c>
      <c r="G777" s="3">
        <v>0.25</v>
      </c>
      <c r="H777" s="10">
        <v>0</v>
      </c>
      <c r="I777" s="10">
        <v>0</v>
      </c>
      <c r="J777" s="6">
        <v>0</v>
      </c>
    </row>
    <row r="778" spans="1:10">
      <c r="A778" t="s">
        <v>101</v>
      </c>
      <c r="B778">
        <v>1</v>
      </c>
      <c r="C778">
        <v>0</v>
      </c>
      <c r="D778" s="3">
        <v>0</v>
      </c>
      <c r="E778">
        <v>0</v>
      </c>
      <c r="F778">
        <v>0</v>
      </c>
      <c r="G778" s="3">
        <v>0</v>
      </c>
      <c r="H778" s="10">
        <v>0</v>
      </c>
      <c r="I778" s="10">
        <v>0</v>
      </c>
      <c r="J778" s="6">
        <v>0</v>
      </c>
    </row>
    <row r="779" spans="1:10">
      <c r="A779" t="s">
        <v>101</v>
      </c>
      <c r="B779">
        <v>1</v>
      </c>
      <c r="C779">
        <v>0</v>
      </c>
      <c r="D779" s="3">
        <v>0</v>
      </c>
      <c r="E779">
        <v>0</v>
      </c>
      <c r="F779">
        <v>0</v>
      </c>
      <c r="G779" s="3">
        <v>0</v>
      </c>
      <c r="H779" s="10">
        <v>0</v>
      </c>
      <c r="I779" s="10">
        <v>0</v>
      </c>
      <c r="J779" s="6">
        <v>0</v>
      </c>
    </row>
    <row r="780" spans="1:10">
      <c r="A780" t="s">
        <v>101</v>
      </c>
      <c r="B780">
        <v>1</v>
      </c>
      <c r="C780">
        <v>81</v>
      </c>
      <c r="D780" s="3">
        <v>4.9400000000000006E-2</v>
      </c>
      <c r="E780">
        <v>4</v>
      </c>
      <c r="F780">
        <v>0</v>
      </c>
      <c r="G780" s="3">
        <v>0</v>
      </c>
      <c r="H780" s="10">
        <v>0</v>
      </c>
      <c r="I780" s="10">
        <v>0</v>
      </c>
      <c r="J780" s="6">
        <v>0</v>
      </c>
    </row>
  </sheetData>
  <autoFilter ref="A1:J780" xr:uid="{00000000-0001-0000-0000-000000000000}">
    <sortState xmlns:xlrd2="http://schemas.microsoft.com/office/spreadsheetml/2017/richdata2" ref="A8:J605">
      <sortCondition ref="A1:A780"/>
    </sortState>
  </autoFilter>
  <pageMargins left="0.7" right="0.7" top="0.75" bottom="0.75" header="0.3" footer="0.3"/>
  <ignoredErrors>
    <ignoredError sqref="H1:J1 A1 C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50DE-4C5A-4B7F-A0DC-DB5F22110846}">
  <dimension ref="B2:K152"/>
  <sheetViews>
    <sheetView zoomScale="70" zoomScaleNormal="70" workbookViewId="0">
      <selection activeCell="B101" sqref="B101"/>
    </sheetView>
  </sheetViews>
  <sheetFormatPr defaultRowHeight="15.6"/>
  <cols>
    <col min="2" max="2" width="46" bestFit="1" customWidth="1"/>
    <col min="3" max="3" width="22.125" bestFit="1" customWidth="1"/>
    <col min="4" max="4" width="28.5" bestFit="1" customWidth="1"/>
    <col min="5" max="5" width="23.375" bestFit="1" customWidth="1"/>
    <col min="6" max="6" width="40" bestFit="1" customWidth="1"/>
    <col min="7" max="7" width="25.875" style="10" bestFit="1" customWidth="1"/>
    <col min="8" max="8" width="35.375" bestFit="1" customWidth="1"/>
    <col min="9" max="9" width="42.875" style="3" bestFit="1" customWidth="1"/>
    <col min="10" max="10" width="38" style="10" bestFit="1" customWidth="1"/>
    <col min="11" max="11" width="16.25" bestFit="1" customWidth="1"/>
  </cols>
  <sheetData>
    <row r="2" spans="2:11">
      <c r="B2" s="7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118</v>
      </c>
      <c r="J2" t="s">
        <v>119</v>
      </c>
      <c r="K2" t="s">
        <v>120</v>
      </c>
    </row>
    <row r="3" spans="2:11">
      <c r="B3" s="8" t="s">
        <v>10</v>
      </c>
      <c r="C3">
        <v>2</v>
      </c>
      <c r="D3">
        <v>64</v>
      </c>
      <c r="E3">
        <v>8</v>
      </c>
      <c r="F3" s="9">
        <v>6.25E-2</v>
      </c>
      <c r="G3">
        <v>0.23</v>
      </c>
      <c r="H3">
        <v>2</v>
      </c>
      <c r="I3">
        <v>12.5</v>
      </c>
      <c r="J3">
        <v>0.91500000000000004</v>
      </c>
      <c r="K3" s="6">
        <v>3.66</v>
      </c>
    </row>
    <row r="4" spans="2:11">
      <c r="B4" s="8" t="s">
        <v>11</v>
      </c>
      <c r="C4">
        <v>2</v>
      </c>
      <c r="D4">
        <v>54</v>
      </c>
      <c r="E4">
        <v>0</v>
      </c>
      <c r="F4" s="9">
        <v>0</v>
      </c>
      <c r="G4">
        <v>0</v>
      </c>
      <c r="H4">
        <v>0</v>
      </c>
      <c r="I4">
        <v>0</v>
      </c>
      <c r="J4">
        <v>0</v>
      </c>
      <c r="K4" s="6">
        <v>0</v>
      </c>
    </row>
    <row r="5" spans="2:11">
      <c r="B5" s="8" t="s">
        <v>14</v>
      </c>
      <c r="C5">
        <v>1</v>
      </c>
      <c r="D5">
        <v>0</v>
      </c>
      <c r="E5">
        <v>0</v>
      </c>
      <c r="F5" s="9">
        <v>0</v>
      </c>
      <c r="G5">
        <v>0</v>
      </c>
      <c r="H5">
        <v>0</v>
      </c>
      <c r="I5">
        <v>0</v>
      </c>
      <c r="J5">
        <v>0</v>
      </c>
      <c r="K5" s="6">
        <v>0</v>
      </c>
    </row>
    <row r="6" spans="2:11">
      <c r="B6" s="8" t="s">
        <v>15</v>
      </c>
      <c r="C6">
        <v>1</v>
      </c>
      <c r="D6">
        <v>272</v>
      </c>
      <c r="E6">
        <v>13</v>
      </c>
      <c r="F6" s="9">
        <v>4.7800000000000002E-2</v>
      </c>
      <c r="G6">
        <v>2.0299999999999998</v>
      </c>
      <c r="H6">
        <v>3</v>
      </c>
      <c r="I6">
        <v>0.2</v>
      </c>
      <c r="J6">
        <v>8.81</v>
      </c>
      <c r="K6" s="6">
        <v>26.44</v>
      </c>
    </row>
    <row r="7" spans="2:11">
      <c r="B7" s="8" t="s">
        <v>16</v>
      </c>
      <c r="C7">
        <v>21</v>
      </c>
      <c r="D7">
        <v>1405</v>
      </c>
      <c r="E7">
        <v>86</v>
      </c>
      <c r="F7" s="9">
        <v>1.7804761904761907E-2</v>
      </c>
      <c r="G7">
        <v>0.43571428571428572</v>
      </c>
      <c r="H7">
        <v>12</v>
      </c>
      <c r="I7">
        <v>0.87423876190476202</v>
      </c>
      <c r="J7">
        <v>2.579047619047619</v>
      </c>
      <c r="K7" s="6">
        <v>110.22</v>
      </c>
    </row>
    <row r="8" spans="2:11">
      <c r="B8" s="8" t="s">
        <v>17</v>
      </c>
      <c r="C8">
        <v>4</v>
      </c>
      <c r="D8">
        <v>1339</v>
      </c>
      <c r="E8">
        <v>78</v>
      </c>
      <c r="F8" s="9">
        <v>5.8525000000000008E-2</v>
      </c>
      <c r="G8">
        <v>1.6575000000000002</v>
      </c>
      <c r="H8">
        <v>10</v>
      </c>
      <c r="I8">
        <v>13.4025</v>
      </c>
      <c r="J8">
        <v>8.7824999999999989</v>
      </c>
      <c r="K8" s="6">
        <v>117.58000000000001</v>
      </c>
    </row>
    <row r="9" spans="2:11">
      <c r="B9" s="8" t="s">
        <v>13</v>
      </c>
      <c r="C9">
        <v>25</v>
      </c>
      <c r="D9">
        <v>1638</v>
      </c>
      <c r="E9">
        <v>105</v>
      </c>
      <c r="F9" s="9">
        <v>1.5855999999999999E-2</v>
      </c>
      <c r="G9">
        <v>9.9199999999999983E-2</v>
      </c>
      <c r="H9">
        <v>12</v>
      </c>
      <c r="I9">
        <v>1.7149159999999997</v>
      </c>
      <c r="J9">
        <v>0.58799999999999997</v>
      </c>
      <c r="K9" s="6">
        <v>40.99</v>
      </c>
    </row>
    <row r="10" spans="2:11">
      <c r="B10" s="8" t="s">
        <v>18</v>
      </c>
      <c r="C10">
        <v>5</v>
      </c>
      <c r="D10">
        <v>0</v>
      </c>
      <c r="E10">
        <v>0</v>
      </c>
      <c r="F10" s="9">
        <v>0</v>
      </c>
      <c r="G10">
        <v>0</v>
      </c>
      <c r="H10">
        <v>0</v>
      </c>
      <c r="I10">
        <v>0</v>
      </c>
      <c r="J10">
        <v>0</v>
      </c>
      <c r="K10" s="6">
        <v>0</v>
      </c>
    </row>
    <row r="11" spans="2:11">
      <c r="B11" s="8" t="s">
        <v>19</v>
      </c>
      <c r="C11">
        <v>6</v>
      </c>
      <c r="D11">
        <v>0</v>
      </c>
      <c r="E11">
        <v>0</v>
      </c>
      <c r="F11" s="9">
        <v>0</v>
      </c>
      <c r="G11">
        <v>0</v>
      </c>
      <c r="H11">
        <v>0</v>
      </c>
      <c r="I11">
        <v>0</v>
      </c>
      <c r="J11">
        <v>0</v>
      </c>
      <c r="K11" s="6">
        <v>0</v>
      </c>
    </row>
    <row r="12" spans="2:11">
      <c r="B12" s="8" t="s">
        <v>20</v>
      </c>
      <c r="C12">
        <v>15</v>
      </c>
      <c r="D12">
        <v>1375</v>
      </c>
      <c r="E12">
        <v>94</v>
      </c>
      <c r="F12" s="9">
        <v>1.8793333333333332E-2</v>
      </c>
      <c r="G12">
        <v>0.26933333333333331</v>
      </c>
      <c r="H12">
        <v>9</v>
      </c>
      <c r="I12">
        <v>1.5766666666666667</v>
      </c>
      <c r="J12">
        <v>2.6019999999999999</v>
      </c>
      <c r="K12" s="6">
        <v>95.18</v>
      </c>
    </row>
    <row r="13" spans="2:11">
      <c r="B13" s="8" t="s">
        <v>21</v>
      </c>
      <c r="C13">
        <v>17</v>
      </c>
      <c r="D13">
        <v>194</v>
      </c>
      <c r="E13">
        <v>11</v>
      </c>
      <c r="F13" s="9">
        <v>3.3352941176470587E-3</v>
      </c>
      <c r="G13">
        <v>0.12235294117647059</v>
      </c>
      <c r="H13">
        <v>3</v>
      </c>
      <c r="I13">
        <v>7.3529411764705881E-3</v>
      </c>
      <c r="J13">
        <v>0.44882352941176468</v>
      </c>
      <c r="K13" s="6">
        <v>22.89</v>
      </c>
    </row>
    <row r="14" spans="2:11">
      <c r="B14" s="8" t="s">
        <v>22</v>
      </c>
      <c r="C14">
        <v>15</v>
      </c>
      <c r="D14">
        <v>1067</v>
      </c>
      <c r="E14">
        <v>97</v>
      </c>
      <c r="F14" s="9">
        <v>7.9860000000000014E-2</v>
      </c>
      <c r="G14">
        <v>0.28399999999999997</v>
      </c>
      <c r="H14">
        <v>11</v>
      </c>
      <c r="I14">
        <v>5.8685888666666663</v>
      </c>
      <c r="J14">
        <v>1.5733333333333335</v>
      </c>
      <c r="K14" s="6">
        <v>35.550000000000004</v>
      </c>
    </row>
    <row r="15" spans="2:11">
      <c r="B15" s="8" t="s">
        <v>23</v>
      </c>
      <c r="C15">
        <v>7</v>
      </c>
      <c r="D15">
        <v>134</v>
      </c>
      <c r="E15">
        <v>15</v>
      </c>
      <c r="F15" s="9">
        <v>1.5985714285714287E-2</v>
      </c>
      <c r="G15">
        <v>0.16</v>
      </c>
      <c r="H15">
        <v>2</v>
      </c>
      <c r="I15">
        <v>1.7857142857142857E-4</v>
      </c>
      <c r="J15">
        <v>1.1971428571428573</v>
      </c>
      <c r="K15" s="6">
        <v>16.760000000000002</v>
      </c>
    </row>
    <row r="16" spans="2:11">
      <c r="B16" s="8" t="s">
        <v>24</v>
      </c>
      <c r="C16">
        <v>10</v>
      </c>
      <c r="D16">
        <v>0</v>
      </c>
      <c r="E16">
        <v>0</v>
      </c>
      <c r="F16" s="9">
        <v>0</v>
      </c>
      <c r="G16">
        <v>0</v>
      </c>
      <c r="H16">
        <v>0</v>
      </c>
      <c r="I16">
        <v>0</v>
      </c>
      <c r="J16">
        <v>0</v>
      </c>
      <c r="K16" s="6">
        <v>0</v>
      </c>
    </row>
    <row r="17" spans="2:11">
      <c r="B17" s="8" t="s">
        <v>25</v>
      </c>
      <c r="C17">
        <v>7</v>
      </c>
      <c r="D17">
        <v>0</v>
      </c>
      <c r="E17">
        <v>0</v>
      </c>
      <c r="F17" s="9">
        <v>0</v>
      </c>
      <c r="G17">
        <v>0</v>
      </c>
      <c r="H17">
        <v>0</v>
      </c>
      <c r="I17">
        <v>0</v>
      </c>
      <c r="J17">
        <v>0</v>
      </c>
      <c r="K17" s="6">
        <v>0</v>
      </c>
    </row>
    <row r="18" spans="2:11">
      <c r="B18" s="8" t="s">
        <v>26</v>
      </c>
      <c r="C18">
        <v>17</v>
      </c>
      <c r="D18">
        <v>2394</v>
      </c>
      <c r="E18">
        <v>168</v>
      </c>
      <c r="F18" s="9">
        <v>4.4152941176470589E-2</v>
      </c>
      <c r="G18">
        <v>0.29882352941176465</v>
      </c>
      <c r="H18">
        <v>18</v>
      </c>
      <c r="I18">
        <v>1.7091681764705882</v>
      </c>
      <c r="J18">
        <v>2.4258823529411764</v>
      </c>
      <c r="K18" s="6">
        <v>84.170000000000016</v>
      </c>
    </row>
    <row r="19" spans="2:11">
      <c r="B19" s="8" t="s">
        <v>27</v>
      </c>
      <c r="C19">
        <v>2</v>
      </c>
      <c r="D19">
        <v>678</v>
      </c>
      <c r="E19">
        <v>59</v>
      </c>
      <c r="F19" s="9">
        <v>8.7050000000000002E-2</v>
      </c>
      <c r="G19">
        <v>0.53500000000000003</v>
      </c>
      <c r="H19">
        <v>9</v>
      </c>
      <c r="I19">
        <v>14.93</v>
      </c>
      <c r="J19">
        <v>3.2149999999999999</v>
      </c>
      <c r="K19" s="6">
        <v>33.200000000000003</v>
      </c>
    </row>
    <row r="20" spans="2:11">
      <c r="B20" s="8" t="s">
        <v>28</v>
      </c>
      <c r="C20">
        <v>12</v>
      </c>
      <c r="D20">
        <v>0</v>
      </c>
      <c r="E20">
        <v>0</v>
      </c>
      <c r="F20" s="9">
        <v>0</v>
      </c>
      <c r="G20">
        <v>0</v>
      </c>
      <c r="H20">
        <v>0</v>
      </c>
      <c r="I20">
        <v>0</v>
      </c>
      <c r="J20">
        <v>0</v>
      </c>
      <c r="K20" s="6">
        <v>0</v>
      </c>
    </row>
    <row r="21" spans="2:11">
      <c r="B21" s="8" t="s">
        <v>29</v>
      </c>
      <c r="C21">
        <v>10</v>
      </c>
      <c r="D21">
        <v>0</v>
      </c>
      <c r="E21">
        <v>0</v>
      </c>
      <c r="F21" s="9">
        <v>0</v>
      </c>
      <c r="G21">
        <v>0</v>
      </c>
      <c r="H21">
        <v>0</v>
      </c>
      <c r="I21">
        <v>0</v>
      </c>
      <c r="J21">
        <v>0</v>
      </c>
      <c r="K21" s="6">
        <v>0</v>
      </c>
    </row>
    <row r="22" spans="2:11">
      <c r="B22" s="8" t="s">
        <v>30</v>
      </c>
      <c r="C22">
        <v>4</v>
      </c>
      <c r="D22">
        <v>693</v>
      </c>
      <c r="E22">
        <v>26</v>
      </c>
      <c r="F22" s="9">
        <v>3.5349999999999999E-2</v>
      </c>
      <c r="G22">
        <v>1.6025</v>
      </c>
      <c r="H22">
        <v>2</v>
      </c>
      <c r="I22">
        <v>8.414091749999999</v>
      </c>
      <c r="J22">
        <v>5.9399999999999995</v>
      </c>
      <c r="K22" s="6">
        <v>23.759999999999998</v>
      </c>
    </row>
    <row r="23" spans="2:11">
      <c r="B23" s="8" t="s">
        <v>31</v>
      </c>
      <c r="C23">
        <v>2</v>
      </c>
      <c r="D23">
        <v>0</v>
      </c>
      <c r="E23">
        <v>0</v>
      </c>
      <c r="F23" s="9">
        <v>0</v>
      </c>
      <c r="G23">
        <v>0</v>
      </c>
      <c r="H23">
        <v>0</v>
      </c>
      <c r="I23">
        <v>0</v>
      </c>
      <c r="J23">
        <v>0</v>
      </c>
      <c r="K23" s="6">
        <v>0</v>
      </c>
    </row>
    <row r="24" spans="2:11">
      <c r="B24" s="8" t="s">
        <v>32</v>
      </c>
      <c r="C24">
        <v>11</v>
      </c>
      <c r="D24">
        <v>0</v>
      </c>
      <c r="E24">
        <v>0</v>
      </c>
      <c r="F24" s="9">
        <v>0</v>
      </c>
      <c r="G24">
        <v>0</v>
      </c>
      <c r="H24">
        <v>0</v>
      </c>
      <c r="I24">
        <v>0</v>
      </c>
      <c r="J24">
        <v>0</v>
      </c>
      <c r="K24" s="6">
        <v>0</v>
      </c>
    </row>
    <row r="25" spans="2:11">
      <c r="B25" s="8" t="s">
        <v>33</v>
      </c>
      <c r="C25">
        <v>2</v>
      </c>
      <c r="D25">
        <v>0</v>
      </c>
      <c r="E25">
        <v>0</v>
      </c>
      <c r="F25" s="9">
        <v>0</v>
      </c>
      <c r="G25">
        <v>0</v>
      </c>
      <c r="H25">
        <v>0</v>
      </c>
      <c r="I25">
        <v>0</v>
      </c>
      <c r="J25">
        <v>0</v>
      </c>
      <c r="K25" s="6">
        <v>0</v>
      </c>
    </row>
    <row r="26" spans="2:11">
      <c r="B26" s="8" t="s">
        <v>34</v>
      </c>
      <c r="C26">
        <v>14</v>
      </c>
      <c r="D26">
        <v>1755</v>
      </c>
      <c r="E26">
        <v>110</v>
      </c>
      <c r="F26" s="9">
        <v>1.7435714285714284E-2</v>
      </c>
      <c r="G26">
        <v>0.35571428571428576</v>
      </c>
      <c r="H26">
        <v>10</v>
      </c>
      <c r="I26">
        <v>3.2214285714285715</v>
      </c>
      <c r="J26">
        <v>2.4842857142857144</v>
      </c>
      <c r="K26" s="6">
        <v>114.1</v>
      </c>
    </row>
    <row r="27" spans="2:11">
      <c r="B27" s="8" t="s">
        <v>35</v>
      </c>
      <c r="C27">
        <v>24</v>
      </c>
      <c r="D27">
        <v>3146</v>
      </c>
      <c r="E27">
        <v>222</v>
      </c>
      <c r="F27" s="9">
        <v>3.2233333333333329E-2</v>
      </c>
      <c r="G27">
        <v>0.32583333333333336</v>
      </c>
      <c r="H27">
        <v>20</v>
      </c>
      <c r="I27">
        <v>1.899180791666667</v>
      </c>
      <c r="J27">
        <v>3.8483333333333327</v>
      </c>
      <c r="K27" s="6">
        <v>163.80000000000001</v>
      </c>
    </row>
    <row r="28" spans="2:11">
      <c r="B28" s="8" t="s">
        <v>36</v>
      </c>
      <c r="C28">
        <v>1</v>
      </c>
      <c r="D28">
        <v>0</v>
      </c>
      <c r="E28">
        <v>0</v>
      </c>
      <c r="F28" s="9">
        <v>0</v>
      </c>
      <c r="G28">
        <v>0</v>
      </c>
      <c r="H28">
        <v>0</v>
      </c>
      <c r="I28">
        <v>0</v>
      </c>
      <c r="J28">
        <v>0</v>
      </c>
      <c r="K28" s="6">
        <v>0</v>
      </c>
    </row>
    <row r="29" spans="2:11">
      <c r="B29" s="8" t="s">
        <v>37</v>
      </c>
      <c r="C29">
        <v>1</v>
      </c>
      <c r="D29">
        <v>0</v>
      </c>
      <c r="E29">
        <v>0</v>
      </c>
      <c r="F29" s="9">
        <v>0</v>
      </c>
      <c r="G29">
        <v>0</v>
      </c>
      <c r="H29">
        <v>0</v>
      </c>
      <c r="I29">
        <v>0</v>
      </c>
      <c r="J29">
        <v>0</v>
      </c>
      <c r="K29" s="6">
        <v>0</v>
      </c>
    </row>
    <row r="30" spans="2:11">
      <c r="B30" s="8" t="s">
        <v>38</v>
      </c>
      <c r="C30">
        <v>1</v>
      </c>
      <c r="D30">
        <v>0</v>
      </c>
      <c r="E30">
        <v>0</v>
      </c>
      <c r="F30" s="9">
        <v>0</v>
      </c>
      <c r="G30">
        <v>0</v>
      </c>
      <c r="H30">
        <v>0</v>
      </c>
      <c r="I30">
        <v>0</v>
      </c>
      <c r="J30">
        <v>0</v>
      </c>
      <c r="K30" s="6">
        <v>0</v>
      </c>
    </row>
    <row r="31" spans="2:11">
      <c r="B31" s="8" t="s">
        <v>39</v>
      </c>
      <c r="C31">
        <v>1</v>
      </c>
      <c r="D31">
        <v>0</v>
      </c>
      <c r="E31">
        <v>0</v>
      </c>
      <c r="F31" s="9">
        <v>0</v>
      </c>
      <c r="G31">
        <v>0</v>
      </c>
      <c r="H31">
        <v>0</v>
      </c>
      <c r="I31">
        <v>0</v>
      </c>
      <c r="J31">
        <v>0</v>
      </c>
      <c r="K31" s="6">
        <v>0</v>
      </c>
    </row>
    <row r="32" spans="2:11">
      <c r="B32" s="8" t="s">
        <v>40</v>
      </c>
      <c r="C32">
        <v>1</v>
      </c>
      <c r="D32">
        <v>0</v>
      </c>
      <c r="E32">
        <v>0</v>
      </c>
      <c r="F32" s="9">
        <v>0</v>
      </c>
      <c r="G32">
        <v>0</v>
      </c>
      <c r="H32">
        <v>0</v>
      </c>
      <c r="I32">
        <v>0</v>
      </c>
      <c r="J32">
        <v>0</v>
      </c>
      <c r="K32" s="6">
        <v>0</v>
      </c>
    </row>
    <row r="33" spans="2:11">
      <c r="B33" s="8" t="s">
        <v>41</v>
      </c>
      <c r="C33">
        <v>1</v>
      </c>
      <c r="D33">
        <v>0</v>
      </c>
      <c r="E33">
        <v>0</v>
      </c>
      <c r="F33" s="9">
        <v>0</v>
      </c>
      <c r="G33">
        <v>0</v>
      </c>
      <c r="H33">
        <v>0</v>
      </c>
      <c r="I33">
        <v>0</v>
      </c>
      <c r="J33">
        <v>0</v>
      </c>
      <c r="K33" s="6">
        <v>0</v>
      </c>
    </row>
    <row r="34" spans="2:11">
      <c r="B34" s="8" t="s">
        <v>42</v>
      </c>
      <c r="C34">
        <v>4</v>
      </c>
      <c r="D34">
        <v>392</v>
      </c>
      <c r="E34">
        <v>43</v>
      </c>
      <c r="F34" s="9">
        <v>5.5500000000000008E-2</v>
      </c>
      <c r="G34">
        <v>0.48250000000000004</v>
      </c>
      <c r="H34">
        <v>8</v>
      </c>
      <c r="I34">
        <v>3.4599999999999999E-2</v>
      </c>
      <c r="J34">
        <v>2.605</v>
      </c>
      <c r="K34" s="6">
        <v>41.64</v>
      </c>
    </row>
    <row r="35" spans="2:11">
      <c r="B35" s="8" t="s">
        <v>43</v>
      </c>
      <c r="C35">
        <v>1</v>
      </c>
      <c r="D35">
        <v>0</v>
      </c>
      <c r="E35">
        <v>0</v>
      </c>
      <c r="F35" s="9">
        <v>0</v>
      </c>
      <c r="G35">
        <v>0</v>
      </c>
      <c r="H35">
        <v>0</v>
      </c>
      <c r="I35">
        <v>0</v>
      </c>
      <c r="J35">
        <v>0</v>
      </c>
      <c r="K35" s="6">
        <v>0</v>
      </c>
    </row>
    <row r="36" spans="2:11">
      <c r="B36" s="8" t="s">
        <v>44</v>
      </c>
      <c r="C36">
        <v>3</v>
      </c>
      <c r="D36">
        <v>0</v>
      </c>
      <c r="E36">
        <v>0</v>
      </c>
      <c r="F36" s="9">
        <v>0</v>
      </c>
      <c r="G36">
        <v>0</v>
      </c>
      <c r="H36">
        <v>0</v>
      </c>
      <c r="I36">
        <v>0</v>
      </c>
      <c r="J36">
        <v>0</v>
      </c>
      <c r="K36" s="6">
        <v>0</v>
      </c>
    </row>
    <row r="37" spans="2:11">
      <c r="B37" s="8" t="s">
        <v>45</v>
      </c>
      <c r="C37">
        <v>15</v>
      </c>
      <c r="D37">
        <v>1025</v>
      </c>
      <c r="E37">
        <v>37</v>
      </c>
      <c r="F37" s="9">
        <v>7.6133333333333339E-3</v>
      </c>
      <c r="G37">
        <v>0.28533333333333333</v>
      </c>
      <c r="H37">
        <v>5</v>
      </c>
      <c r="I37">
        <v>2.1588866666666671</v>
      </c>
      <c r="J37">
        <v>2.3193333333333337</v>
      </c>
      <c r="K37" s="6">
        <v>53</v>
      </c>
    </row>
    <row r="38" spans="2:11">
      <c r="B38" s="8" t="s">
        <v>46</v>
      </c>
      <c r="C38">
        <v>5</v>
      </c>
      <c r="D38">
        <v>965</v>
      </c>
      <c r="E38">
        <v>40</v>
      </c>
      <c r="F38" s="9">
        <v>3.4779999999999998E-2</v>
      </c>
      <c r="G38">
        <v>0.77800000000000002</v>
      </c>
      <c r="H38">
        <v>4</v>
      </c>
      <c r="I38">
        <v>5.3719999999999999</v>
      </c>
      <c r="J38">
        <v>7.0319999999999991</v>
      </c>
      <c r="K38" s="6">
        <v>40.82</v>
      </c>
    </row>
    <row r="39" spans="2:11">
      <c r="B39" s="8" t="s">
        <v>48</v>
      </c>
      <c r="C39">
        <v>9</v>
      </c>
      <c r="D39">
        <v>811</v>
      </c>
      <c r="E39">
        <v>46</v>
      </c>
      <c r="F39" s="9">
        <v>2.6255555555555553E-2</v>
      </c>
      <c r="G39">
        <v>0.49333333333333329</v>
      </c>
      <c r="H39">
        <v>5</v>
      </c>
      <c r="I39">
        <v>2.5544333333333329E-2</v>
      </c>
      <c r="J39">
        <v>3.1788888888888889</v>
      </c>
      <c r="K39" s="6">
        <v>55.239999999999995</v>
      </c>
    </row>
    <row r="40" spans="2:11">
      <c r="B40" s="8" t="s">
        <v>49</v>
      </c>
      <c r="C40">
        <v>2</v>
      </c>
      <c r="D40">
        <v>28</v>
      </c>
      <c r="E40">
        <v>3</v>
      </c>
      <c r="F40" s="9">
        <v>5.3550000000000007E-2</v>
      </c>
      <c r="G40">
        <v>2.4900000000000002</v>
      </c>
      <c r="H40">
        <v>1</v>
      </c>
      <c r="I40">
        <v>0.16664999999999999</v>
      </c>
      <c r="J40">
        <v>7.47</v>
      </c>
      <c r="K40" s="6">
        <v>14.94</v>
      </c>
    </row>
    <row r="41" spans="2:11">
      <c r="B41" s="8" t="s">
        <v>50</v>
      </c>
      <c r="C41">
        <v>1</v>
      </c>
      <c r="D41">
        <v>126</v>
      </c>
      <c r="E41">
        <v>9</v>
      </c>
      <c r="F41" s="9">
        <v>7.1399999999999991E-2</v>
      </c>
      <c r="G41">
        <v>0</v>
      </c>
      <c r="H41">
        <v>0</v>
      </c>
      <c r="I41">
        <v>1.6670000000000001E-3</v>
      </c>
      <c r="J41">
        <v>0</v>
      </c>
      <c r="K41" s="6">
        <v>0</v>
      </c>
    </row>
    <row r="42" spans="2:11">
      <c r="B42" s="8" t="s">
        <v>51</v>
      </c>
      <c r="C42">
        <v>1</v>
      </c>
      <c r="D42">
        <v>0</v>
      </c>
      <c r="E42">
        <v>0</v>
      </c>
      <c r="F42" s="9">
        <v>0</v>
      </c>
      <c r="G42">
        <v>0</v>
      </c>
      <c r="H42">
        <v>0</v>
      </c>
      <c r="I42">
        <v>0</v>
      </c>
      <c r="J42">
        <v>0</v>
      </c>
      <c r="K42" s="6">
        <v>0</v>
      </c>
    </row>
    <row r="43" spans="2:11">
      <c r="B43" s="8" t="s">
        <v>53</v>
      </c>
      <c r="C43">
        <v>14</v>
      </c>
      <c r="D43">
        <v>0</v>
      </c>
      <c r="E43">
        <v>0</v>
      </c>
      <c r="F43" s="9">
        <v>0</v>
      </c>
      <c r="G43">
        <v>0</v>
      </c>
      <c r="H43">
        <v>0</v>
      </c>
      <c r="I43">
        <v>0</v>
      </c>
      <c r="J43">
        <v>0</v>
      </c>
      <c r="K43" s="6">
        <v>0</v>
      </c>
    </row>
    <row r="44" spans="2:11">
      <c r="B44" s="8" t="s">
        <v>54</v>
      </c>
      <c r="C44">
        <v>21</v>
      </c>
      <c r="D44">
        <v>515</v>
      </c>
      <c r="E44">
        <v>16</v>
      </c>
      <c r="F44" s="9">
        <v>5.2904761904761909E-3</v>
      </c>
      <c r="G44">
        <v>0</v>
      </c>
      <c r="H44">
        <v>0</v>
      </c>
      <c r="I44">
        <v>3.2357142857142853E-3</v>
      </c>
      <c r="J44">
        <v>0</v>
      </c>
      <c r="K44" s="6">
        <v>0</v>
      </c>
    </row>
    <row r="45" spans="2:11">
      <c r="B45" s="8" t="s">
        <v>55</v>
      </c>
      <c r="C45">
        <v>3</v>
      </c>
      <c r="D45">
        <v>592</v>
      </c>
      <c r="E45">
        <v>19</v>
      </c>
      <c r="F45" s="9">
        <v>2.1599999999999998E-2</v>
      </c>
      <c r="G45">
        <v>0.79333333333333333</v>
      </c>
      <c r="H45">
        <v>3</v>
      </c>
      <c r="I45">
        <v>6.1155666666666662</v>
      </c>
      <c r="J45">
        <v>5.8566666666666665</v>
      </c>
      <c r="K45" s="6">
        <v>20.89</v>
      </c>
    </row>
    <row r="46" spans="2:11">
      <c r="B46" s="8" t="s">
        <v>56</v>
      </c>
      <c r="C46">
        <v>1</v>
      </c>
      <c r="D46">
        <v>191</v>
      </c>
      <c r="E46">
        <v>5</v>
      </c>
      <c r="F46" s="9">
        <v>2.6200000000000001E-2</v>
      </c>
      <c r="G46">
        <v>2.84</v>
      </c>
      <c r="H46">
        <v>1</v>
      </c>
      <c r="I46">
        <v>4.5499999999999999E-2</v>
      </c>
      <c r="J46">
        <v>14.18</v>
      </c>
      <c r="K46" s="6">
        <v>14.18</v>
      </c>
    </row>
    <row r="47" spans="2:11">
      <c r="B47" s="8" t="s">
        <v>12</v>
      </c>
      <c r="C47">
        <v>19</v>
      </c>
      <c r="D47">
        <v>298</v>
      </c>
      <c r="E47">
        <v>16</v>
      </c>
      <c r="F47" s="9">
        <v>1.2868421052631579E-2</v>
      </c>
      <c r="G47">
        <v>0</v>
      </c>
      <c r="H47">
        <v>0</v>
      </c>
      <c r="I47">
        <v>9.152631578947369E-5</v>
      </c>
      <c r="J47">
        <v>0</v>
      </c>
      <c r="K47" s="6">
        <v>0</v>
      </c>
    </row>
    <row r="48" spans="2:11">
      <c r="B48" s="8" t="s">
        <v>57</v>
      </c>
      <c r="C48">
        <v>11</v>
      </c>
      <c r="D48">
        <v>965</v>
      </c>
      <c r="E48">
        <v>57</v>
      </c>
      <c r="F48" s="9">
        <v>4.0472727272727271E-2</v>
      </c>
      <c r="G48">
        <v>0.74818181818181817</v>
      </c>
      <c r="H48">
        <v>5</v>
      </c>
      <c r="I48">
        <v>1.8842828181818183</v>
      </c>
      <c r="J48">
        <v>4.6836363636363636</v>
      </c>
      <c r="K48" s="6">
        <v>84.85</v>
      </c>
    </row>
    <row r="49" spans="2:11">
      <c r="B49" s="8" t="s">
        <v>58</v>
      </c>
      <c r="C49">
        <v>4</v>
      </c>
      <c r="D49">
        <v>0</v>
      </c>
      <c r="E49">
        <v>0</v>
      </c>
      <c r="F49" s="9">
        <v>0</v>
      </c>
      <c r="G49">
        <v>0</v>
      </c>
      <c r="H49">
        <v>0</v>
      </c>
      <c r="I49">
        <v>0</v>
      </c>
      <c r="J49">
        <v>0</v>
      </c>
      <c r="K49" s="6">
        <v>0</v>
      </c>
    </row>
    <row r="50" spans="2:11">
      <c r="B50" s="8" t="s">
        <v>59</v>
      </c>
      <c r="C50">
        <v>13</v>
      </c>
      <c r="D50">
        <v>183</v>
      </c>
      <c r="E50">
        <v>2</v>
      </c>
      <c r="F50" s="9">
        <v>8.3846153846153847E-4</v>
      </c>
      <c r="G50">
        <v>0</v>
      </c>
      <c r="H50">
        <v>0</v>
      </c>
      <c r="I50">
        <v>1.7753846153846151E-2</v>
      </c>
      <c r="J50">
        <v>0</v>
      </c>
      <c r="K50" s="6">
        <v>0</v>
      </c>
    </row>
    <row r="51" spans="2:11">
      <c r="B51" s="8" t="s">
        <v>60</v>
      </c>
      <c r="C51">
        <v>10</v>
      </c>
      <c r="D51">
        <v>0</v>
      </c>
      <c r="E51">
        <v>0</v>
      </c>
      <c r="F51" s="9">
        <v>0</v>
      </c>
      <c r="G51">
        <v>0</v>
      </c>
      <c r="H51">
        <v>0</v>
      </c>
      <c r="I51">
        <v>0</v>
      </c>
      <c r="J51">
        <v>0</v>
      </c>
      <c r="K51" s="6">
        <v>0</v>
      </c>
    </row>
    <row r="52" spans="2:11">
      <c r="B52" s="8" t="s">
        <v>61</v>
      </c>
      <c r="C52">
        <v>19</v>
      </c>
      <c r="D52">
        <v>1034</v>
      </c>
      <c r="E52">
        <v>30</v>
      </c>
      <c r="F52" s="9">
        <v>7.9789473684210525E-3</v>
      </c>
      <c r="G52">
        <v>0.63105263157894742</v>
      </c>
      <c r="H52">
        <v>1</v>
      </c>
      <c r="I52">
        <v>3.2480684210526314E-2</v>
      </c>
      <c r="J52">
        <v>1.8931578947368422</v>
      </c>
      <c r="K52" s="6">
        <v>35.97</v>
      </c>
    </row>
    <row r="53" spans="2:11">
      <c r="B53" s="8" t="s">
        <v>64</v>
      </c>
      <c r="C53">
        <v>14</v>
      </c>
      <c r="D53">
        <v>410</v>
      </c>
      <c r="E53">
        <v>3</v>
      </c>
      <c r="F53" s="9">
        <v>1.1214285714285714E-3</v>
      </c>
      <c r="G53">
        <v>0</v>
      </c>
      <c r="H53">
        <v>0</v>
      </c>
      <c r="I53">
        <v>1.0628428571428572E-2</v>
      </c>
      <c r="J53">
        <v>0</v>
      </c>
      <c r="K53" s="6">
        <v>0</v>
      </c>
    </row>
    <row r="54" spans="2:11">
      <c r="B54" s="8" t="s">
        <v>65</v>
      </c>
      <c r="C54">
        <v>13</v>
      </c>
      <c r="D54">
        <v>0</v>
      </c>
      <c r="E54">
        <v>0</v>
      </c>
      <c r="F54" s="9">
        <v>0</v>
      </c>
      <c r="G54">
        <v>0</v>
      </c>
      <c r="H54">
        <v>0</v>
      </c>
      <c r="I54">
        <v>0</v>
      </c>
      <c r="J54">
        <v>0</v>
      </c>
      <c r="K54" s="6">
        <v>0</v>
      </c>
    </row>
    <row r="55" spans="2:11">
      <c r="B55" s="8" t="s">
        <v>66</v>
      </c>
      <c r="C55">
        <v>3</v>
      </c>
      <c r="D55">
        <v>162</v>
      </c>
      <c r="E55">
        <v>9</v>
      </c>
      <c r="F55" s="9">
        <v>1.8533333333333332E-2</v>
      </c>
      <c r="G55">
        <v>0</v>
      </c>
      <c r="H55">
        <v>0</v>
      </c>
      <c r="I55">
        <v>3.8466666666666662E-4</v>
      </c>
      <c r="J55">
        <v>0</v>
      </c>
      <c r="K55" s="6">
        <v>0</v>
      </c>
    </row>
    <row r="56" spans="2:11">
      <c r="B56" s="8" t="s">
        <v>67</v>
      </c>
      <c r="C56">
        <v>9</v>
      </c>
      <c r="D56">
        <v>142</v>
      </c>
      <c r="E56">
        <v>4</v>
      </c>
      <c r="F56" s="9">
        <v>3.1333333333333335E-3</v>
      </c>
      <c r="G56">
        <v>0</v>
      </c>
      <c r="H56">
        <v>0</v>
      </c>
      <c r="I56">
        <v>1.8522222222222223E-4</v>
      </c>
      <c r="J56">
        <v>0</v>
      </c>
      <c r="K56" s="6">
        <v>0</v>
      </c>
    </row>
    <row r="57" spans="2:11">
      <c r="B57" s="8" t="s">
        <v>68</v>
      </c>
      <c r="C57">
        <v>12</v>
      </c>
      <c r="D57">
        <v>0</v>
      </c>
      <c r="E57">
        <v>0</v>
      </c>
      <c r="F57" s="9">
        <v>0</v>
      </c>
      <c r="G57">
        <v>0</v>
      </c>
      <c r="H57">
        <v>0</v>
      </c>
      <c r="I57">
        <v>0</v>
      </c>
      <c r="J57">
        <v>0</v>
      </c>
      <c r="K57" s="6">
        <v>0</v>
      </c>
    </row>
    <row r="58" spans="2:11">
      <c r="B58" s="8" t="s">
        <v>69</v>
      </c>
      <c r="C58">
        <v>16</v>
      </c>
      <c r="D58">
        <v>1119</v>
      </c>
      <c r="E58">
        <v>38</v>
      </c>
      <c r="F58" s="9">
        <v>1.0068750000000001E-2</v>
      </c>
      <c r="G58">
        <v>2.75E-2</v>
      </c>
      <c r="H58">
        <v>1</v>
      </c>
      <c r="I58">
        <v>2.8594874999999999E-2</v>
      </c>
      <c r="J58">
        <v>0.22187499999999999</v>
      </c>
      <c r="K58" s="6">
        <v>3.55</v>
      </c>
    </row>
    <row r="59" spans="2:11">
      <c r="B59" s="8" t="s">
        <v>70</v>
      </c>
      <c r="C59">
        <v>33</v>
      </c>
      <c r="D59">
        <v>5152</v>
      </c>
      <c r="E59">
        <v>393</v>
      </c>
      <c r="F59" s="9">
        <v>4.7160606060606056E-2</v>
      </c>
      <c r="G59">
        <v>0.22727272727272732</v>
      </c>
      <c r="H59">
        <v>37</v>
      </c>
      <c r="I59">
        <v>3.5284987878787879</v>
      </c>
      <c r="J59">
        <v>2.5645454545454545</v>
      </c>
      <c r="K59" s="6">
        <v>158.84000000000003</v>
      </c>
    </row>
    <row r="60" spans="2:11">
      <c r="B60" s="8" t="s">
        <v>71</v>
      </c>
      <c r="C60">
        <v>2</v>
      </c>
      <c r="D60">
        <v>0</v>
      </c>
      <c r="E60">
        <v>0</v>
      </c>
      <c r="F60" s="9">
        <v>0</v>
      </c>
      <c r="G60">
        <v>0</v>
      </c>
      <c r="H60">
        <v>0</v>
      </c>
      <c r="I60">
        <v>0</v>
      </c>
      <c r="J60">
        <v>0</v>
      </c>
      <c r="K60" s="6">
        <v>0</v>
      </c>
    </row>
    <row r="61" spans="2:11">
      <c r="B61" s="8" t="s">
        <v>72</v>
      </c>
      <c r="C61">
        <v>12</v>
      </c>
      <c r="D61">
        <v>326</v>
      </c>
      <c r="E61">
        <v>11</v>
      </c>
      <c r="F61" s="9">
        <v>2.8083333333333333E-3</v>
      </c>
      <c r="G61">
        <v>0</v>
      </c>
      <c r="H61">
        <v>0</v>
      </c>
      <c r="I61">
        <v>0</v>
      </c>
      <c r="J61">
        <v>0</v>
      </c>
      <c r="K61" s="6">
        <v>0</v>
      </c>
    </row>
    <row r="62" spans="2:11">
      <c r="B62" s="8" t="s">
        <v>52</v>
      </c>
      <c r="C62">
        <v>5</v>
      </c>
      <c r="D62">
        <v>0</v>
      </c>
      <c r="E62">
        <v>0</v>
      </c>
      <c r="F62" s="9">
        <v>0</v>
      </c>
      <c r="G62">
        <v>0</v>
      </c>
      <c r="H62">
        <v>0</v>
      </c>
      <c r="I62">
        <v>0</v>
      </c>
      <c r="J62">
        <v>0</v>
      </c>
      <c r="K62" s="6">
        <v>0</v>
      </c>
    </row>
    <row r="63" spans="2:11">
      <c r="B63" s="8" t="s">
        <v>75</v>
      </c>
      <c r="C63">
        <v>1</v>
      </c>
      <c r="D63">
        <v>102</v>
      </c>
      <c r="E63">
        <v>7</v>
      </c>
      <c r="F63" s="9">
        <v>6.8600000000000008E-2</v>
      </c>
      <c r="G63">
        <v>0</v>
      </c>
      <c r="H63">
        <v>0</v>
      </c>
      <c r="I63">
        <v>0</v>
      </c>
      <c r="J63">
        <v>0</v>
      </c>
      <c r="K63" s="6">
        <v>0</v>
      </c>
    </row>
    <row r="64" spans="2:11">
      <c r="B64" s="8" t="s">
        <v>76</v>
      </c>
      <c r="C64">
        <v>1</v>
      </c>
      <c r="D64">
        <v>65</v>
      </c>
      <c r="E64">
        <v>5</v>
      </c>
      <c r="F64" s="9">
        <v>7.690000000000001E-2</v>
      </c>
      <c r="G64">
        <v>2.19</v>
      </c>
      <c r="H64">
        <v>1</v>
      </c>
      <c r="I64">
        <v>20</v>
      </c>
      <c r="J64">
        <v>10.95</v>
      </c>
      <c r="K64" s="6">
        <v>10.95</v>
      </c>
    </row>
    <row r="65" spans="2:11">
      <c r="B65" s="8" t="s">
        <v>77</v>
      </c>
      <c r="C65">
        <v>5</v>
      </c>
      <c r="D65">
        <v>323</v>
      </c>
      <c r="E65">
        <v>15</v>
      </c>
      <c r="F65" s="9">
        <v>1.9380000000000001E-2</v>
      </c>
      <c r="G65">
        <v>0</v>
      </c>
      <c r="H65">
        <v>0</v>
      </c>
      <c r="I65">
        <v>1.0333400000000001E-2</v>
      </c>
      <c r="J65">
        <v>0</v>
      </c>
      <c r="K65" s="6">
        <v>0</v>
      </c>
    </row>
    <row r="66" spans="2:11">
      <c r="B66" s="8" t="s">
        <v>74</v>
      </c>
      <c r="C66">
        <v>4</v>
      </c>
      <c r="D66">
        <v>0</v>
      </c>
      <c r="E66">
        <v>0</v>
      </c>
      <c r="F66" s="9">
        <v>0</v>
      </c>
      <c r="G66">
        <v>0</v>
      </c>
      <c r="H66">
        <v>0</v>
      </c>
      <c r="I66">
        <v>0</v>
      </c>
      <c r="J66">
        <v>0</v>
      </c>
      <c r="K66" s="6">
        <v>0</v>
      </c>
    </row>
    <row r="67" spans="2:11">
      <c r="B67" s="8" t="s">
        <v>78</v>
      </c>
      <c r="C67">
        <v>5</v>
      </c>
      <c r="D67">
        <v>0</v>
      </c>
      <c r="E67">
        <v>0</v>
      </c>
      <c r="F67" s="9">
        <v>0</v>
      </c>
      <c r="G67">
        <v>0</v>
      </c>
      <c r="H67">
        <v>0</v>
      </c>
      <c r="I67">
        <v>0</v>
      </c>
      <c r="J67">
        <v>0</v>
      </c>
      <c r="K67" s="6">
        <v>0</v>
      </c>
    </row>
    <row r="68" spans="2:11">
      <c r="B68" s="8" t="s">
        <v>62</v>
      </c>
      <c r="C68">
        <v>2</v>
      </c>
      <c r="D68">
        <v>0</v>
      </c>
      <c r="E68">
        <v>0</v>
      </c>
      <c r="F68" s="9">
        <v>0</v>
      </c>
      <c r="G68">
        <v>0</v>
      </c>
      <c r="H68">
        <v>0</v>
      </c>
      <c r="I68">
        <v>0</v>
      </c>
      <c r="J68">
        <v>0</v>
      </c>
      <c r="K68" s="6">
        <v>0</v>
      </c>
    </row>
    <row r="69" spans="2:11">
      <c r="B69" s="8" t="s">
        <v>80</v>
      </c>
      <c r="C69">
        <v>2</v>
      </c>
      <c r="D69">
        <v>41</v>
      </c>
      <c r="E69">
        <v>0</v>
      </c>
      <c r="F69" s="9">
        <v>0</v>
      </c>
      <c r="G69">
        <v>0</v>
      </c>
      <c r="H69">
        <v>0</v>
      </c>
      <c r="I69">
        <v>0</v>
      </c>
      <c r="J69">
        <v>0</v>
      </c>
      <c r="K69" s="6">
        <v>0</v>
      </c>
    </row>
    <row r="70" spans="2:11">
      <c r="B70" s="8" t="s">
        <v>81</v>
      </c>
      <c r="C70">
        <v>1</v>
      </c>
      <c r="D70">
        <v>0</v>
      </c>
      <c r="E70">
        <v>0</v>
      </c>
      <c r="F70" s="9">
        <v>0</v>
      </c>
      <c r="G70">
        <v>0</v>
      </c>
      <c r="H70">
        <v>0</v>
      </c>
      <c r="I70">
        <v>0</v>
      </c>
      <c r="J70">
        <v>0</v>
      </c>
      <c r="K70" s="6">
        <v>0</v>
      </c>
    </row>
    <row r="71" spans="2:11">
      <c r="B71" s="8" t="s">
        <v>79</v>
      </c>
      <c r="C71">
        <v>4</v>
      </c>
      <c r="D71">
        <v>0</v>
      </c>
      <c r="E71">
        <v>0</v>
      </c>
      <c r="F71" s="9">
        <v>0</v>
      </c>
      <c r="G71">
        <v>0</v>
      </c>
      <c r="H71">
        <v>0</v>
      </c>
      <c r="I71">
        <v>0</v>
      </c>
      <c r="J71">
        <v>0</v>
      </c>
      <c r="K71" s="6">
        <v>0</v>
      </c>
    </row>
    <row r="72" spans="2:11">
      <c r="B72" s="8" t="s">
        <v>84</v>
      </c>
      <c r="C72">
        <v>1</v>
      </c>
      <c r="D72">
        <v>0</v>
      </c>
      <c r="E72">
        <v>0</v>
      </c>
      <c r="F72" s="9">
        <v>0</v>
      </c>
      <c r="G72">
        <v>0</v>
      </c>
      <c r="H72">
        <v>0</v>
      </c>
      <c r="I72">
        <v>0</v>
      </c>
      <c r="J72">
        <v>0</v>
      </c>
      <c r="K72" s="6">
        <v>0</v>
      </c>
    </row>
    <row r="73" spans="2:11">
      <c r="B73" s="8" t="s">
        <v>85</v>
      </c>
      <c r="C73">
        <v>1</v>
      </c>
      <c r="D73">
        <v>0</v>
      </c>
      <c r="E73">
        <v>0</v>
      </c>
      <c r="F73" s="9">
        <v>0</v>
      </c>
      <c r="G73">
        <v>0</v>
      </c>
      <c r="H73">
        <v>0</v>
      </c>
      <c r="I73">
        <v>0</v>
      </c>
      <c r="J73">
        <v>0</v>
      </c>
      <c r="K73" s="6">
        <v>0</v>
      </c>
    </row>
    <row r="74" spans="2:11">
      <c r="B74" s="8" t="s">
        <v>86</v>
      </c>
      <c r="C74">
        <v>1</v>
      </c>
      <c r="D74">
        <v>0</v>
      </c>
      <c r="E74">
        <v>0</v>
      </c>
      <c r="F74" s="9">
        <v>0</v>
      </c>
      <c r="G74">
        <v>0</v>
      </c>
      <c r="H74">
        <v>0</v>
      </c>
      <c r="I74">
        <v>0</v>
      </c>
      <c r="J74">
        <v>0</v>
      </c>
      <c r="K74" s="6">
        <v>0</v>
      </c>
    </row>
    <row r="75" spans="2:11">
      <c r="B75" s="8" t="s">
        <v>87</v>
      </c>
      <c r="C75">
        <v>1</v>
      </c>
      <c r="D75">
        <v>0</v>
      </c>
      <c r="E75">
        <v>0</v>
      </c>
      <c r="F75" s="9">
        <v>0</v>
      </c>
      <c r="G75">
        <v>0</v>
      </c>
      <c r="H75">
        <v>0</v>
      </c>
      <c r="I75">
        <v>0</v>
      </c>
      <c r="J75">
        <v>0</v>
      </c>
      <c r="K75" s="6">
        <v>0</v>
      </c>
    </row>
    <row r="76" spans="2:11">
      <c r="B76" s="8" t="s">
        <v>88</v>
      </c>
      <c r="C76">
        <v>2</v>
      </c>
      <c r="D76">
        <v>180</v>
      </c>
      <c r="E76">
        <v>14</v>
      </c>
      <c r="F76" s="9">
        <v>3.8900000000000004E-2</v>
      </c>
      <c r="G76">
        <v>0</v>
      </c>
      <c r="H76">
        <v>0</v>
      </c>
      <c r="I76">
        <v>8.3350000000000007E-2</v>
      </c>
      <c r="J76">
        <v>0</v>
      </c>
      <c r="K76" s="6">
        <v>0</v>
      </c>
    </row>
    <row r="77" spans="2:11">
      <c r="B77" s="8" t="s">
        <v>89</v>
      </c>
      <c r="C77">
        <v>2</v>
      </c>
      <c r="D77">
        <v>63</v>
      </c>
      <c r="E77">
        <v>4</v>
      </c>
      <c r="F77" s="9">
        <v>3.175E-2</v>
      </c>
      <c r="G77">
        <v>0</v>
      </c>
      <c r="H77">
        <v>0</v>
      </c>
      <c r="I77">
        <v>0</v>
      </c>
      <c r="J77">
        <v>0</v>
      </c>
      <c r="K77" s="6">
        <v>0</v>
      </c>
    </row>
    <row r="78" spans="2:11">
      <c r="B78" s="8" t="s">
        <v>90</v>
      </c>
      <c r="C78">
        <v>1</v>
      </c>
      <c r="D78">
        <v>225</v>
      </c>
      <c r="E78">
        <v>5</v>
      </c>
      <c r="F78" s="9">
        <v>2.2200000000000001E-2</v>
      </c>
      <c r="G78">
        <v>0</v>
      </c>
      <c r="H78">
        <v>0</v>
      </c>
      <c r="I78">
        <v>7.1399999999999991E-2</v>
      </c>
      <c r="J78">
        <v>0</v>
      </c>
      <c r="K78" s="6">
        <v>0</v>
      </c>
    </row>
    <row r="79" spans="2:11">
      <c r="B79" s="8" t="s">
        <v>91</v>
      </c>
      <c r="C79">
        <v>10</v>
      </c>
      <c r="D79">
        <v>0</v>
      </c>
      <c r="E79">
        <v>0</v>
      </c>
      <c r="F79" s="9">
        <v>0</v>
      </c>
      <c r="G79">
        <v>0</v>
      </c>
      <c r="H79">
        <v>0</v>
      </c>
      <c r="I79">
        <v>0</v>
      </c>
      <c r="J79">
        <v>0</v>
      </c>
      <c r="K79" s="6">
        <v>0</v>
      </c>
    </row>
    <row r="80" spans="2:11">
      <c r="B80" s="8" t="s">
        <v>92</v>
      </c>
      <c r="C80">
        <v>10</v>
      </c>
      <c r="D80">
        <v>1097</v>
      </c>
      <c r="E80">
        <v>22</v>
      </c>
      <c r="F80" s="9">
        <v>1.447E-2</v>
      </c>
      <c r="G80">
        <v>0.504</v>
      </c>
      <c r="H80">
        <v>2</v>
      </c>
      <c r="I80">
        <v>8.9715000000000003E-3</v>
      </c>
      <c r="J80">
        <v>1.0070000000000001</v>
      </c>
      <c r="K80" s="6">
        <v>20.14</v>
      </c>
    </row>
    <row r="81" spans="2:11">
      <c r="B81" s="8" t="s">
        <v>82</v>
      </c>
      <c r="C81">
        <v>17</v>
      </c>
      <c r="D81">
        <v>694</v>
      </c>
      <c r="E81">
        <v>32</v>
      </c>
      <c r="F81" s="9">
        <v>1.6764705882352942E-2</v>
      </c>
      <c r="G81">
        <v>7.9411764705882362E-2</v>
      </c>
      <c r="H81">
        <v>1</v>
      </c>
      <c r="I81">
        <v>4.3194117647058828E-4</v>
      </c>
      <c r="J81">
        <v>0.55470588235294116</v>
      </c>
      <c r="K81" s="6">
        <v>9.43</v>
      </c>
    </row>
    <row r="82" spans="2:11">
      <c r="B82" s="8" t="s">
        <v>93</v>
      </c>
      <c r="C82">
        <v>3</v>
      </c>
      <c r="D82">
        <v>0</v>
      </c>
      <c r="E82">
        <v>0</v>
      </c>
      <c r="F82" s="9">
        <v>0</v>
      </c>
      <c r="G82">
        <v>0</v>
      </c>
      <c r="H82">
        <v>0</v>
      </c>
      <c r="I82">
        <v>0</v>
      </c>
      <c r="J82">
        <v>0</v>
      </c>
      <c r="K82" s="6">
        <v>0</v>
      </c>
    </row>
    <row r="83" spans="2:11">
      <c r="B83" s="8" t="s">
        <v>94</v>
      </c>
      <c r="C83">
        <v>3</v>
      </c>
      <c r="D83">
        <v>259</v>
      </c>
      <c r="E83">
        <v>10</v>
      </c>
      <c r="F83" s="9">
        <v>2.5533333333333335E-2</v>
      </c>
      <c r="G83">
        <v>0</v>
      </c>
      <c r="H83">
        <v>0</v>
      </c>
      <c r="I83">
        <v>1.6110000000000002E-3</v>
      </c>
      <c r="J83">
        <v>0</v>
      </c>
      <c r="K83" s="6">
        <v>0</v>
      </c>
    </row>
    <row r="84" spans="2:11">
      <c r="B84" s="8" t="s">
        <v>95</v>
      </c>
      <c r="C84">
        <v>9</v>
      </c>
      <c r="D84">
        <v>0</v>
      </c>
      <c r="E84">
        <v>0</v>
      </c>
      <c r="F84" s="9">
        <v>0</v>
      </c>
      <c r="G84">
        <v>0</v>
      </c>
      <c r="H84">
        <v>0</v>
      </c>
      <c r="I84">
        <v>0</v>
      </c>
      <c r="J84">
        <v>0</v>
      </c>
      <c r="K84" s="6">
        <v>0</v>
      </c>
    </row>
    <row r="85" spans="2:11">
      <c r="B85" s="8" t="s">
        <v>96</v>
      </c>
      <c r="C85">
        <v>20</v>
      </c>
      <c r="D85">
        <v>296</v>
      </c>
      <c r="E85">
        <v>10</v>
      </c>
      <c r="F85" s="9">
        <v>8.0350000000000005E-3</v>
      </c>
      <c r="G85">
        <v>9.0999999999999998E-2</v>
      </c>
      <c r="H85">
        <v>1</v>
      </c>
      <c r="I85">
        <v>1.25</v>
      </c>
      <c r="J85">
        <v>0.36449999999999999</v>
      </c>
      <c r="K85" s="6">
        <v>7.29</v>
      </c>
    </row>
    <row r="86" spans="2:11">
      <c r="B86" s="8" t="s">
        <v>97</v>
      </c>
      <c r="C86">
        <v>3</v>
      </c>
      <c r="D86">
        <v>470</v>
      </c>
      <c r="E86">
        <v>9</v>
      </c>
      <c r="F86" s="9">
        <v>2.1966666666666666E-2</v>
      </c>
      <c r="G86">
        <v>0</v>
      </c>
      <c r="H86">
        <v>0</v>
      </c>
      <c r="I86">
        <v>5.0512666666666671E-2</v>
      </c>
      <c r="J86">
        <v>0</v>
      </c>
      <c r="K86" s="6">
        <v>0</v>
      </c>
    </row>
    <row r="87" spans="2:11">
      <c r="B87" s="8" t="s">
        <v>83</v>
      </c>
      <c r="C87">
        <v>14</v>
      </c>
      <c r="D87">
        <v>62</v>
      </c>
      <c r="E87">
        <v>1</v>
      </c>
      <c r="F87" s="9">
        <v>1.15E-3</v>
      </c>
      <c r="G87">
        <v>0</v>
      </c>
      <c r="H87">
        <v>0</v>
      </c>
      <c r="I87">
        <v>0</v>
      </c>
      <c r="J87">
        <v>0</v>
      </c>
      <c r="K87" s="6">
        <v>0</v>
      </c>
    </row>
    <row r="88" spans="2:11">
      <c r="B88" s="8" t="s">
        <v>98</v>
      </c>
      <c r="C88">
        <v>14</v>
      </c>
      <c r="D88">
        <v>1073</v>
      </c>
      <c r="E88">
        <v>22</v>
      </c>
      <c r="F88" s="9">
        <v>1.1978571428571427E-2</v>
      </c>
      <c r="G88">
        <v>1.5571428571428569</v>
      </c>
      <c r="H88">
        <v>5</v>
      </c>
      <c r="I88">
        <v>2.4668999999999996E-2</v>
      </c>
      <c r="J88">
        <v>4.2671428571428569</v>
      </c>
      <c r="K88" s="6">
        <v>88.149999999999991</v>
      </c>
    </row>
    <row r="89" spans="2:11">
      <c r="B89" s="8" t="s">
        <v>99</v>
      </c>
      <c r="C89">
        <v>9</v>
      </c>
      <c r="D89">
        <v>0</v>
      </c>
      <c r="E89">
        <v>0</v>
      </c>
      <c r="F89" s="9">
        <v>0</v>
      </c>
      <c r="G89">
        <v>0</v>
      </c>
      <c r="H89">
        <v>0</v>
      </c>
      <c r="I89">
        <v>0</v>
      </c>
      <c r="J89">
        <v>0</v>
      </c>
      <c r="K89" s="6">
        <v>0</v>
      </c>
    </row>
    <row r="90" spans="2:11">
      <c r="B90" s="8" t="s">
        <v>100</v>
      </c>
      <c r="C90">
        <v>11</v>
      </c>
      <c r="D90">
        <v>0</v>
      </c>
      <c r="E90">
        <v>0</v>
      </c>
      <c r="F90" s="9">
        <v>0</v>
      </c>
      <c r="G90">
        <v>0</v>
      </c>
      <c r="H90">
        <v>0</v>
      </c>
      <c r="I90">
        <v>0</v>
      </c>
      <c r="J90">
        <v>0</v>
      </c>
      <c r="K90" s="6">
        <v>0</v>
      </c>
    </row>
    <row r="91" spans="2:11">
      <c r="B91" s="8" t="s">
        <v>101</v>
      </c>
      <c r="C91">
        <v>15</v>
      </c>
      <c r="D91">
        <v>779</v>
      </c>
      <c r="E91">
        <v>19</v>
      </c>
      <c r="F91" s="9">
        <v>9.573333333333333E-3</v>
      </c>
      <c r="G91">
        <v>0</v>
      </c>
      <c r="H91">
        <v>1</v>
      </c>
      <c r="I91">
        <v>1.6859733333333335E-2</v>
      </c>
      <c r="J91">
        <v>0</v>
      </c>
      <c r="K91" s="6">
        <v>0</v>
      </c>
    </row>
    <row r="92" spans="2:11">
      <c r="B92" s="8" t="s">
        <v>63</v>
      </c>
      <c r="C92">
        <v>21</v>
      </c>
      <c r="D92">
        <v>1810</v>
      </c>
      <c r="E92">
        <v>67</v>
      </c>
      <c r="F92" s="9">
        <v>2.4528571428571427E-2</v>
      </c>
      <c r="G92">
        <v>0.27571428571428569</v>
      </c>
      <c r="H92">
        <v>4</v>
      </c>
      <c r="I92">
        <v>0.60842604761904762</v>
      </c>
      <c r="J92">
        <v>2.4109523809523812</v>
      </c>
      <c r="K92" s="6">
        <v>50.63</v>
      </c>
    </row>
    <row r="93" spans="2:11">
      <c r="B93" s="8" t="s">
        <v>102</v>
      </c>
      <c r="C93">
        <v>14</v>
      </c>
      <c r="D93">
        <v>0</v>
      </c>
      <c r="E93">
        <v>0</v>
      </c>
      <c r="F93" s="9">
        <v>0</v>
      </c>
      <c r="G93">
        <v>0</v>
      </c>
      <c r="H93">
        <v>0</v>
      </c>
      <c r="I93">
        <v>0</v>
      </c>
      <c r="J93">
        <v>0</v>
      </c>
      <c r="K93" s="6">
        <v>0</v>
      </c>
    </row>
    <row r="94" spans="2:11">
      <c r="B94" s="8" t="s">
        <v>103</v>
      </c>
      <c r="C94">
        <v>6</v>
      </c>
      <c r="D94">
        <v>0</v>
      </c>
      <c r="E94">
        <v>0</v>
      </c>
      <c r="F94" s="9">
        <v>0</v>
      </c>
      <c r="G94">
        <v>0</v>
      </c>
      <c r="H94">
        <v>0</v>
      </c>
      <c r="I94">
        <v>0</v>
      </c>
      <c r="J94">
        <v>0</v>
      </c>
      <c r="K94" s="6">
        <v>0</v>
      </c>
    </row>
    <row r="95" spans="2:11">
      <c r="B95" s="8" t="s">
        <v>104</v>
      </c>
      <c r="C95">
        <v>2</v>
      </c>
      <c r="D95">
        <v>0</v>
      </c>
      <c r="E95">
        <v>0</v>
      </c>
      <c r="F95" s="9">
        <v>0</v>
      </c>
      <c r="G95">
        <v>0</v>
      </c>
      <c r="H95">
        <v>0</v>
      </c>
      <c r="I95">
        <v>0</v>
      </c>
      <c r="J95">
        <v>0</v>
      </c>
      <c r="K95" s="6">
        <v>0</v>
      </c>
    </row>
    <row r="96" spans="2:11">
      <c r="B96" s="8" t="s">
        <v>106</v>
      </c>
      <c r="C96">
        <v>12</v>
      </c>
      <c r="D96">
        <v>125</v>
      </c>
      <c r="E96">
        <v>0</v>
      </c>
      <c r="F96" s="9">
        <v>0</v>
      </c>
      <c r="G96">
        <v>0</v>
      </c>
      <c r="H96">
        <v>0</v>
      </c>
      <c r="I96">
        <v>8.3333333333333331E-5</v>
      </c>
      <c r="J96">
        <v>0</v>
      </c>
      <c r="K96" s="6">
        <v>0</v>
      </c>
    </row>
    <row r="97" spans="2:11">
      <c r="B97" s="8" t="s">
        <v>107</v>
      </c>
      <c r="C97">
        <v>18</v>
      </c>
      <c r="D97">
        <v>564</v>
      </c>
      <c r="E97">
        <v>14</v>
      </c>
      <c r="F97" s="9">
        <v>5.8388888888888891E-3</v>
      </c>
      <c r="G97">
        <v>0.14333333333333334</v>
      </c>
      <c r="H97">
        <v>1</v>
      </c>
      <c r="I97">
        <v>0.94339444444444454</v>
      </c>
      <c r="J97">
        <v>0.85944444444444446</v>
      </c>
      <c r="K97" s="6">
        <v>15.47</v>
      </c>
    </row>
    <row r="98" spans="2:11">
      <c r="B98" s="8" t="s">
        <v>108</v>
      </c>
      <c r="C98">
        <v>10</v>
      </c>
      <c r="D98">
        <v>197</v>
      </c>
      <c r="E98">
        <v>3</v>
      </c>
      <c r="F98" s="9">
        <v>3.1899999999999997E-3</v>
      </c>
      <c r="G98">
        <v>0</v>
      </c>
      <c r="H98">
        <v>0</v>
      </c>
      <c r="I98">
        <v>0</v>
      </c>
      <c r="J98">
        <v>0</v>
      </c>
      <c r="K98" s="6">
        <v>0</v>
      </c>
    </row>
    <row r="99" spans="2:11">
      <c r="B99" s="8" t="s">
        <v>109</v>
      </c>
      <c r="C99">
        <v>5</v>
      </c>
      <c r="D99">
        <v>529</v>
      </c>
      <c r="E99">
        <v>20</v>
      </c>
      <c r="F99" s="9">
        <v>2.8879999999999999E-2</v>
      </c>
      <c r="G99">
        <v>1.6E-2</v>
      </c>
      <c r="H99">
        <v>1</v>
      </c>
      <c r="I99">
        <v>1.538</v>
      </c>
      <c r="J99">
        <v>0.21000000000000002</v>
      </c>
      <c r="K99" s="6">
        <v>1.05</v>
      </c>
    </row>
    <row r="100" spans="2:11">
      <c r="B100" s="8" t="s">
        <v>110</v>
      </c>
      <c r="C100">
        <v>2</v>
      </c>
      <c r="D100">
        <v>0</v>
      </c>
      <c r="E100">
        <v>0</v>
      </c>
      <c r="F100" s="9">
        <v>0</v>
      </c>
      <c r="G100">
        <v>0</v>
      </c>
      <c r="H100">
        <v>0</v>
      </c>
      <c r="I100">
        <v>0</v>
      </c>
      <c r="J100">
        <v>0</v>
      </c>
      <c r="K100" s="6">
        <v>0</v>
      </c>
    </row>
    <row r="101" spans="2:11">
      <c r="B101" s="8" t="s">
        <v>121</v>
      </c>
      <c r="C101">
        <v>779</v>
      </c>
      <c r="D101">
        <v>39598</v>
      </c>
      <c r="E101">
        <v>2152</v>
      </c>
      <c r="F101" s="9">
        <v>1.4123106546854933E-2</v>
      </c>
      <c r="G101">
        <v>0.19404364569961485</v>
      </c>
      <c r="H101">
        <v>211</v>
      </c>
      <c r="I101">
        <v>0.94444565211810017</v>
      </c>
      <c r="J101">
        <v>1.1396790757381263</v>
      </c>
      <c r="K101" s="6">
        <v>1615.3300000000008</v>
      </c>
    </row>
    <row r="102" spans="2:11">
      <c r="G102"/>
      <c r="I102"/>
      <c r="J102"/>
    </row>
    <row r="103" spans="2:11">
      <c r="G103"/>
      <c r="I103"/>
      <c r="J103"/>
    </row>
    <row r="104" spans="2:11">
      <c r="G104"/>
      <c r="I104"/>
      <c r="J104"/>
    </row>
    <row r="105" spans="2:11">
      <c r="G105"/>
      <c r="I105"/>
      <c r="J105"/>
    </row>
    <row r="106" spans="2:11">
      <c r="G106"/>
      <c r="I106"/>
      <c r="J106"/>
    </row>
    <row r="107" spans="2:11">
      <c r="G107"/>
      <c r="I107"/>
      <c r="J107"/>
    </row>
    <row r="108" spans="2:11">
      <c r="G108"/>
      <c r="I108"/>
      <c r="J108"/>
    </row>
    <row r="109" spans="2:11">
      <c r="G109"/>
      <c r="I109"/>
      <c r="J109"/>
    </row>
    <row r="110" spans="2:11">
      <c r="G110"/>
      <c r="I110"/>
      <c r="J110"/>
    </row>
    <row r="111" spans="2:11">
      <c r="G111"/>
      <c r="I111"/>
      <c r="J111"/>
    </row>
    <row r="112" spans="2:11">
      <c r="G112"/>
      <c r="I112"/>
      <c r="J112"/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EA7C-85BD-4E9B-ADAC-0C9064A3A804}">
  <dimension ref="A1:M100"/>
  <sheetViews>
    <sheetView tabSelected="1" zoomScale="70" workbookViewId="0">
      <selection activeCell="E8" sqref="E8"/>
    </sheetView>
  </sheetViews>
  <sheetFormatPr defaultRowHeight="15.6"/>
  <cols>
    <col min="1" max="1" width="46" bestFit="1" customWidth="1"/>
    <col min="2" max="2" width="17.5" bestFit="1" customWidth="1"/>
    <col min="3" max="3" width="21.125" bestFit="1" customWidth="1"/>
    <col min="4" max="4" width="15.625" bestFit="1" customWidth="1"/>
    <col min="5" max="5" width="33.375" style="2" bestFit="1" customWidth="1"/>
    <col min="6" max="6" width="30.125" style="10" bestFit="1" customWidth="1"/>
    <col min="7" max="7" width="28.625" bestFit="1" customWidth="1"/>
    <col min="8" max="8" width="36.5" style="5" bestFit="1" customWidth="1"/>
    <col min="9" max="9" width="43" style="10" bestFit="1" customWidth="1"/>
    <col min="10" max="10" width="11.5" bestFit="1" customWidth="1"/>
    <col min="11" max="11" width="12" bestFit="1" customWidth="1"/>
    <col min="12" max="12" width="22.875" bestFit="1" customWidth="1"/>
    <col min="13" max="13" width="12.25" bestFit="1" customWidth="1"/>
  </cols>
  <sheetData>
    <row r="1" spans="1:13">
      <c r="A1" t="s">
        <v>122</v>
      </c>
      <c r="B1" t="s">
        <v>1</v>
      </c>
      <c r="C1" t="s">
        <v>123</v>
      </c>
      <c r="D1" t="s">
        <v>124</v>
      </c>
      <c r="E1" s="12" t="s">
        <v>125</v>
      </c>
      <c r="F1" s="13" t="s">
        <v>116</v>
      </c>
      <c r="G1" t="s">
        <v>126</v>
      </c>
      <c r="H1" s="12" t="s">
        <v>127</v>
      </c>
      <c r="I1" s="13" t="s">
        <v>119</v>
      </c>
      <c r="J1" t="s">
        <v>128</v>
      </c>
      <c r="K1" t="s">
        <v>129</v>
      </c>
      <c r="L1" t="s">
        <v>130</v>
      </c>
      <c r="M1" t="s">
        <v>131</v>
      </c>
    </row>
    <row r="2" spans="1:13">
      <c r="A2" s="19" t="s">
        <v>27</v>
      </c>
      <c r="B2">
        <v>2</v>
      </c>
      <c r="C2">
        <v>678</v>
      </c>
      <c r="D2">
        <v>59</v>
      </c>
      <c r="E2" s="2">
        <v>8.7050000000000002E-2</v>
      </c>
      <c r="F2" s="10">
        <v>0.53500000000000003</v>
      </c>
      <c r="G2">
        <v>9</v>
      </c>
      <c r="H2" s="5">
        <v>0.14929999999999999</v>
      </c>
      <c r="I2" s="10">
        <v>3.2149999999999999</v>
      </c>
      <c r="J2" s="6">
        <v>33.200000000000003</v>
      </c>
      <c r="K2" s="14">
        <v>3</v>
      </c>
      <c r="L2" s="18">
        <f>Tabel1[[#This Row],[Conversies]]/Tabel1[[#This Row],[Aantal vacatures]]</f>
        <v>1.5</v>
      </c>
      <c r="M2" s="6">
        <f>Tabel1[[#This Row],[Total Cost]]/Tabel1[[#This Row],[Conversies]]</f>
        <v>11.066666666666668</v>
      </c>
    </row>
    <row r="3" spans="1:13">
      <c r="A3" s="19" t="s">
        <v>39</v>
      </c>
      <c r="B3">
        <v>1</v>
      </c>
      <c r="C3">
        <v>0</v>
      </c>
      <c r="D3">
        <v>0</v>
      </c>
      <c r="E3" s="2">
        <v>0</v>
      </c>
      <c r="F3" s="10">
        <v>0</v>
      </c>
      <c r="G3">
        <v>0</v>
      </c>
      <c r="H3" s="5">
        <v>0</v>
      </c>
      <c r="I3" s="10">
        <v>0</v>
      </c>
      <c r="J3" s="6">
        <v>0</v>
      </c>
      <c r="K3" s="14">
        <v>1</v>
      </c>
      <c r="L3" s="18">
        <f>Tabel1[[#This Row],[Conversies]]/Tabel1[[#This Row],[Aantal vacatures]]</f>
        <v>1</v>
      </c>
      <c r="M3" s="6">
        <f>Tabel1[[#This Row],[Total Cost]]/Tabel1[[#This Row],[Conversies]]</f>
        <v>0</v>
      </c>
    </row>
    <row r="4" spans="1:13">
      <c r="A4" s="19" t="s">
        <v>81</v>
      </c>
      <c r="B4">
        <v>1</v>
      </c>
      <c r="C4">
        <v>0</v>
      </c>
      <c r="D4">
        <v>0</v>
      </c>
      <c r="E4" s="2">
        <v>0</v>
      </c>
      <c r="F4" s="10">
        <v>0</v>
      </c>
      <c r="G4">
        <v>0</v>
      </c>
      <c r="H4" s="5">
        <v>0</v>
      </c>
      <c r="I4" s="10">
        <v>0</v>
      </c>
      <c r="J4" s="6">
        <v>0</v>
      </c>
      <c r="K4" s="15">
        <v>1</v>
      </c>
      <c r="L4" s="18">
        <f>Tabel1[[#This Row],[Conversies]]/Tabel1[[#This Row],[Aantal vacatures]]</f>
        <v>1</v>
      </c>
      <c r="M4" s="6">
        <f>Tabel1[[#This Row],[Total Cost]]/Tabel1[[#This Row],[Conversies]]</f>
        <v>0</v>
      </c>
    </row>
    <row r="5" spans="1:13">
      <c r="A5" s="19" t="s">
        <v>26</v>
      </c>
      <c r="B5">
        <v>17</v>
      </c>
      <c r="C5">
        <v>2394</v>
      </c>
      <c r="D5">
        <v>168</v>
      </c>
      <c r="E5" s="2">
        <v>4.4152941176470589E-2</v>
      </c>
      <c r="F5" s="10">
        <v>0.29882352941176465</v>
      </c>
      <c r="G5">
        <v>18</v>
      </c>
      <c r="H5" s="5">
        <v>1.7091681764705883E-2</v>
      </c>
      <c r="I5" s="10">
        <v>2.4258823529411764</v>
      </c>
      <c r="J5" s="6">
        <v>84.170000000000016</v>
      </c>
      <c r="K5" s="15">
        <v>14</v>
      </c>
      <c r="L5" s="18">
        <f>Tabel1[[#This Row],[Conversies]]/Tabel1[[#This Row],[Aantal vacatures]]</f>
        <v>0.82352941176470584</v>
      </c>
      <c r="M5" s="6">
        <f>Tabel1[[#This Row],[Total Cost]]/Tabel1[[#This Row],[Conversies]]</f>
        <v>6.0121428571428579</v>
      </c>
    </row>
    <row r="6" spans="1:13">
      <c r="A6" s="19" t="s">
        <v>17</v>
      </c>
      <c r="B6">
        <v>4</v>
      </c>
      <c r="C6">
        <v>1339</v>
      </c>
      <c r="D6">
        <v>78</v>
      </c>
      <c r="E6" s="2">
        <v>5.8525000000000008E-2</v>
      </c>
      <c r="F6" s="10">
        <v>1.6575000000000002</v>
      </c>
      <c r="G6">
        <v>10</v>
      </c>
      <c r="H6" s="5">
        <v>0.13402500000000001</v>
      </c>
      <c r="I6" s="10">
        <v>8.7824999999999989</v>
      </c>
      <c r="J6" s="6">
        <v>117.58000000000001</v>
      </c>
      <c r="K6" s="15">
        <v>2</v>
      </c>
      <c r="L6" s="18">
        <f>Tabel1[[#This Row],[Conversies]]/Tabel1[[#This Row],[Aantal vacatures]]</f>
        <v>0.5</v>
      </c>
      <c r="M6" s="6">
        <f>Tabel1[[#This Row],[Total Cost]]/Tabel1[[#This Row],[Conversies]]</f>
        <v>58.790000000000006</v>
      </c>
    </row>
    <row r="7" spans="1:13">
      <c r="A7" s="19" t="s">
        <v>49</v>
      </c>
      <c r="B7">
        <v>2</v>
      </c>
      <c r="C7">
        <v>28</v>
      </c>
      <c r="D7">
        <v>3</v>
      </c>
      <c r="E7" s="2">
        <v>5.3550000000000007E-2</v>
      </c>
      <c r="F7" s="10">
        <v>2.4900000000000002</v>
      </c>
      <c r="G7">
        <v>1</v>
      </c>
      <c r="H7" s="5">
        <v>1.6665E-3</v>
      </c>
      <c r="I7" s="10">
        <v>7.47</v>
      </c>
      <c r="J7" s="6">
        <v>14.94</v>
      </c>
      <c r="K7" s="15">
        <v>1</v>
      </c>
      <c r="L7" s="18">
        <f>Tabel1[[#This Row],[Conversies]]/Tabel1[[#This Row],[Aantal vacatures]]</f>
        <v>0.5</v>
      </c>
      <c r="M7" s="6">
        <f>Tabel1[[#This Row],[Total Cost]]/Tabel1[[#This Row],[Conversies]]</f>
        <v>14.94</v>
      </c>
    </row>
    <row r="8" spans="1:13">
      <c r="A8" s="19" t="s">
        <v>35</v>
      </c>
      <c r="B8">
        <v>24</v>
      </c>
      <c r="C8">
        <v>3146</v>
      </c>
      <c r="D8">
        <v>222</v>
      </c>
      <c r="E8" s="2">
        <v>3.2233333333333329E-2</v>
      </c>
      <c r="F8" s="10">
        <v>0.32583333333333336</v>
      </c>
      <c r="G8">
        <v>20</v>
      </c>
      <c r="H8" s="5">
        <v>1.8991807916666669E-2</v>
      </c>
      <c r="I8" s="10">
        <v>3.8483333333333327</v>
      </c>
      <c r="J8" s="6">
        <v>163.80000000000001</v>
      </c>
      <c r="K8" s="14">
        <v>10</v>
      </c>
      <c r="L8" s="18">
        <f>Tabel1[[#This Row],[Conversies]]/Tabel1[[#This Row],[Aantal vacatures]]</f>
        <v>0.41666666666666669</v>
      </c>
      <c r="M8" s="6">
        <f>Tabel1[[#This Row],[Total Cost]]/Tabel1[[#This Row],[Conversies]]</f>
        <v>16.380000000000003</v>
      </c>
    </row>
    <row r="9" spans="1:13">
      <c r="A9" s="19" t="s">
        <v>20</v>
      </c>
      <c r="B9">
        <v>15</v>
      </c>
      <c r="C9">
        <v>1375</v>
      </c>
      <c r="D9">
        <v>94</v>
      </c>
      <c r="E9" s="2">
        <v>1.8793333333333332E-2</v>
      </c>
      <c r="F9" s="10">
        <v>0.26933333333333331</v>
      </c>
      <c r="G9">
        <v>9</v>
      </c>
      <c r="H9" s="5">
        <v>1.5766666666666665E-2</v>
      </c>
      <c r="I9" s="10">
        <v>2.6019999999999999</v>
      </c>
      <c r="J9" s="6">
        <v>95.18</v>
      </c>
      <c r="K9" s="15">
        <v>6</v>
      </c>
      <c r="L9" s="18">
        <f>Tabel1[[#This Row],[Conversies]]/Tabel1[[#This Row],[Aantal vacatures]]</f>
        <v>0.4</v>
      </c>
      <c r="M9" s="6">
        <f>Tabel1[[#This Row],[Total Cost]]/Tabel1[[#This Row],[Conversies]]</f>
        <v>15.863333333333335</v>
      </c>
    </row>
    <row r="10" spans="1:13">
      <c r="A10" s="19" t="s">
        <v>70</v>
      </c>
      <c r="B10">
        <v>33</v>
      </c>
      <c r="C10">
        <v>5152</v>
      </c>
      <c r="D10">
        <v>393</v>
      </c>
      <c r="E10" s="2">
        <v>4.7160606060606056E-2</v>
      </c>
      <c r="F10" s="10">
        <v>0.22727272727272732</v>
      </c>
      <c r="G10">
        <v>37</v>
      </c>
      <c r="H10" s="5">
        <v>3.528498787878788E-2</v>
      </c>
      <c r="I10" s="10">
        <v>2.5645454545454545</v>
      </c>
      <c r="J10" s="6">
        <v>158.84000000000003</v>
      </c>
      <c r="K10" s="14">
        <v>13</v>
      </c>
      <c r="L10" s="18">
        <f>Tabel1[[#This Row],[Conversies]]/Tabel1[[#This Row],[Aantal vacatures]]</f>
        <v>0.39393939393939392</v>
      </c>
      <c r="M10" s="6">
        <f>Tabel1[[#This Row],[Total Cost]]/Tabel1[[#This Row],[Conversies]]</f>
        <v>12.218461538461542</v>
      </c>
    </row>
    <row r="11" spans="1:13">
      <c r="A11" s="19" t="s">
        <v>48</v>
      </c>
      <c r="B11">
        <v>9</v>
      </c>
      <c r="C11">
        <v>811</v>
      </c>
      <c r="D11">
        <v>46</v>
      </c>
      <c r="E11" s="2">
        <v>2.6255555555555553E-2</v>
      </c>
      <c r="F11" s="10">
        <v>0.49333333333333329</v>
      </c>
      <c r="G11">
        <v>5</v>
      </c>
      <c r="H11" s="5">
        <v>2.5544333333333327E-4</v>
      </c>
      <c r="I11" s="10">
        <v>3.1788888888888889</v>
      </c>
      <c r="J11" s="6">
        <v>55.239999999999995</v>
      </c>
      <c r="K11" s="14">
        <v>3</v>
      </c>
      <c r="L11" s="18">
        <f>Tabel1[[#This Row],[Conversies]]/Tabel1[[#This Row],[Aantal vacatures]]</f>
        <v>0.33333333333333331</v>
      </c>
      <c r="M11" s="6">
        <f>Tabel1[[#This Row],[Total Cost]]/Tabel1[[#This Row],[Conversies]]</f>
        <v>18.41333333333333</v>
      </c>
    </row>
    <row r="12" spans="1:13">
      <c r="A12" s="19" t="s">
        <v>93</v>
      </c>
      <c r="B12">
        <v>3</v>
      </c>
      <c r="C12">
        <v>0</v>
      </c>
      <c r="D12">
        <v>0</v>
      </c>
      <c r="E12" s="2">
        <v>0</v>
      </c>
      <c r="F12" s="10">
        <v>0</v>
      </c>
      <c r="G12">
        <v>0</v>
      </c>
      <c r="H12" s="5">
        <v>0</v>
      </c>
      <c r="I12" s="10">
        <v>0</v>
      </c>
      <c r="J12" s="6">
        <v>0</v>
      </c>
      <c r="K12" s="15">
        <v>1</v>
      </c>
      <c r="L12" s="18">
        <f>Tabel1[[#This Row],[Conversies]]/Tabel1[[#This Row],[Aantal vacatures]]</f>
        <v>0.33333333333333331</v>
      </c>
      <c r="M12" s="6">
        <f>Tabel1[[#This Row],[Total Cost]]/Tabel1[[#This Row],[Conversies]]</f>
        <v>0</v>
      </c>
    </row>
    <row r="13" spans="1:13">
      <c r="A13" s="19" t="s">
        <v>65</v>
      </c>
      <c r="B13">
        <v>13</v>
      </c>
      <c r="C13">
        <v>0</v>
      </c>
      <c r="D13">
        <v>0</v>
      </c>
      <c r="E13" s="2">
        <v>0</v>
      </c>
      <c r="F13" s="10">
        <v>0</v>
      </c>
      <c r="G13">
        <v>0</v>
      </c>
      <c r="H13" s="5">
        <v>0</v>
      </c>
      <c r="I13" s="10">
        <v>0</v>
      </c>
      <c r="J13" s="6">
        <v>0</v>
      </c>
      <c r="K13" s="15">
        <v>4</v>
      </c>
      <c r="L13" s="18">
        <f>Tabel1[[#This Row],[Conversies]]/Tabel1[[#This Row],[Aantal vacatures]]</f>
        <v>0.30769230769230771</v>
      </c>
      <c r="M13" s="6">
        <f>Tabel1[[#This Row],[Total Cost]]/Tabel1[[#This Row],[Conversies]]</f>
        <v>0</v>
      </c>
    </row>
    <row r="14" spans="1:13">
      <c r="A14" s="19" t="s">
        <v>42</v>
      </c>
      <c r="B14">
        <v>4</v>
      </c>
      <c r="C14">
        <v>392</v>
      </c>
      <c r="D14">
        <v>43</v>
      </c>
      <c r="E14" s="2">
        <v>5.5500000000000008E-2</v>
      </c>
      <c r="F14" s="10">
        <v>0.48250000000000004</v>
      </c>
      <c r="G14">
        <v>8</v>
      </c>
      <c r="H14" s="5">
        <v>3.4600000000000001E-4</v>
      </c>
      <c r="I14" s="10">
        <v>2.605</v>
      </c>
      <c r="J14" s="6">
        <v>41.64</v>
      </c>
      <c r="K14" s="15">
        <v>1</v>
      </c>
      <c r="L14" s="18">
        <f>Tabel1[[#This Row],[Conversies]]/Tabel1[[#This Row],[Aantal vacatures]]</f>
        <v>0.25</v>
      </c>
      <c r="M14" s="6">
        <f>Tabel1[[#This Row],[Total Cost]]/Tabel1[[#This Row],[Conversies]]</f>
        <v>41.64</v>
      </c>
    </row>
    <row r="15" spans="1:13">
      <c r="A15" s="19" t="s">
        <v>16</v>
      </c>
      <c r="B15">
        <v>21</v>
      </c>
      <c r="C15">
        <v>1405</v>
      </c>
      <c r="D15">
        <v>86</v>
      </c>
      <c r="E15" s="2">
        <v>1.7804761904761907E-2</v>
      </c>
      <c r="F15" s="10">
        <v>0.43571428571428572</v>
      </c>
      <c r="G15">
        <v>12</v>
      </c>
      <c r="H15" s="5">
        <v>8.7423876190476195E-3</v>
      </c>
      <c r="I15" s="10">
        <v>2.579047619047619</v>
      </c>
      <c r="J15" s="6">
        <v>110.22</v>
      </c>
      <c r="K15" s="14">
        <v>5</v>
      </c>
      <c r="L15" s="18">
        <f>Tabel1[[#This Row],[Conversies]]/Tabel1[[#This Row],[Aantal vacatures]]</f>
        <v>0.23809523809523808</v>
      </c>
      <c r="M15" s="6">
        <f>Tabel1[[#This Row],[Total Cost]]/Tabel1[[#This Row],[Conversies]]</f>
        <v>22.044</v>
      </c>
    </row>
    <row r="16" spans="1:13">
      <c r="A16" s="19" t="s">
        <v>52</v>
      </c>
      <c r="B16">
        <v>5</v>
      </c>
      <c r="C16">
        <v>0</v>
      </c>
      <c r="D16">
        <v>0</v>
      </c>
      <c r="E16" s="2">
        <v>0</v>
      </c>
      <c r="F16" s="10">
        <v>0</v>
      </c>
      <c r="G16">
        <v>0</v>
      </c>
      <c r="H16" s="5">
        <v>0</v>
      </c>
      <c r="I16" s="10">
        <v>0</v>
      </c>
      <c r="J16" s="6">
        <v>0</v>
      </c>
      <c r="K16" s="15">
        <v>1</v>
      </c>
      <c r="L16" s="18">
        <f>Tabel1[[#This Row],[Conversies]]/Tabel1[[#This Row],[Aantal vacatures]]</f>
        <v>0.2</v>
      </c>
      <c r="M16" s="6">
        <f>Tabel1[[#This Row],[Total Cost]]/Tabel1[[#This Row],[Conversies]]</f>
        <v>0</v>
      </c>
    </row>
    <row r="17" spans="1:13">
      <c r="A17" s="19" t="s">
        <v>57</v>
      </c>
      <c r="B17">
        <v>11</v>
      </c>
      <c r="C17">
        <v>965</v>
      </c>
      <c r="D17">
        <v>57</v>
      </c>
      <c r="E17" s="2">
        <v>4.0472727272727271E-2</v>
      </c>
      <c r="F17" s="10">
        <v>0.74818181818181817</v>
      </c>
      <c r="G17">
        <v>5</v>
      </c>
      <c r="H17" s="5">
        <v>1.8842828181818184E-2</v>
      </c>
      <c r="I17" s="10">
        <v>4.6836363636363636</v>
      </c>
      <c r="J17" s="6">
        <v>84.85</v>
      </c>
      <c r="K17" s="15">
        <v>2</v>
      </c>
      <c r="L17" s="18">
        <f>Tabel1[[#This Row],[Conversies]]/Tabel1[[#This Row],[Aantal vacatures]]</f>
        <v>0.18181818181818182</v>
      </c>
      <c r="M17" s="6">
        <f>Tabel1[[#This Row],[Total Cost]]/Tabel1[[#This Row],[Conversies]]</f>
        <v>42.424999999999997</v>
      </c>
    </row>
    <row r="18" spans="1:13">
      <c r="A18" s="19" t="s">
        <v>82</v>
      </c>
      <c r="B18">
        <v>17</v>
      </c>
      <c r="C18">
        <v>694</v>
      </c>
      <c r="D18">
        <v>32</v>
      </c>
      <c r="E18" s="2">
        <v>1.6764705882352942E-2</v>
      </c>
      <c r="F18" s="10">
        <v>7.9411764705882362E-2</v>
      </c>
      <c r="G18">
        <v>1</v>
      </c>
      <c r="H18" s="5">
        <v>4.319411764705883E-6</v>
      </c>
      <c r="I18" s="10">
        <v>0.55470588235294116</v>
      </c>
      <c r="J18" s="6">
        <v>9.43</v>
      </c>
      <c r="K18" s="14">
        <v>3</v>
      </c>
      <c r="L18" s="18">
        <f>Tabel1[[#This Row],[Conversies]]/Tabel1[[#This Row],[Aantal vacatures]]</f>
        <v>0.17647058823529413</v>
      </c>
      <c r="M18" s="6">
        <f>Tabel1[[#This Row],[Total Cost]]/Tabel1[[#This Row],[Conversies]]</f>
        <v>3.1433333333333331</v>
      </c>
    </row>
    <row r="19" spans="1:13">
      <c r="A19" s="19" t="s">
        <v>13</v>
      </c>
      <c r="B19">
        <v>25</v>
      </c>
      <c r="C19">
        <v>1638</v>
      </c>
      <c r="D19">
        <v>105</v>
      </c>
      <c r="E19" s="2">
        <v>1.5855999999999999E-2</v>
      </c>
      <c r="F19" s="10">
        <v>9.9199999999999983E-2</v>
      </c>
      <c r="G19">
        <v>12</v>
      </c>
      <c r="H19" s="5">
        <v>1.7149159999999997E-2</v>
      </c>
      <c r="I19" s="10">
        <v>0.58799999999999997</v>
      </c>
      <c r="J19" s="6">
        <v>40.99</v>
      </c>
      <c r="K19" s="14">
        <v>4</v>
      </c>
      <c r="L19" s="18">
        <f>Tabel1[[#This Row],[Conversies]]/Tabel1[[#This Row],[Aantal vacatures]]</f>
        <v>0.16</v>
      </c>
      <c r="M19" s="6">
        <f>Tabel1[[#This Row],[Total Cost]]/Tabel1[[#This Row],[Conversies]]</f>
        <v>10.2475</v>
      </c>
    </row>
    <row r="20" spans="1:13">
      <c r="A20" s="19" t="s">
        <v>69</v>
      </c>
      <c r="B20">
        <v>16</v>
      </c>
      <c r="C20">
        <v>1119</v>
      </c>
      <c r="D20">
        <v>38</v>
      </c>
      <c r="E20" s="2">
        <v>1.0068750000000001E-2</v>
      </c>
      <c r="F20" s="10">
        <v>2.75E-2</v>
      </c>
      <c r="G20">
        <v>1</v>
      </c>
      <c r="H20" s="5">
        <v>2.8594874999999999E-4</v>
      </c>
      <c r="I20" s="10">
        <v>0.22187499999999999</v>
      </c>
      <c r="J20" s="6">
        <v>3.55</v>
      </c>
      <c r="K20" s="15">
        <v>2</v>
      </c>
      <c r="L20" s="18">
        <f>Tabel1[[#This Row],[Conversies]]/Tabel1[[#This Row],[Aantal vacatures]]</f>
        <v>0.125</v>
      </c>
      <c r="M20" s="6">
        <f>Tabel1[[#This Row],[Total Cost]]/Tabel1[[#This Row],[Conversies]]</f>
        <v>1.7749999999999999</v>
      </c>
    </row>
    <row r="21" spans="1:13">
      <c r="A21" s="19" t="s">
        <v>12</v>
      </c>
      <c r="B21">
        <v>19</v>
      </c>
      <c r="C21">
        <v>298</v>
      </c>
      <c r="D21">
        <v>16</v>
      </c>
      <c r="E21" s="2">
        <v>1.2868421052631579E-2</v>
      </c>
      <c r="F21" s="10">
        <v>0</v>
      </c>
      <c r="G21">
        <v>0</v>
      </c>
      <c r="H21" s="5">
        <v>9.1526315789473691E-7</v>
      </c>
      <c r="I21" s="10">
        <v>0</v>
      </c>
      <c r="J21" s="6">
        <v>0</v>
      </c>
      <c r="K21" s="14">
        <v>2</v>
      </c>
      <c r="L21" s="18">
        <f>Tabel1[[#This Row],[Conversies]]/Tabel1[[#This Row],[Aantal vacatures]]</f>
        <v>0.10526315789473684</v>
      </c>
      <c r="M21" s="6">
        <f>Tabel1[[#This Row],[Total Cost]]/Tabel1[[#This Row],[Conversies]]</f>
        <v>0</v>
      </c>
    </row>
    <row r="22" spans="1:13">
      <c r="A22" s="19" t="s">
        <v>63</v>
      </c>
      <c r="B22">
        <v>21</v>
      </c>
      <c r="C22">
        <v>1810</v>
      </c>
      <c r="D22">
        <v>67</v>
      </c>
      <c r="E22" s="2">
        <v>2.4528571428571427E-2</v>
      </c>
      <c r="F22" s="10">
        <v>0.27571428571428569</v>
      </c>
      <c r="G22">
        <v>4</v>
      </c>
      <c r="H22" s="5">
        <v>6.0842604761904761E-3</v>
      </c>
      <c r="I22" s="10">
        <v>2.4109523809523812</v>
      </c>
      <c r="J22" s="6">
        <v>50.63</v>
      </c>
      <c r="K22" s="15">
        <v>2</v>
      </c>
      <c r="L22" s="18">
        <f>Tabel1[[#This Row],[Conversies]]/Tabel1[[#This Row],[Aantal vacatures]]</f>
        <v>9.5238095238095233E-2</v>
      </c>
      <c r="M22" s="6">
        <f>Tabel1[[#This Row],[Total Cost]]/Tabel1[[#This Row],[Conversies]]</f>
        <v>25.315000000000001</v>
      </c>
    </row>
    <row r="23" spans="1:13">
      <c r="A23" s="8" t="s">
        <v>68</v>
      </c>
      <c r="B23">
        <v>12</v>
      </c>
      <c r="C23">
        <v>0</v>
      </c>
      <c r="D23">
        <v>0</v>
      </c>
      <c r="E23" s="2">
        <v>0</v>
      </c>
      <c r="F23" s="10">
        <v>0</v>
      </c>
      <c r="G23">
        <v>0</v>
      </c>
      <c r="H23" s="5">
        <v>0</v>
      </c>
      <c r="I23" s="10">
        <v>0</v>
      </c>
      <c r="J23" s="6">
        <v>0</v>
      </c>
      <c r="K23" s="14">
        <v>1</v>
      </c>
      <c r="L23" s="18">
        <f>Tabel1[[#This Row],[Conversies]]/Tabel1[[#This Row],[Aantal vacatures]]</f>
        <v>8.3333333333333329E-2</v>
      </c>
      <c r="M23" s="6">
        <f>Tabel1[[#This Row],[Total Cost]]/Tabel1[[#This Row],[Conversies]]</f>
        <v>0</v>
      </c>
    </row>
    <row r="24" spans="1:13">
      <c r="A24" s="8" t="s">
        <v>34</v>
      </c>
      <c r="B24">
        <v>14</v>
      </c>
      <c r="C24">
        <v>1755</v>
      </c>
      <c r="D24">
        <v>110</v>
      </c>
      <c r="E24" s="2">
        <v>1.7435714285714284E-2</v>
      </c>
      <c r="F24" s="10">
        <v>0.35571428571428576</v>
      </c>
      <c r="G24">
        <v>10</v>
      </c>
      <c r="H24" s="5">
        <v>3.2214285714285716E-2</v>
      </c>
      <c r="I24" s="10">
        <v>2.4842857142857144</v>
      </c>
      <c r="J24" s="6">
        <v>114.1</v>
      </c>
      <c r="K24" s="15">
        <v>1</v>
      </c>
      <c r="L24" s="18">
        <f>Tabel1[[#This Row],[Conversies]]/Tabel1[[#This Row],[Aantal vacatures]]</f>
        <v>7.1428571428571425E-2</v>
      </c>
      <c r="M24" s="6">
        <f>Tabel1[[#This Row],[Total Cost]]/Tabel1[[#This Row],[Conversies]]</f>
        <v>114.1</v>
      </c>
    </row>
    <row r="25" spans="1:13">
      <c r="A25" s="8" t="s">
        <v>22</v>
      </c>
      <c r="B25">
        <v>15</v>
      </c>
      <c r="C25">
        <v>1067</v>
      </c>
      <c r="D25">
        <v>97</v>
      </c>
      <c r="E25" s="2">
        <v>7.9860000000000014E-2</v>
      </c>
      <c r="F25" s="10">
        <v>0.28399999999999997</v>
      </c>
      <c r="G25">
        <v>11</v>
      </c>
      <c r="H25" s="5">
        <v>5.8685888666666665E-2</v>
      </c>
      <c r="I25" s="10">
        <v>1.5733333333333335</v>
      </c>
      <c r="J25" s="6">
        <v>35.550000000000004</v>
      </c>
      <c r="K25" s="15">
        <v>1</v>
      </c>
      <c r="L25" s="18">
        <f>Tabel1[[#This Row],[Conversies]]/Tabel1[[#This Row],[Aantal vacatures]]</f>
        <v>6.6666666666666666E-2</v>
      </c>
      <c r="M25" s="6">
        <f>Tabel1[[#This Row],[Total Cost]]/Tabel1[[#This Row],[Conversies]]</f>
        <v>35.550000000000004</v>
      </c>
    </row>
    <row r="26" spans="1:13">
      <c r="A26" s="8" t="s">
        <v>45</v>
      </c>
      <c r="B26">
        <v>15</v>
      </c>
      <c r="C26">
        <v>1025</v>
      </c>
      <c r="D26">
        <v>37</v>
      </c>
      <c r="E26" s="2">
        <v>7.6133333333333339E-3</v>
      </c>
      <c r="F26" s="10">
        <v>0.28533333333333333</v>
      </c>
      <c r="G26">
        <v>5</v>
      </c>
      <c r="H26" s="5">
        <v>2.1588866666666671E-2</v>
      </c>
      <c r="I26" s="10">
        <v>2.3193333333333337</v>
      </c>
      <c r="J26" s="6">
        <v>53</v>
      </c>
      <c r="K26" s="14">
        <v>1</v>
      </c>
      <c r="L26" s="18">
        <f>Tabel1[[#This Row],[Conversies]]/Tabel1[[#This Row],[Aantal vacatures]]</f>
        <v>6.6666666666666666E-2</v>
      </c>
      <c r="M26" s="6">
        <f>Tabel1[[#This Row],[Total Cost]]/Tabel1[[#This Row],[Conversies]]</f>
        <v>53</v>
      </c>
    </row>
    <row r="27" spans="1:13">
      <c r="A27" s="8" t="s">
        <v>21</v>
      </c>
      <c r="B27">
        <v>17</v>
      </c>
      <c r="C27">
        <v>194</v>
      </c>
      <c r="D27">
        <v>11</v>
      </c>
      <c r="E27" s="2">
        <v>3.3352941176470587E-3</v>
      </c>
      <c r="F27" s="10">
        <v>0.12235294117647059</v>
      </c>
      <c r="G27">
        <v>3</v>
      </c>
      <c r="H27" s="5">
        <v>7.3529411764705876E-5</v>
      </c>
      <c r="I27" s="10">
        <v>0.44882352941176468</v>
      </c>
      <c r="J27" s="6">
        <v>22.89</v>
      </c>
      <c r="K27" s="14">
        <v>1</v>
      </c>
      <c r="L27" s="18">
        <f>Tabel1[[#This Row],[Conversies]]/Tabel1[[#This Row],[Aantal vacatures]]</f>
        <v>5.8823529411764705E-2</v>
      </c>
      <c r="M27" s="6">
        <f>Tabel1[[#This Row],[Total Cost]]/Tabel1[[#This Row],[Conversies]]</f>
        <v>22.89</v>
      </c>
    </row>
    <row r="28" spans="1:13">
      <c r="A28" s="8" t="s">
        <v>107</v>
      </c>
      <c r="B28">
        <v>18</v>
      </c>
      <c r="C28">
        <v>564</v>
      </c>
      <c r="D28">
        <v>14</v>
      </c>
      <c r="E28" s="2">
        <v>5.8388888888888891E-3</v>
      </c>
      <c r="F28" s="10">
        <v>0.14333333333333334</v>
      </c>
      <c r="G28">
        <v>1</v>
      </c>
      <c r="H28" s="5">
        <v>9.4339444444444462E-3</v>
      </c>
      <c r="I28" s="10">
        <v>0.85944444444444446</v>
      </c>
      <c r="J28" s="6">
        <v>15.47</v>
      </c>
      <c r="K28" s="14">
        <v>1</v>
      </c>
      <c r="L28" s="18">
        <f>Tabel1[[#This Row],[Conversies]]/Tabel1[[#This Row],[Aantal vacatures]]</f>
        <v>5.5555555555555552E-2</v>
      </c>
      <c r="M28" s="6">
        <f>Tabel1[[#This Row],[Total Cost]]/Tabel1[[#This Row],[Conversies]]</f>
        <v>15.47</v>
      </c>
    </row>
    <row r="29" spans="1:13">
      <c r="A29" s="8" t="s">
        <v>61</v>
      </c>
      <c r="B29">
        <v>19</v>
      </c>
      <c r="C29">
        <v>1034</v>
      </c>
      <c r="D29">
        <v>30</v>
      </c>
      <c r="E29" s="2">
        <v>7.9789473684210525E-3</v>
      </c>
      <c r="F29" s="10">
        <v>0.63105263157894742</v>
      </c>
      <c r="G29">
        <v>1</v>
      </c>
      <c r="H29" s="5">
        <v>3.2480684210526315E-4</v>
      </c>
      <c r="I29" s="10">
        <v>1.8931578947368422</v>
      </c>
      <c r="J29" s="6">
        <v>35.97</v>
      </c>
      <c r="K29" s="15">
        <v>1</v>
      </c>
      <c r="L29" s="18">
        <f>Tabel1[[#This Row],[Conversies]]/Tabel1[[#This Row],[Aantal vacatures]]</f>
        <v>5.2631578947368418E-2</v>
      </c>
      <c r="M29" s="6">
        <f>Tabel1[[#This Row],[Total Cost]]/Tabel1[[#This Row],[Conversies]]</f>
        <v>35.97</v>
      </c>
    </row>
    <row r="30" spans="1:13">
      <c r="A30" s="8" t="s">
        <v>96</v>
      </c>
      <c r="B30">
        <v>20</v>
      </c>
      <c r="C30">
        <v>296</v>
      </c>
      <c r="D30">
        <v>10</v>
      </c>
      <c r="E30" s="2">
        <v>8.0350000000000005E-3</v>
      </c>
      <c r="F30" s="10">
        <v>9.0999999999999998E-2</v>
      </c>
      <c r="G30">
        <v>1</v>
      </c>
      <c r="H30" s="5">
        <v>1.2500000000000001E-2</v>
      </c>
      <c r="I30" s="10">
        <v>0.36449999999999999</v>
      </c>
      <c r="J30" s="6">
        <v>7.29</v>
      </c>
      <c r="K30" s="14">
        <v>1</v>
      </c>
      <c r="L30" s="18">
        <f>Tabel1[[#This Row],[Conversies]]/Tabel1[[#This Row],[Aantal vacatures]]</f>
        <v>0.05</v>
      </c>
      <c r="M30" s="6">
        <f>Tabel1[[#This Row],[Total Cost]]/Tabel1[[#This Row],[Conversies]]</f>
        <v>7.29</v>
      </c>
    </row>
    <row r="31" spans="1:13">
      <c r="A31" s="8" t="s">
        <v>54</v>
      </c>
      <c r="B31">
        <v>21</v>
      </c>
      <c r="C31">
        <v>515</v>
      </c>
      <c r="D31">
        <v>16</v>
      </c>
      <c r="E31" s="2">
        <v>5.2904761904761909E-3</v>
      </c>
      <c r="F31" s="10">
        <v>0</v>
      </c>
      <c r="G31">
        <v>0</v>
      </c>
      <c r="H31" s="5">
        <v>3.2357142857142852E-5</v>
      </c>
      <c r="I31" s="10">
        <v>0</v>
      </c>
      <c r="J31" s="6">
        <v>0</v>
      </c>
      <c r="K31" s="15">
        <v>1</v>
      </c>
      <c r="L31" s="18">
        <f>Tabel1[[#This Row],[Conversies]]/Tabel1[[#This Row],[Aantal vacatures]]</f>
        <v>4.7619047619047616E-2</v>
      </c>
      <c r="M31" s="6">
        <f>Tabel1[[#This Row],[Total Cost]]/Tabel1[[#This Row],[Conversies]]</f>
        <v>0</v>
      </c>
    </row>
    <row r="32" spans="1:13">
      <c r="A32" s="8" t="s">
        <v>10</v>
      </c>
      <c r="B32">
        <v>2</v>
      </c>
      <c r="C32">
        <v>64</v>
      </c>
      <c r="D32">
        <v>8</v>
      </c>
      <c r="E32" s="2">
        <v>6.25E-2</v>
      </c>
      <c r="F32" s="10">
        <v>0.23</v>
      </c>
      <c r="G32">
        <v>2</v>
      </c>
      <c r="H32" s="5">
        <v>0.125</v>
      </c>
      <c r="I32" s="10">
        <v>0.91500000000000004</v>
      </c>
      <c r="J32" s="6">
        <v>3.66</v>
      </c>
      <c r="K32" s="14">
        <v>0</v>
      </c>
      <c r="L32" s="18">
        <f>Tabel1[[#This Row],[Conversies]]/Tabel1[[#This Row],[Aantal vacatures]]</f>
        <v>0</v>
      </c>
      <c r="M32" s="6">
        <v>0</v>
      </c>
    </row>
    <row r="33" spans="1:13">
      <c r="A33" s="8" t="s">
        <v>11</v>
      </c>
      <c r="B33">
        <v>2</v>
      </c>
      <c r="C33">
        <v>54</v>
      </c>
      <c r="D33">
        <v>0</v>
      </c>
      <c r="E33" s="2">
        <v>0</v>
      </c>
      <c r="F33" s="10">
        <v>0</v>
      </c>
      <c r="G33">
        <v>0</v>
      </c>
      <c r="H33" s="5">
        <v>0</v>
      </c>
      <c r="I33" s="10">
        <v>0</v>
      </c>
      <c r="J33" s="6">
        <v>0</v>
      </c>
      <c r="K33" s="15">
        <v>0</v>
      </c>
      <c r="L33" s="18">
        <f>Tabel1[[#This Row],[Conversies]]/Tabel1[[#This Row],[Aantal vacatures]]</f>
        <v>0</v>
      </c>
      <c r="M33" s="6">
        <v>0</v>
      </c>
    </row>
    <row r="34" spans="1:13">
      <c r="A34" s="8" t="s">
        <v>14</v>
      </c>
      <c r="B34">
        <v>1</v>
      </c>
      <c r="C34">
        <v>0</v>
      </c>
      <c r="D34">
        <v>0</v>
      </c>
      <c r="E34" s="2">
        <v>0</v>
      </c>
      <c r="F34" s="10">
        <v>0</v>
      </c>
      <c r="G34">
        <v>0</v>
      </c>
      <c r="H34" s="5">
        <v>0</v>
      </c>
      <c r="I34" s="10">
        <v>0</v>
      </c>
      <c r="J34" s="6">
        <v>0</v>
      </c>
      <c r="K34" s="14">
        <v>0</v>
      </c>
      <c r="L34" s="18">
        <f>Tabel1[[#This Row],[Conversies]]/Tabel1[[#This Row],[Aantal vacatures]]</f>
        <v>0</v>
      </c>
      <c r="M34" s="6">
        <v>0</v>
      </c>
    </row>
    <row r="35" spans="1:13">
      <c r="A35" s="8" t="s">
        <v>15</v>
      </c>
      <c r="B35">
        <v>1</v>
      </c>
      <c r="C35">
        <v>272</v>
      </c>
      <c r="D35">
        <v>13</v>
      </c>
      <c r="E35" s="2">
        <v>4.7800000000000002E-2</v>
      </c>
      <c r="F35" s="10">
        <v>2.0299999999999998</v>
      </c>
      <c r="G35">
        <v>3</v>
      </c>
      <c r="H35" s="5">
        <v>2E-3</v>
      </c>
      <c r="I35" s="10">
        <v>8.81</v>
      </c>
      <c r="J35" s="6">
        <v>26.44</v>
      </c>
      <c r="K35" s="15">
        <v>0</v>
      </c>
      <c r="L35" s="18">
        <f>Tabel1[[#This Row],[Conversies]]/Tabel1[[#This Row],[Aantal vacatures]]</f>
        <v>0</v>
      </c>
      <c r="M35" s="6">
        <v>0</v>
      </c>
    </row>
    <row r="36" spans="1:13">
      <c r="A36" s="8" t="s">
        <v>18</v>
      </c>
      <c r="B36">
        <v>5</v>
      </c>
      <c r="C36">
        <v>0</v>
      </c>
      <c r="D36">
        <v>0</v>
      </c>
      <c r="E36" s="2">
        <v>0</v>
      </c>
      <c r="F36" s="10">
        <v>0</v>
      </c>
      <c r="G36">
        <v>0</v>
      </c>
      <c r="H36" s="5">
        <v>0</v>
      </c>
      <c r="I36" s="10">
        <v>0</v>
      </c>
      <c r="J36" s="6">
        <v>0</v>
      </c>
      <c r="K36" s="15">
        <v>0</v>
      </c>
      <c r="L36" s="18">
        <f>Tabel1[[#This Row],[Conversies]]/Tabel1[[#This Row],[Aantal vacatures]]</f>
        <v>0</v>
      </c>
      <c r="M36" s="6">
        <v>0</v>
      </c>
    </row>
    <row r="37" spans="1:13">
      <c r="A37" s="8" t="s">
        <v>19</v>
      </c>
      <c r="B37">
        <v>6</v>
      </c>
      <c r="C37">
        <v>0</v>
      </c>
      <c r="D37">
        <v>0</v>
      </c>
      <c r="E37" s="2">
        <v>0</v>
      </c>
      <c r="F37" s="10">
        <v>0</v>
      </c>
      <c r="G37">
        <v>0</v>
      </c>
      <c r="H37" s="5">
        <v>0</v>
      </c>
      <c r="I37" s="10">
        <v>0</v>
      </c>
      <c r="J37" s="6">
        <v>0</v>
      </c>
      <c r="K37" s="14">
        <v>0</v>
      </c>
      <c r="L37" s="18">
        <f>Tabel1[[#This Row],[Conversies]]/Tabel1[[#This Row],[Aantal vacatures]]</f>
        <v>0</v>
      </c>
      <c r="M37" s="6">
        <v>0</v>
      </c>
    </row>
    <row r="38" spans="1:13">
      <c r="A38" s="8" t="s">
        <v>23</v>
      </c>
      <c r="B38">
        <v>7</v>
      </c>
      <c r="C38">
        <v>134</v>
      </c>
      <c r="D38">
        <v>15</v>
      </c>
      <c r="E38" s="2">
        <v>1.5985714285714287E-2</v>
      </c>
      <c r="F38" s="10">
        <v>0.16</v>
      </c>
      <c r="G38">
        <v>2</v>
      </c>
      <c r="H38" s="5">
        <v>1.7857142857142857E-6</v>
      </c>
      <c r="I38" s="10">
        <v>1.1971428571428573</v>
      </c>
      <c r="J38" s="6">
        <v>16.760000000000002</v>
      </c>
      <c r="K38" s="14">
        <v>0</v>
      </c>
      <c r="L38" s="18">
        <f>Tabel1[[#This Row],[Conversies]]/Tabel1[[#This Row],[Aantal vacatures]]</f>
        <v>0</v>
      </c>
      <c r="M38" s="6">
        <v>0</v>
      </c>
    </row>
    <row r="39" spans="1:13">
      <c r="A39" s="8" t="s">
        <v>24</v>
      </c>
      <c r="B39">
        <v>10</v>
      </c>
      <c r="C39">
        <v>0</v>
      </c>
      <c r="D39">
        <v>0</v>
      </c>
      <c r="E39" s="2">
        <v>0</v>
      </c>
      <c r="F39" s="10">
        <v>0</v>
      </c>
      <c r="G39">
        <v>0</v>
      </c>
      <c r="H39" s="5">
        <v>0</v>
      </c>
      <c r="I39" s="10">
        <v>0</v>
      </c>
      <c r="J39" s="6">
        <v>0</v>
      </c>
      <c r="K39" s="15">
        <v>0</v>
      </c>
      <c r="L39" s="18">
        <f>Tabel1[[#This Row],[Conversies]]/Tabel1[[#This Row],[Aantal vacatures]]</f>
        <v>0</v>
      </c>
      <c r="M39" s="6">
        <v>0</v>
      </c>
    </row>
    <row r="40" spans="1:13">
      <c r="A40" s="8" t="s">
        <v>25</v>
      </c>
      <c r="B40">
        <v>7</v>
      </c>
      <c r="C40">
        <v>0</v>
      </c>
      <c r="D40">
        <v>0</v>
      </c>
      <c r="E40" s="2">
        <v>0</v>
      </c>
      <c r="F40" s="10">
        <v>0</v>
      </c>
      <c r="G40">
        <v>0</v>
      </c>
      <c r="H40" s="5">
        <v>0</v>
      </c>
      <c r="I40" s="10">
        <v>0</v>
      </c>
      <c r="J40" s="6">
        <v>0</v>
      </c>
      <c r="K40" s="14">
        <v>0</v>
      </c>
      <c r="L40" s="18">
        <f>Tabel1[[#This Row],[Conversies]]/Tabel1[[#This Row],[Aantal vacatures]]</f>
        <v>0</v>
      </c>
      <c r="M40" s="6">
        <v>0</v>
      </c>
    </row>
    <row r="41" spans="1:13">
      <c r="A41" s="8" t="s">
        <v>28</v>
      </c>
      <c r="B41">
        <v>12</v>
      </c>
      <c r="C41">
        <v>0</v>
      </c>
      <c r="D41">
        <v>0</v>
      </c>
      <c r="E41" s="2">
        <v>0</v>
      </c>
      <c r="F41" s="10">
        <v>0</v>
      </c>
      <c r="G41">
        <v>0</v>
      </c>
      <c r="H41" s="5">
        <v>0</v>
      </c>
      <c r="I41" s="10">
        <v>0</v>
      </c>
      <c r="J41" s="6">
        <v>0</v>
      </c>
      <c r="K41" s="15">
        <v>0</v>
      </c>
      <c r="L41" s="18">
        <f>Tabel1[[#This Row],[Conversies]]/Tabel1[[#This Row],[Aantal vacatures]]</f>
        <v>0</v>
      </c>
      <c r="M41" s="6">
        <v>0</v>
      </c>
    </row>
    <row r="42" spans="1:13">
      <c r="A42" s="8" t="s">
        <v>29</v>
      </c>
      <c r="B42">
        <v>10</v>
      </c>
      <c r="C42">
        <v>0</v>
      </c>
      <c r="D42">
        <v>0</v>
      </c>
      <c r="E42" s="2">
        <v>0</v>
      </c>
      <c r="F42" s="10">
        <v>0</v>
      </c>
      <c r="G42">
        <v>0</v>
      </c>
      <c r="H42" s="5">
        <v>0</v>
      </c>
      <c r="I42" s="10">
        <v>0</v>
      </c>
      <c r="J42" s="6">
        <v>0</v>
      </c>
      <c r="K42" s="14">
        <v>0</v>
      </c>
      <c r="L42" s="18">
        <f>Tabel1[[#This Row],[Conversies]]/Tabel1[[#This Row],[Aantal vacatures]]</f>
        <v>0</v>
      </c>
      <c r="M42" s="6">
        <v>0</v>
      </c>
    </row>
    <row r="43" spans="1:13">
      <c r="A43" s="8" t="s">
        <v>30</v>
      </c>
      <c r="B43">
        <v>4</v>
      </c>
      <c r="C43">
        <v>693</v>
      </c>
      <c r="D43">
        <v>26</v>
      </c>
      <c r="E43" s="2">
        <v>3.5349999999999999E-2</v>
      </c>
      <c r="F43" s="10">
        <v>1.6025</v>
      </c>
      <c r="G43">
        <v>2</v>
      </c>
      <c r="H43" s="5">
        <v>8.4140917499999995E-2</v>
      </c>
      <c r="I43" s="10">
        <v>5.9399999999999995</v>
      </c>
      <c r="J43" s="6">
        <v>23.759999999999998</v>
      </c>
      <c r="K43" s="15">
        <v>0</v>
      </c>
      <c r="L43" s="18">
        <f>Tabel1[[#This Row],[Conversies]]/Tabel1[[#This Row],[Aantal vacatures]]</f>
        <v>0</v>
      </c>
      <c r="M43" s="6">
        <v>0</v>
      </c>
    </row>
    <row r="44" spans="1:13">
      <c r="A44" s="8" t="s">
        <v>31</v>
      </c>
      <c r="B44">
        <v>2</v>
      </c>
      <c r="C44">
        <v>0</v>
      </c>
      <c r="D44">
        <v>0</v>
      </c>
      <c r="E44" s="2">
        <v>0</v>
      </c>
      <c r="F44" s="10">
        <v>0</v>
      </c>
      <c r="G44">
        <v>0</v>
      </c>
      <c r="H44" s="5">
        <v>0</v>
      </c>
      <c r="I44" s="10">
        <v>0</v>
      </c>
      <c r="J44" s="6">
        <v>0</v>
      </c>
      <c r="K44" s="14">
        <v>0</v>
      </c>
      <c r="L44" s="18">
        <f>Tabel1[[#This Row],[Conversies]]/Tabel1[[#This Row],[Aantal vacatures]]</f>
        <v>0</v>
      </c>
      <c r="M44" s="6">
        <v>0</v>
      </c>
    </row>
    <row r="45" spans="1:13">
      <c r="A45" s="8" t="s">
        <v>32</v>
      </c>
      <c r="B45">
        <v>11</v>
      </c>
      <c r="C45">
        <v>0</v>
      </c>
      <c r="D45">
        <v>0</v>
      </c>
      <c r="E45" s="2">
        <v>0</v>
      </c>
      <c r="F45" s="10">
        <v>0</v>
      </c>
      <c r="G45">
        <v>0</v>
      </c>
      <c r="H45" s="5">
        <v>0</v>
      </c>
      <c r="I45" s="10">
        <v>0</v>
      </c>
      <c r="J45" s="6">
        <v>0</v>
      </c>
      <c r="K45" s="15">
        <v>0</v>
      </c>
      <c r="L45" s="18">
        <f>Tabel1[[#This Row],[Conversies]]/Tabel1[[#This Row],[Aantal vacatures]]</f>
        <v>0</v>
      </c>
      <c r="M45" s="6">
        <v>0</v>
      </c>
    </row>
    <row r="46" spans="1:13">
      <c r="A46" s="8" t="s">
        <v>33</v>
      </c>
      <c r="B46">
        <v>2</v>
      </c>
      <c r="C46">
        <v>0</v>
      </c>
      <c r="D46">
        <v>0</v>
      </c>
      <c r="E46" s="2">
        <v>0</v>
      </c>
      <c r="F46" s="10">
        <v>0</v>
      </c>
      <c r="G46">
        <v>0</v>
      </c>
      <c r="H46" s="5">
        <v>0</v>
      </c>
      <c r="I46" s="10">
        <v>0</v>
      </c>
      <c r="J46" s="6">
        <v>0</v>
      </c>
      <c r="K46" s="14">
        <v>0</v>
      </c>
      <c r="L46" s="18">
        <f>Tabel1[[#This Row],[Conversies]]/Tabel1[[#This Row],[Aantal vacatures]]</f>
        <v>0</v>
      </c>
      <c r="M46" s="6">
        <v>0</v>
      </c>
    </row>
    <row r="47" spans="1:13">
      <c r="A47" s="8" t="s">
        <v>36</v>
      </c>
      <c r="B47">
        <v>1</v>
      </c>
      <c r="C47">
        <v>0</v>
      </c>
      <c r="D47">
        <v>0</v>
      </c>
      <c r="E47" s="2">
        <v>0</v>
      </c>
      <c r="F47" s="10">
        <v>0</v>
      </c>
      <c r="G47">
        <v>0</v>
      </c>
      <c r="H47" s="5">
        <v>0</v>
      </c>
      <c r="I47" s="10">
        <v>0</v>
      </c>
      <c r="J47" s="6">
        <v>0</v>
      </c>
      <c r="K47" s="15">
        <v>0</v>
      </c>
      <c r="L47" s="18">
        <f>Tabel1[[#This Row],[Conversies]]/Tabel1[[#This Row],[Aantal vacatures]]</f>
        <v>0</v>
      </c>
      <c r="M47" s="6">
        <v>0</v>
      </c>
    </row>
    <row r="48" spans="1:13">
      <c r="A48" s="8" t="s">
        <v>37</v>
      </c>
      <c r="B48">
        <v>1</v>
      </c>
      <c r="C48">
        <v>0</v>
      </c>
      <c r="D48">
        <v>0</v>
      </c>
      <c r="E48" s="2">
        <v>0</v>
      </c>
      <c r="F48" s="10">
        <v>0</v>
      </c>
      <c r="G48">
        <v>0</v>
      </c>
      <c r="H48" s="5">
        <v>0</v>
      </c>
      <c r="I48" s="10">
        <v>0</v>
      </c>
      <c r="J48" s="6">
        <v>0</v>
      </c>
      <c r="K48" s="14">
        <v>0</v>
      </c>
      <c r="L48" s="18">
        <f>Tabel1[[#This Row],[Conversies]]/Tabel1[[#This Row],[Aantal vacatures]]</f>
        <v>0</v>
      </c>
      <c r="M48" s="6">
        <v>0</v>
      </c>
    </row>
    <row r="49" spans="1:13">
      <c r="A49" s="8" t="s">
        <v>38</v>
      </c>
      <c r="B49">
        <v>1</v>
      </c>
      <c r="C49">
        <v>0</v>
      </c>
      <c r="D49">
        <v>0</v>
      </c>
      <c r="E49" s="2">
        <v>0</v>
      </c>
      <c r="F49" s="10">
        <v>0</v>
      </c>
      <c r="G49">
        <v>0</v>
      </c>
      <c r="H49" s="5">
        <v>0</v>
      </c>
      <c r="I49" s="10">
        <v>0</v>
      </c>
      <c r="J49" s="6">
        <v>0</v>
      </c>
      <c r="K49" s="15">
        <v>0</v>
      </c>
      <c r="L49" s="18">
        <f>Tabel1[[#This Row],[Conversies]]/Tabel1[[#This Row],[Aantal vacatures]]</f>
        <v>0</v>
      </c>
      <c r="M49" s="6">
        <v>0</v>
      </c>
    </row>
    <row r="50" spans="1:13">
      <c r="A50" s="8" t="s">
        <v>40</v>
      </c>
      <c r="B50">
        <v>1</v>
      </c>
      <c r="C50">
        <v>0</v>
      </c>
      <c r="D50">
        <v>0</v>
      </c>
      <c r="E50" s="2">
        <v>0</v>
      </c>
      <c r="F50" s="10">
        <v>0</v>
      </c>
      <c r="G50">
        <v>0</v>
      </c>
      <c r="H50" s="5">
        <v>0</v>
      </c>
      <c r="I50" s="10">
        <v>0</v>
      </c>
      <c r="J50" s="6">
        <v>0</v>
      </c>
      <c r="K50" s="15">
        <v>0</v>
      </c>
      <c r="L50" s="18">
        <f>Tabel1[[#This Row],[Conversies]]/Tabel1[[#This Row],[Aantal vacatures]]</f>
        <v>0</v>
      </c>
      <c r="M50" s="6">
        <v>0</v>
      </c>
    </row>
    <row r="51" spans="1:13">
      <c r="A51" s="8" t="s">
        <v>41</v>
      </c>
      <c r="B51">
        <v>1</v>
      </c>
      <c r="C51">
        <v>0</v>
      </c>
      <c r="D51">
        <v>0</v>
      </c>
      <c r="E51" s="2">
        <v>0</v>
      </c>
      <c r="F51" s="10">
        <v>0</v>
      </c>
      <c r="G51">
        <v>0</v>
      </c>
      <c r="H51" s="5">
        <v>0</v>
      </c>
      <c r="I51" s="10">
        <v>0</v>
      </c>
      <c r="J51" s="6">
        <v>0</v>
      </c>
      <c r="K51" s="14">
        <v>0</v>
      </c>
      <c r="L51" s="18">
        <f>Tabel1[[#This Row],[Conversies]]/Tabel1[[#This Row],[Aantal vacatures]]</f>
        <v>0</v>
      </c>
      <c r="M51" s="6">
        <v>0</v>
      </c>
    </row>
    <row r="52" spans="1:13">
      <c r="A52" s="8" t="s">
        <v>43</v>
      </c>
      <c r="B52">
        <v>1</v>
      </c>
      <c r="C52">
        <v>0</v>
      </c>
      <c r="D52">
        <v>0</v>
      </c>
      <c r="E52" s="2">
        <v>0</v>
      </c>
      <c r="F52" s="10">
        <v>0</v>
      </c>
      <c r="G52">
        <v>0</v>
      </c>
      <c r="H52" s="5">
        <v>0</v>
      </c>
      <c r="I52" s="10">
        <v>0</v>
      </c>
      <c r="J52" s="6">
        <v>0</v>
      </c>
      <c r="K52" s="14">
        <v>0</v>
      </c>
      <c r="L52" s="18">
        <f>Tabel1[[#This Row],[Conversies]]/Tabel1[[#This Row],[Aantal vacatures]]</f>
        <v>0</v>
      </c>
      <c r="M52" s="6">
        <v>0</v>
      </c>
    </row>
    <row r="53" spans="1:13">
      <c r="A53" s="8" t="s">
        <v>44</v>
      </c>
      <c r="B53">
        <v>3</v>
      </c>
      <c r="C53">
        <v>0</v>
      </c>
      <c r="D53">
        <v>0</v>
      </c>
      <c r="E53" s="2">
        <v>0</v>
      </c>
      <c r="F53" s="10">
        <v>0</v>
      </c>
      <c r="G53">
        <v>0</v>
      </c>
      <c r="H53" s="5">
        <v>0</v>
      </c>
      <c r="I53" s="10">
        <v>0</v>
      </c>
      <c r="J53" s="6">
        <v>0</v>
      </c>
      <c r="K53" s="15">
        <v>0</v>
      </c>
      <c r="L53" s="18">
        <f>Tabel1[[#This Row],[Conversies]]/Tabel1[[#This Row],[Aantal vacatures]]</f>
        <v>0</v>
      </c>
      <c r="M53" s="6">
        <v>0</v>
      </c>
    </row>
    <row r="54" spans="1:13">
      <c r="A54" s="8" t="s">
        <v>46</v>
      </c>
      <c r="B54">
        <v>5</v>
      </c>
      <c r="C54">
        <v>965</v>
      </c>
      <c r="D54">
        <v>40</v>
      </c>
      <c r="E54" s="2">
        <v>3.4779999999999998E-2</v>
      </c>
      <c r="F54" s="10">
        <v>0.77800000000000002</v>
      </c>
      <c r="G54">
        <v>4</v>
      </c>
      <c r="H54" s="5">
        <v>5.3719999999999997E-2</v>
      </c>
      <c r="I54" s="10">
        <v>7.0319999999999991</v>
      </c>
      <c r="J54" s="6">
        <v>40.82</v>
      </c>
      <c r="K54" s="15">
        <v>0</v>
      </c>
      <c r="L54" s="18">
        <f>Tabel1[[#This Row],[Conversies]]/Tabel1[[#This Row],[Aantal vacatures]]</f>
        <v>0</v>
      </c>
      <c r="M54" s="6">
        <v>0</v>
      </c>
    </row>
    <row r="55" spans="1:13">
      <c r="A55" s="8" t="s">
        <v>50</v>
      </c>
      <c r="B55">
        <v>1</v>
      </c>
      <c r="C55">
        <v>126</v>
      </c>
      <c r="D55">
        <v>9</v>
      </c>
      <c r="E55" s="2">
        <v>7.1399999999999991E-2</v>
      </c>
      <c r="F55" s="10">
        <v>0</v>
      </c>
      <c r="G55">
        <v>0</v>
      </c>
      <c r="H55" s="5">
        <v>1.6670000000000001E-5</v>
      </c>
      <c r="I55" s="10">
        <v>0</v>
      </c>
      <c r="J55" s="6">
        <v>0</v>
      </c>
      <c r="K55" s="14">
        <v>0</v>
      </c>
      <c r="L55" s="18">
        <f>Tabel1[[#This Row],[Conversies]]/Tabel1[[#This Row],[Aantal vacatures]]</f>
        <v>0</v>
      </c>
      <c r="M55" s="6">
        <v>0</v>
      </c>
    </row>
    <row r="56" spans="1:13">
      <c r="A56" s="8" t="s">
        <v>51</v>
      </c>
      <c r="B56">
        <v>1</v>
      </c>
      <c r="C56">
        <v>0</v>
      </c>
      <c r="D56">
        <v>0</v>
      </c>
      <c r="E56" s="2">
        <v>0</v>
      </c>
      <c r="F56" s="10">
        <v>0</v>
      </c>
      <c r="G56">
        <v>0</v>
      </c>
      <c r="H56" s="5">
        <v>0</v>
      </c>
      <c r="I56" s="10">
        <v>0</v>
      </c>
      <c r="J56" s="6">
        <v>0</v>
      </c>
      <c r="K56" s="15">
        <v>0</v>
      </c>
      <c r="L56" s="18">
        <f>Tabel1[[#This Row],[Conversies]]/Tabel1[[#This Row],[Aantal vacatures]]</f>
        <v>0</v>
      </c>
      <c r="M56" s="6">
        <v>0</v>
      </c>
    </row>
    <row r="57" spans="1:13">
      <c r="A57" s="8" t="s">
        <v>53</v>
      </c>
      <c r="B57">
        <v>14</v>
      </c>
      <c r="C57">
        <v>0</v>
      </c>
      <c r="D57">
        <v>0</v>
      </c>
      <c r="E57" s="2">
        <v>0</v>
      </c>
      <c r="F57" s="10">
        <v>0</v>
      </c>
      <c r="G57">
        <v>0</v>
      </c>
      <c r="H57" s="5">
        <v>0</v>
      </c>
      <c r="I57" s="10">
        <v>0</v>
      </c>
      <c r="J57" s="6">
        <v>0</v>
      </c>
      <c r="K57" s="14">
        <v>0</v>
      </c>
      <c r="L57" s="18">
        <f>Tabel1[[#This Row],[Conversies]]/Tabel1[[#This Row],[Aantal vacatures]]</f>
        <v>0</v>
      </c>
      <c r="M57" s="6">
        <v>0</v>
      </c>
    </row>
    <row r="58" spans="1:13">
      <c r="A58" s="8" t="s">
        <v>55</v>
      </c>
      <c r="B58">
        <v>3</v>
      </c>
      <c r="C58">
        <v>592</v>
      </c>
      <c r="D58">
        <v>19</v>
      </c>
      <c r="E58" s="2">
        <v>2.1599999999999998E-2</v>
      </c>
      <c r="F58" s="10">
        <v>0.79333333333333333</v>
      </c>
      <c r="G58">
        <v>3</v>
      </c>
      <c r="H58" s="5">
        <v>6.1155666666666664E-2</v>
      </c>
      <c r="I58" s="10">
        <v>5.8566666666666665</v>
      </c>
      <c r="J58" s="6">
        <v>20.89</v>
      </c>
      <c r="K58" s="14">
        <v>0</v>
      </c>
      <c r="L58" s="18">
        <f>Tabel1[[#This Row],[Conversies]]/Tabel1[[#This Row],[Aantal vacatures]]</f>
        <v>0</v>
      </c>
      <c r="M58" s="6">
        <v>0</v>
      </c>
    </row>
    <row r="59" spans="1:13">
      <c r="A59" s="8" t="s">
        <v>56</v>
      </c>
      <c r="B59">
        <v>1</v>
      </c>
      <c r="C59">
        <v>191</v>
      </c>
      <c r="D59">
        <v>5</v>
      </c>
      <c r="E59" s="2">
        <v>2.6200000000000001E-2</v>
      </c>
      <c r="F59" s="10">
        <v>2.84</v>
      </c>
      <c r="G59">
        <v>1</v>
      </c>
      <c r="H59" s="5">
        <v>4.55E-4</v>
      </c>
      <c r="I59" s="10">
        <v>14.18</v>
      </c>
      <c r="J59" s="6">
        <v>14.18</v>
      </c>
      <c r="K59" s="15">
        <v>0</v>
      </c>
      <c r="L59" s="18">
        <f>Tabel1[[#This Row],[Conversies]]/Tabel1[[#This Row],[Aantal vacatures]]</f>
        <v>0</v>
      </c>
      <c r="M59" s="6">
        <v>0</v>
      </c>
    </row>
    <row r="60" spans="1:13">
      <c r="A60" s="8" t="s">
        <v>58</v>
      </c>
      <c r="B60">
        <v>4</v>
      </c>
      <c r="C60">
        <v>0</v>
      </c>
      <c r="D60">
        <v>0</v>
      </c>
      <c r="E60" s="2">
        <v>0</v>
      </c>
      <c r="F60" s="10">
        <v>0</v>
      </c>
      <c r="G60">
        <v>0</v>
      </c>
      <c r="H60" s="5">
        <v>0</v>
      </c>
      <c r="I60" s="10">
        <v>0</v>
      </c>
      <c r="J60" s="6">
        <v>0</v>
      </c>
      <c r="K60" s="14">
        <v>0</v>
      </c>
      <c r="L60" s="18">
        <f>Tabel1[[#This Row],[Conversies]]/Tabel1[[#This Row],[Aantal vacatures]]</f>
        <v>0</v>
      </c>
      <c r="M60" s="6">
        <v>0</v>
      </c>
    </row>
    <row r="61" spans="1:13">
      <c r="A61" s="8" t="s">
        <v>59</v>
      </c>
      <c r="B61">
        <v>13</v>
      </c>
      <c r="C61">
        <v>183</v>
      </c>
      <c r="D61">
        <v>2</v>
      </c>
      <c r="E61" s="2">
        <v>8.3846153846153847E-4</v>
      </c>
      <c r="F61" s="10">
        <v>0</v>
      </c>
      <c r="G61">
        <v>0</v>
      </c>
      <c r="H61" s="5">
        <v>1.7753846153846151E-4</v>
      </c>
      <c r="I61" s="10">
        <v>0</v>
      </c>
      <c r="J61" s="6">
        <v>0</v>
      </c>
      <c r="K61" s="15">
        <v>0</v>
      </c>
      <c r="L61" s="18">
        <f>Tabel1[[#This Row],[Conversies]]/Tabel1[[#This Row],[Aantal vacatures]]</f>
        <v>0</v>
      </c>
      <c r="M61" s="6">
        <v>0</v>
      </c>
    </row>
    <row r="62" spans="1:13">
      <c r="A62" s="8" t="s">
        <v>60</v>
      </c>
      <c r="B62">
        <v>10</v>
      </c>
      <c r="C62">
        <v>0</v>
      </c>
      <c r="D62">
        <v>0</v>
      </c>
      <c r="E62" s="2">
        <v>0</v>
      </c>
      <c r="F62" s="10">
        <v>0</v>
      </c>
      <c r="G62">
        <v>0</v>
      </c>
      <c r="H62" s="5">
        <v>0</v>
      </c>
      <c r="I62" s="10">
        <v>0</v>
      </c>
      <c r="J62" s="6">
        <v>0</v>
      </c>
      <c r="K62" s="14">
        <v>0</v>
      </c>
      <c r="L62" s="18">
        <f>Tabel1[[#This Row],[Conversies]]/Tabel1[[#This Row],[Aantal vacatures]]</f>
        <v>0</v>
      </c>
      <c r="M62" s="6">
        <v>0</v>
      </c>
    </row>
    <row r="63" spans="1:13">
      <c r="A63" s="8" t="s">
        <v>64</v>
      </c>
      <c r="B63">
        <v>14</v>
      </c>
      <c r="C63">
        <v>410</v>
      </c>
      <c r="D63">
        <v>3</v>
      </c>
      <c r="E63" s="2">
        <v>1.1214285714285714E-3</v>
      </c>
      <c r="F63" s="10">
        <v>0</v>
      </c>
      <c r="G63">
        <v>0</v>
      </c>
      <c r="H63" s="5">
        <v>1.0628428571428571E-4</v>
      </c>
      <c r="I63" s="10">
        <v>0</v>
      </c>
      <c r="J63" s="6">
        <v>0</v>
      </c>
      <c r="K63" s="14">
        <v>0</v>
      </c>
      <c r="L63" s="18">
        <f>Tabel1[[#This Row],[Conversies]]/Tabel1[[#This Row],[Aantal vacatures]]</f>
        <v>0</v>
      </c>
      <c r="M63" s="6">
        <v>0</v>
      </c>
    </row>
    <row r="64" spans="1:13">
      <c r="A64" s="8" t="s">
        <v>66</v>
      </c>
      <c r="B64">
        <v>3</v>
      </c>
      <c r="C64">
        <v>162</v>
      </c>
      <c r="D64">
        <v>9</v>
      </c>
      <c r="E64" s="2">
        <v>1.8533333333333332E-2</v>
      </c>
      <c r="F64" s="10">
        <v>0</v>
      </c>
      <c r="G64">
        <v>0</v>
      </c>
      <c r="H64" s="5">
        <v>3.8466666666666665E-6</v>
      </c>
      <c r="I64" s="10">
        <v>0</v>
      </c>
      <c r="J64" s="6">
        <v>0</v>
      </c>
      <c r="K64" s="14">
        <v>0</v>
      </c>
      <c r="L64" s="18">
        <f>Tabel1[[#This Row],[Conversies]]/Tabel1[[#This Row],[Aantal vacatures]]</f>
        <v>0</v>
      </c>
      <c r="M64" s="6">
        <v>0</v>
      </c>
    </row>
    <row r="65" spans="1:13">
      <c r="A65" s="8" t="s">
        <v>67</v>
      </c>
      <c r="B65">
        <v>9</v>
      </c>
      <c r="C65">
        <v>142</v>
      </c>
      <c r="D65">
        <v>4</v>
      </c>
      <c r="E65" s="2">
        <v>3.1333333333333335E-3</v>
      </c>
      <c r="F65" s="10">
        <v>0</v>
      </c>
      <c r="G65">
        <v>0</v>
      </c>
      <c r="H65" s="5">
        <v>1.8522222222222222E-6</v>
      </c>
      <c r="I65" s="10">
        <v>0</v>
      </c>
      <c r="J65" s="6">
        <v>0</v>
      </c>
      <c r="K65" s="15">
        <v>0</v>
      </c>
      <c r="L65" s="18">
        <f>Tabel1[[#This Row],[Conversies]]/Tabel1[[#This Row],[Aantal vacatures]]</f>
        <v>0</v>
      </c>
      <c r="M65" s="6">
        <v>0</v>
      </c>
    </row>
    <row r="66" spans="1:13">
      <c r="A66" s="8" t="s">
        <v>71</v>
      </c>
      <c r="B66">
        <v>2</v>
      </c>
      <c r="C66">
        <v>0</v>
      </c>
      <c r="D66">
        <v>0</v>
      </c>
      <c r="E66" s="2">
        <v>0</v>
      </c>
      <c r="F66" s="10">
        <v>0</v>
      </c>
      <c r="G66">
        <v>0</v>
      </c>
      <c r="H66" s="5">
        <v>0</v>
      </c>
      <c r="I66" s="10">
        <v>0</v>
      </c>
      <c r="J66" s="6">
        <v>0</v>
      </c>
      <c r="K66" s="15">
        <v>0</v>
      </c>
      <c r="L66" s="18">
        <f>Tabel1[[#This Row],[Conversies]]/Tabel1[[#This Row],[Aantal vacatures]]</f>
        <v>0</v>
      </c>
      <c r="M66" s="6">
        <v>0</v>
      </c>
    </row>
    <row r="67" spans="1:13">
      <c r="A67" s="8" t="s">
        <v>72</v>
      </c>
      <c r="B67">
        <v>12</v>
      </c>
      <c r="C67">
        <v>326</v>
      </c>
      <c r="D67">
        <v>11</v>
      </c>
      <c r="E67" s="2">
        <v>2.8083333333333333E-3</v>
      </c>
      <c r="F67" s="10">
        <v>0</v>
      </c>
      <c r="G67">
        <v>0</v>
      </c>
      <c r="H67" s="5">
        <v>0</v>
      </c>
      <c r="I67" s="10">
        <v>0</v>
      </c>
      <c r="J67" s="6">
        <v>0</v>
      </c>
      <c r="K67" s="14">
        <v>0</v>
      </c>
      <c r="L67" s="18">
        <f>Tabel1[[#This Row],[Conversies]]/Tabel1[[#This Row],[Aantal vacatures]]</f>
        <v>0</v>
      </c>
      <c r="M67" s="6">
        <v>0</v>
      </c>
    </row>
    <row r="68" spans="1:13">
      <c r="A68" s="8" t="s">
        <v>75</v>
      </c>
      <c r="B68">
        <v>1</v>
      </c>
      <c r="C68">
        <v>102</v>
      </c>
      <c r="D68">
        <v>7</v>
      </c>
      <c r="E68" s="2">
        <v>6.8600000000000008E-2</v>
      </c>
      <c r="F68" s="10">
        <v>0</v>
      </c>
      <c r="G68">
        <v>0</v>
      </c>
      <c r="H68" s="5">
        <v>0</v>
      </c>
      <c r="I68" s="10">
        <v>0</v>
      </c>
      <c r="J68" s="6">
        <v>0</v>
      </c>
      <c r="K68" s="14">
        <v>0</v>
      </c>
      <c r="L68" s="18">
        <f>Tabel1[[#This Row],[Conversies]]/Tabel1[[#This Row],[Aantal vacatures]]</f>
        <v>0</v>
      </c>
      <c r="M68" s="6">
        <v>0</v>
      </c>
    </row>
    <row r="69" spans="1:13">
      <c r="A69" s="8" t="s">
        <v>76</v>
      </c>
      <c r="B69">
        <v>1</v>
      </c>
      <c r="C69">
        <v>65</v>
      </c>
      <c r="D69">
        <v>5</v>
      </c>
      <c r="E69" s="2">
        <v>7.690000000000001E-2</v>
      </c>
      <c r="F69" s="10">
        <v>2.19</v>
      </c>
      <c r="G69">
        <v>1</v>
      </c>
      <c r="H69" s="5">
        <v>0.2</v>
      </c>
      <c r="I69" s="10">
        <v>10.95</v>
      </c>
      <c r="J69" s="6">
        <v>10.95</v>
      </c>
      <c r="K69" s="15">
        <v>0</v>
      </c>
      <c r="L69" s="18">
        <f>Tabel1[[#This Row],[Conversies]]/Tabel1[[#This Row],[Aantal vacatures]]</f>
        <v>0</v>
      </c>
      <c r="M69" s="6">
        <v>0</v>
      </c>
    </row>
    <row r="70" spans="1:13">
      <c r="A70" s="8" t="s">
        <v>77</v>
      </c>
      <c r="B70">
        <v>5</v>
      </c>
      <c r="C70">
        <v>323</v>
      </c>
      <c r="D70">
        <v>15</v>
      </c>
      <c r="E70" s="2">
        <v>1.9380000000000001E-2</v>
      </c>
      <c r="F70" s="10">
        <v>0</v>
      </c>
      <c r="G70">
        <v>0</v>
      </c>
      <c r="H70" s="5">
        <v>1.0333400000000001E-4</v>
      </c>
      <c r="I70" s="10">
        <v>0</v>
      </c>
      <c r="J70" s="6">
        <v>0</v>
      </c>
      <c r="K70" s="14">
        <v>0</v>
      </c>
      <c r="L70" s="18">
        <f>Tabel1[[#This Row],[Conversies]]/Tabel1[[#This Row],[Aantal vacatures]]</f>
        <v>0</v>
      </c>
      <c r="M70" s="6">
        <v>0</v>
      </c>
    </row>
    <row r="71" spans="1:13">
      <c r="A71" s="8" t="s">
        <v>74</v>
      </c>
      <c r="B71">
        <v>4</v>
      </c>
      <c r="C71">
        <v>0</v>
      </c>
      <c r="D71">
        <v>0</v>
      </c>
      <c r="E71" s="2">
        <v>0</v>
      </c>
      <c r="F71" s="10">
        <v>0</v>
      </c>
      <c r="G71">
        <v>0</v>
      </c>
      <c r="H71" s="5">
        <v>0</v>
      </c>
      <c r="I71" s="10">
        <v>0</v>
      </c>
      <c r="J71" s="6">
        <v>0</v>
      </c>
      <c r="K71" s="15">
        <v>0</v>
      </c>
      <c r="L71" s="18">
        <f>Tabel1[[#This Row],[Conversies]]/Tabel1[[#This Row],[Aantal vacatures]]</f>
        <v>0</v>
      </c>
      <c r="M71" s="6">
        <v>0</v>
      </c>
    </row>
    <row r="72" spans="1:13">
      <c r="A72" s="8" t="s">
        <v>78</v>
      </c>
      <c r="B72">
        <v>5</v>
      </c>
      <c r="C72">
        <v>0</v>
      </c>
      <c r="D72">
        <v>0</v>
      </c>
      <c r="E72" s="2">
        <v>0</v>
      </c>
      <c r="F72" s="10">
        <v>0</v>
      </c>
      <c r="G72">
        <v>0</v>
      </c>
      <c r="H72" s="5">
        <v>0</v>
      </c>
      <c r="I72" s="10">
        <v>0</v>
      </c>
      <c r="J72" s="6">
        <v>0</v>
      </c>
      <c r="K72" s="14">
        <v>0</v>
      </c>
      <c r="L72" s="18">
        <f>Tabel1[[#This Row],[Conversies]]/Tabel1[[#This Row],[Aantal vacatures]]</f>
        <v>0</v>
      </c>
      <c r="M72" s="6">
        <v>0</v>
      </c>
    </row>
    <row r="73" spans="1:13">
      <c r="A73" s="8" t="s">
        <v>62</v>
      </c>
      <c r="B73">
        <v>2</v>
      </c>
      <c r="C73">
        <v>0</v>
      </c>
      <c r="D73">
        <v>0</v>
      </c>
      <c r="E73" s="2">
        <v>0</v>
      </c>
      <c r="F73" s="10">
        <v>0</v>
      </c>
      <c r="G73">
        <v>0</v>
      </c>
      <c r="H73" s="5">
        <v>0</v>
      </c>
      <c r="I73" s="10">
        <v>0</v>
      </c>
      <c r="J73" s="6">
        <v>0</v>
      </c>
      <c r="K73" s="15">
        <v>0</v>
      </c>
      <c r="L73" s="18">
        <f>Tabel1[[#This Row],[Conversies]]/Tabel1[[#This Row],[Aantal vacatures]]</f>
        <v>0</v>
      </c>
      <c r="M73" s="6">
        <v>0</v>
      </c>
    </row>
    <row r="74" spans="1:13">
      <c r="A74" s="8" t="s">
        <v>80</v>
      </c>
      <c r="B74">
        <v>2</v>
      </c>
      <c r="C74">
        <v>41</v>
      </c>
      <c r="D74">
        <v>0</v>
      </c>
      <c r="E74" s="2">
        <v>0</v>
      </c>
      <c r="F74" s="10">
        <v>0</v>
      </c>
      <c r="G74">
        <v>0</v>
      </c>
      <c r="H74" s="5">
        <v>0</v>
      </c>
      <c r="I74" s="10">
        <v>0</v>
      </c>
      <c r="J74" s="6">
        <v>0</v>
      </c>
      <c r="K74" s="14">
        <v>0</v>
      </c>
      <c r="L74" s="18">
        <f>Tabel1[[#This Row],[Conversies]]/Tabel1[[#This Row],[Aantal vacatures]]</f>
        <v>0</v>
      </c>
      <c r="M74" s="6">
        <v>0</v>
      </c>
    </row>
    <row r="75" spans="1:13">
      <c r="A75" s="8" t="s">
        <v>79</v>
      </c>
      <c r="B75">
        <v>4</v>
      </c>
      <c r="C75">
        <v>0</v>
      </c>
      <c r="D75">
        <v>0</v>
      </c>
      <c r="E75" s="2">
        <v>0</v>
      </c>
      <c r="F75" s="10">
        <v>0</v>
      </c>
      <c r="G75">
        <v>0</v>
      </c>
      <c r="H75" s="5">
        <v>0</v>
      </c>
      <c r="I75" s="10">
        <v>0</v>
      </c>
      <c r="J75" s="6">
        <v>0</v>
      </c>
      <c r="K75" s="14">
        <v>0</v>
      </c>
      <c r="L75" s="18">
        <f>Tabel1[[#This Row],[Conversies]]/Tabel1[[#This Row],[Aantal vacatures]]</f>
        <v>0</v>
      </c>
      <c r="M75" s="6">
        <v>0</v>
      </c>
    </row>
    <row r="76" spans="1:13">
      <c r="A76" s="8" t="s">
        <v>84</v>
      </c>
      <c r="B76">
        <v>1</v>
      </c>
      <c r="C76">
        <v>0</v>
      </c>
      <c r="D76">
        <v>0</v>
      </c>
      <c r="E76" s="2">
        <v>0</v>
      </c>
      <c r="F76" s="10">
        <v>0</v>
      </c>
      <c r="G76">
        <v>0</v>
      </c>
      <c r="H76" s="5">
        <v>0</v>
      </c>
      <c r="I76" s="10">
        <v>0</v>
      </c>
      <c r="J76" s="6">
        <v>0</v>
      </c>
      <c r="K76" s="15">
        <v>0</v>
      </c>
      <c r="L76" s="18">
        <f>Tabel1[[#This Row],[Conversies]]/Tabel1[[#This Row],[Aantal vacatures]]</f>
        <v>0</v>
      </c>
      <c r="M76" s="6">
        <v>0</v>
      </c>
    </row>
    <row r="77" spans="1:13">
      <c r="A77" s="8" t="s">
        <v>85</v>
      </c>
      <c r="B77">
        <v>1</v>
      </c>
      <c r="C77">
        <v>0</v>
      </c>
      <c r="D77">
        <v>0</v>
      </c>
      <c r="E77" s="2">
        <v>0</v>
      </c>
      <c r="F77" s="10">
        <v>0</v>
      </c>
      <c r="G77">
        <v>0</v>
      </c>
      <c r="H77" s="5">
        <v>0</v>
      </c>
      <c r="I77" s="10">
        <v>0</v>
      </c>
      <c r="J77" s="6">
        <v>0</v>
      </c>
      <c r="K77" s="14">
        <v>0</v>
      </c>
      <c r="L77" s="18">
        <f>Tabel1[[#This Row],[Conversies]]/Tabel1[[#This Row],[Aantal vacatures]]</f>
        <v>0</v>
      </c>
      <c r="M77" s="6">
        <v>0</v>
      </c>
    </row>
    <row r="78" spans="1:13">
      <c r="A78" s="8" t="s">
        <v>86</v>
      </c>
      <c r="B78">
        <v>1</v>
      </c>
      <c r="C78">
        <v>0</v>
      </c>
      <c r="D78">
        <v>0</v>
      </c>
      <c r="E78" s="2">
        <v>0</v>
      </c>
      <c r="F78" s="10">
        <v>0</v>
      </c>
      <c r="G78">
        <v>0</v>
      </c>
      <c r="H78" s="5">
        <v>0</v>
      </c>
      <c r="I78" s="10">
        <v>0</v>
      </c>
      <c r="J78" s="6">
        <v>0</v>
      </c>
      <c r="K78" s="15">
        <v>0</v>
      </c>
      <c r="L78" s="18">
        <f>Tabel1[[#This Row],[Conversies]]/Tabel1[[#This Row],[Aantal vacatures]]</f>
        <v>0</v>
      </c>
      <c r="M78" s="6">
        <v>0</v>
      </c>
    </row>
    <row r="79" spans="1:13">
      <c r="A79" s="8" t="s">
        <v>87</v>
      </c>
      <c r="B79">
        <v>1</v>
      </c>
      <c r="C79">
        <v>0</v>
      </c>
      <c r="D79">
        <v>0</v>
      </c>
      <c r="E79" s="2">
        <v>0</v>
      </c>
      <c r="F79" s="10">
        <v>0</v>
      </c>
      <c r="G79">
        <v>0</v>
      </c>
      <c r="H79" s="5">
        <v>0</v>
      </c>
      <c r="I79" s="10">
        <v>0</v>
      </c>
      <c r="J79" s="6">
        <v>0</v>
      </c>
      <c r="K79" s="14">
        <v>0</v>
      </c>
      <c r="L79" s="18">
        <f>Tabel1[[#This Row],[Conversies]]/Tabel1[[#This Row],[Aantal vacatures]]</f>
        <v>0</v>
      </c>
      <c r="M79" s="6">
        <v>0</v>
      </c>
    </row>
    <row r="80" spans="1:13">
      <c r="A80" s="8" t="s">
        <v>88</v>
      </c>
      <c r="B80">
        <v>2</v>
      </c>
      <c r="C80">
        <v>180</v>
      </c>
      <c r="D80">
        <v>14</v>
      </c>
      <c r="E80" s="2">
        <v>3.8900000000000004E-2</v>
      </c>
      <c r="F80" s="10">
        <v>0</v>
      </c>
      <c r="G80">
        <v>0</v>
      </c>
      <c r="H80" s="5">
        <v>8.3350000000000004E-4</v>
      </c>
      <c r="I80" s="10">
        <v>0</v>
      </c>
      <c r="J80" s="6">
        <v>0</v>
      </c>
      <c r="K80" s="15">
        <v>0</v>
      </c>
      <c r="L80" s="18">
        <f>Tabel1[[#This Row],[Conversies]]/Tabel1[[#This Row],[Aantal vacatures]]</f>
        <v>0</v>
      </c>
      <c r="M80" s="6">
        <v>0</v>
      </c>
    </row>
    <row r="81" spans="1:13">
      <c r="A81" s="8" t="s">
        <v>89</v>
      </c>
      <c r="B81">
        <v>2</v>
      </c>
      <c r="C81">
        <v>63</v>
      </c>
      <c r="D81">
        <v>4</v>
      </c>
      <c r="E81" s="2">
        <v>3.175E-2</v>
      </c>
      <c r="F81" s="10">
        <v>0</v>
      </c>
      <c r="G81">
        <v>0</v>
      </c>
      <c r="H81" s="5">
        <v>0</v>
      </c>
      <c r="I81" s="10">
        <v>0</v>
      </c>
      <c r="J81" s="6">
        <v>0</v>
      </c>
      <c r="K81" s="14">
        <v>0</v>
      </c>
      <c r="L81" s="18">
        <f>Tabel1[[#This Row],[Conversies]]/Tabel1[[#This Row],[Aantal vacatures]]</f>
        <v>0</v>
      </c>
      <c r="M81" s="6">
        <v>0</v>
      </c>
    </row>
    <row r="82" spans="1:13">
      <c r="A82" s="8" t="s">
        <v>90</v>
      </c>
      <c r="B82">
        <v>1</v>
      </c>
      <c r="C82">
        <v>225</v>
      </c>
      <c r="D82">
        <v>5</v>
      </c>
      <c r="E82" s="2">
        <v>2.2200000000000001E-2</v>
      </c>
      <c r="F82" s="10">
        <v>0</v>
      </c>
      <c r="G82">
        <v>0</v>
      </c>
      <c r="H82" s="5">
        <v>7.139999999999999E-4</v>
      </c>
      <c r="I82" s="10">
        <v>0</v>
      </c>
      <c r="J82" s="6">
        <v>0</v>
      </c>
      <c r="K82" s="15">
        <v>0</v>
      </c>
      <c r="L82" s="18">
        <f>Tabel1[[#This Row],[Conversies]]/Tabel1[[#This Row],[Aantal vacatures]]</f>
        <v>0</v>
      </c>
      <c r="M82" s="6">
        <v>0</v>
      </c>
    </row>
    <row r="83" spans="1:13">
      <c r="A83" s="8" t="s">
        <v>91</v>
      </c>
      <c r="B83">
        <v>10</v>
      </c>
      <c r="C83">
        <v>0</v>
      </c>
      <c r="D83">
        <v>0</v>
      </c>
      <c r="E83" s="2">
        <v>0</v>
      </c>
      <c r="F83" s="10">
        <v>0</v>
      </c>
      <c r="G83">
        <v>0</v>
      </c>
      <c r="H83" s="5">
        <v>0</v>
      </c>
      <c r="I83" s="10">
        <v>0</v>
      </c>
      <c r="J83" s="6">
        <v>0</v>
      </c>
      <c r="K83" s="14">
        <v>0</v>
      </c>
      <c r="L83" s="18">
        <f>Tabel1[[#This Row],[Conversies]]/Tabel1[[#This Row],[Aantal vacatures]]</f>
        <v>0</v>
      </c>
      <c r="M83" s="6">
        <v>0</v>
      </c>
    </row>
    <row r="84" spans="1:13">
      <c r="A84" s="8" t="s">
        <v>92</v>
      </c>
      <c r="B84">
        <v>10</v>
      </c>
      <c r="C84">
        <v>1097</v>
      </c>
      <c r="D84">
        <v>22</v>
      </c>
      <c r="E84" s="2">
        <v>1.447E-2</v>
      </c>
      <c r="F84" s="10">
        <v>0.504</v>
      </c>
      <c r="G84">
        <v>2</v>
      </c>
      <c r="H84" s="5">
        <v>8.9715000000000004E-5</v>
      </c>
      <c r="I84" s="10">
        <v>1.0070000000000001</v>
      </c>
      <c r="J84" s="6">
        <v>20.14</v>
      </c>
      <c r="K84" s="15">
        <v>0</v>
      </c>
      <c r="L84" s="18">
        <f>Tabel1[[#This Row],[Conversies]]/Tabel1[[#This Row],[Aantal vacatures]]</f>
        <v>0</v>
      </c>
      <c r="M84" s="6">
        <v>0</v>
      </c>
    </row>
    <row r="85" spans="1:13">
      <c r="A85" s="8" t="s">
        <v>94</v>
      </c>
      <c r="B85">
        <v>3</v>
      </c>
      <c r="C85">
        <v>259</v>
      </c>
      <c r="D85">
        <v>10</v>
      </c>
      <c r="E85" s="2">
        <v>2.5533333333333335E-2</v>
      </c>
      <c r="F85" s="10">
        <v>0</v>
      </c>
      <c r="G85">
        <v>0</v>
      </c>
      <c r="H85" s="5">
        <v>1.6110000000000003E-5</v>
      </c>
      <c r="I85" s="10">
        <v>0</v>
      </c>
      <c r="J85" s="6">
        <v>0</v>
      </c>
      <c r="K85" s="14">
        <v>0</v>
      </c>
      <c r="L85" s="18">
        <f>Tabel1[[#This Row],[Conversies]]/Tabel1[[#This Row],[Aantal vacatures]]</f>
        <v>0</v>
      </c>
      <c r="M85" s="6">
        <v>0</v>
      </c>
    </row>
    <row r="86" spans="1:13">
      <c r="A86" s="8" t="s">
        <v>95</v>
      </c>
      <c r="B86">
        <v>9</v>
      </c>
      <c r="C86">
        <v>0</v>
      </c>
      <c r="D86">
        <v>0</v>
      </c>
      <c r="E86" s="2">
        <v>0</v>
      </c>
      <c r="F86" s="10">
        <v>0</v>
      </c>
      <c r="G86">
        <v>0</v>
      </c>
      <c r="H86" s="5">
        <v>0</v>
      </c>
      <c r="I86" s="10">
        <v>0</v>
      </c>
      <c r="J86" s="6">
        <v>0</v>
      </c>
      <c r="K86" s="15">
        <v>0</v>
      </c>
      <c r="L86" s="18">
        <f>Tabel1[[#This Row],[Conversies]]/Tabel1[[#This Row],[Aantal vacatures]]</f>
        <v>0</v>
      </c>
      <c r="M86" s="6">
        <v>0</v>
      </c>
    </row>
    <row r="87" spans="1:13">
      <c r="A87" s="8" t="s">
        <v>97</v>
      </c>
      <c r="B87">
        <v>3</v>
      </c>
      <c r="C87">
        <v>470</v>
      </c>
      <c r="D87">
        <v>9</v>
      </c>
      <c r="E87" s="2">
        <v>2.1966666666666666E-2</v>
      </c>
      <c r="F87" s="10">
        <v>0</v>
      </c>
      <c r="G87">
        <v>0</v>
      </c>
      <c r="H87" s="5">
        <v>5.051266666666667E-4</v>
      </c>
      <c r="I87" s="10">
        <v>0</v>
      </c>
      <c r="J87" s="6">
        <v>0</v>
      </c>
      <c r="K87" s="15">
        <v>0</v>
      </c>
      <c r="L87" s="18">
        <f>Tabel1[[#This Row],[Conversies]]/Tabel1[[#This Row],[Aantal vacatures]]</f>
        <v>0</v>
      </c>
      <c r="M87" s="6">
        <v>0</v>
      </c>
    </row>
    <row r="88" spans="1:13">
      <c r="A88" s="8" t="s">
        <v>83</v>
      </c>
      <c r="B88">
        <v>14</v>
      </c>
      <c r="C88">
        <v>62</v>
      </c>
      <c r="D88">
        <v>1</v>
      </c>
      <c r="E88" s="2">
        <v>1.15E-3</v>
      </c>
      <c r="F88" s="10">
        <v>0</v>
      </c>
      <c r="G88">
        <v>0</v>
      </c>
      <c r="H88" s="5">
        <v>0</v>
      </c>
      <c r="I88" s="10">
        <v>0</v>
      </c>
      <c r="J88" s="6">
        <v>0</v>
      </c>
      <c r="K88" s="14">
        <v>0</v>
      </c>
      <c r="L88" s="18">
        <f>Tabel1[[#This Row],[Conversies]]/Tabel1[[#This Row],[Aantal vacatures]]</f>
        <v>0</v>
      </c>
      <c r="M88" s="6">
        <v>0</v>
      </c>
    </row>
    <row r="89" spans="1:13">
      <c r="A89" s="8" t="s">
        <v>98</v>
      </c>
      <c r="B89">
        <v>14</v>
      </c>
      <c r="C89">
        <v>1073</v>
      </c>
      <c r="D89">
        <v>22</v>
      </c>
      <c r="E89" s="2">
        <v>1.1978571428571427E-2</v>
      </c>
      <c r="F89" s="10">
        <v>1.5571428571428569</v>
      </c>
      <c r="G89">
        <v>5</v>
      </c>
      <c r="H89" s="5">
        <v>2.4668999999999998E-4</v>
      </c>
      <c r="I89" s="10">
        <v>4.2671428571428569</v>
      </c>
      <c r="J89" s="6">
        <v>88.149999999999991</v>
      </c>
      <c r="K89" s="15">
        <v>0</v>
      </c>
      <c r="L89" s="18">
        <f>Tabel1[[#This Row],[Conversies]]/Tabel1[[#This Row],[Aantal vacatures]]</f>
        <v>0</v>
      </c>
      <c r="M89" s="6">
        <v>0</v>
      </c>
    </row>
    <row r="90" spans="1:13">
      <c r="A90" s="8" t="s">
        <v>99</v>
      </c>
      <c r="B90">
        <v>9</v>
      </c>
      <c r="C90">
        <v>0</v>
      </c>
      <c r="D90">
        <v>0</v>
      </c>
      <c r="E90" s="2">
        <v>0</v>
      </c>
      <c r="F90" s="10">
        <v>0</v>
      </c>
      <c r="G90">
        <v>0</v>
      </c>
      <c r="H90" s="5">
        <v>0</v>
      </c>
      <c r="I90" s="10">
        <v>0</v>
      </c>
      <c r="J90" s="6">
        <v>0</v>
      </c>
      <c r="K90" s="14">
        <v>0</v>
      </c>
      <c r="L90" s="18">
        <f>Tabel1[[#This Row],[Conversies]]/Tabel1[[#This Row],[Aantal vacatures]]</f>
        <v>0</v>
      </c>
      <c r="M90" s="6">
        <v>0</v>
      </c>
    </row>
    <row r="91" spans="1:13">
      <c r="A91" s="8" t="s">
        <v>100</v>
      </c>
      <c r="B91">
        <v>11</v>
      </c>
      <c r="C91">
        <v>0</v>
      </c>
      <c r="D91">
        <v>0</v>
      </c>
      <c r="E91" s="2">
        <v>0</v>
      </c>
      <c r="F91" s="10">
        <v>0</v>
      </c>
      <c r="G91">
        <v>0</v>
      </c>
      <c r="H91" s="5">
        <v>0</v>
      </c>
      <c r="I91" s="10">
        <v>0</v>
      </c>
      <c r="J91" s="6">
        <v>0</v>
      </c>
      <c r="K91" s="15">
        <v>0</v>
      </c>
      <c r="L91" s="18">
        <f>Tabel1[[#This Row],[Conversies]]/Tabel1[[#This Row],[Aantal vacatures]]</f>
        <v>0</v>
      </c>
      <c r="M91" s="6">
        <v>0</v>
      </c>
    </row>
    <row r="92" spans="1:13">
      <c r="A92" s="8" t="s">
        <v>101</v>
      </c>
      <c r="B92">
        <v>15</v>
      </c>
      <c r="C92">
        <v>779</v>
      </c>
      <c r="D92">
        <v>19</v>
      </c>
      <c r="E92" s="2">
        <v>9.573333333333333E-3</v>
      </c>
      <c r="F92" s="10">
        <v>0</v>
      </c>
      <c r="G92">
        <v>1</v>
      </c>
      <c r="H92" s="5">
        <v>1.6859733333333336E-4</v>
      </c>
      <c r="I92" s="10">
        <v>0</v>
      </c>
      <c r="J92" s="6">
        <v>0</v>
      </c>
      <c r="K92" s="14">
        <v>0</v>
      </c>
      <c r="L92" s="18">
        <f>Tabel1[[#This Row],[Conversies]]/Tabel1[[#This Row],[Aantal vacatures]]</f>
        <v>0</v>
      </c>
      <c r="M92" s="6">
        <v>0</v>
      </c>
    </row>
    <row r="93" spans="1:13">
      <c r="A93" s="8" t="s">
        <v>102</v>
      </c>
      <c r="B93">
        <v>14</v>
      </c>
      <c r="C93">
        <v>0</v>
      </c>
      <c r="D93">
        <v>0</v>
      </c>
      <c r="E93" s="2">
        <v>0</v>
      </c>
      <c r="F93" s="10">
        <v>0</v>
      </c>
      <c r="G93">
        <v>0</v>
      </c>
      <c r="H93" s="5">
        <v>0</v>
      </c>
      <c r="I93" s="10">
        <v>0</v>
      </c>
      <c r="J93" s="6">
        <v>0</v>
      </c>
      <c r="K93" s="14">
        <v>0</v>
      </c>
      <c r="L93" s="18">
        <f>Tabel1[[#This Row],[Conversies]]/Tabel1[[#This Row],[Aantal vacatures]]</f>
        <v>0</v>
      </c>
      <c r="M93" s="6">
        <v>0</v>
      </c>
    </row>
    <row r="94" spans="1:13">
      <c r="A94" s="8" t="s">
        <v>103</v>
      </c>
      <c r="B94">
        <v>6</v>
      </c>
      <c r="C94">
        <v>0</v>
      </c>
      <c r="D94">
        <v>0</v>
      </c>
      <c r="E94" s="2">
        <v>0</v>
      </c>
      <c r="F94" s="10">
        <v>0</v>
      </c>
      <c r="G94">
        <v>0</v>
      </c>
      <c r="H94" s="5">
        <v>0</v>
      </c>
      <c r="I94" s="10">
        <v>0</v>
      </c>
      <c r="J94" s="6">
        <v>0</v>
      </c>
      <c r="K94" s="15">
        <v>0</v>
      </c>
      <c r="L94" s="18">
        <f>Tabel1[[#This Row],[Conversies]]/Tabel1[[#This Row],[Aantal vacatures]]</f>
        <v>0</v>
      </c>
      <c r="M94" s="6">
        <v>0</v>
      </c>
    </row>
    <row r="95" spans="1:13">
      <c r="A95" s="8" t="s">
        <v>104</v>
      </c>
      <c r="B95">
        <v>2</v>
      </c>
      <c r="C95">
        <v>0</v>
      </c>
      <c r="D95">
        <v>0</v>
      </c>
      <c r="E95" s="2">
        <v>0</v>
      </c>
      <c r="F95" s="10">
        <v>0</v>
      </c>
      <c r="G95">
        <v>0</v>
      </c>
      <c r="H95" s="5">
        <v>0</v>
      </c>
      <c r="I95" s="10">
        <v>0</v>
      </c>
      <c r="J95" s="6">
        <v>0</v>
      </c>
      <c r="K95" s="14">
        <v>0</v>
      </c>
      <c r="L95" s="18">
        <f>Tabel1[[#This Row],[Conversies]]/Tabel1[[#This Row],[Aantal vacatures]]</f>
        <v>0</v>
      </c>
      <c r="M95" s="6">
        <v>0</v>
      </c>
    </row>
    <row r="96" spans="1:13">
      <c r="A96" s="8" t="s">
        <v>106</v>
      </c>
      <c r="B96">
        <v>12</v>
      </c>
      <c r="C96">
        <v>125</v>
      </c>
      <c r="D96">
        <v>0</v>
      </c>
      <c r="E96" s="2">
        <v>0</v>
      </c>
      <c r="F96" s="10">
        <v>0</v>
      </c>
      <c r="G96">
        <v>0</v>
      </c>
      <c r="H96" s="5">
        <v>8.3333333333333333E-7</v>
      </c>
      <c r="I96" s="10">
        <v>0</v>
      </c>
      <c r="J96" s="6">
        <v>0</v>
      </c>
      <c r="K96" s="15">
        <v>0</v>
      </c>
      <c r="L96" s="18">
        <f>Tabel1[[#This Row],[Conversies]]/Tabel1[[#This Row],[Aantal vacatures]]</f>
        <v>0</v>
      </c>
      <c r="M96" s="6">
        <v>0</v>
      </c>
    </row>
    <row r="97" spans="1:13">
      <c r="A97" s="8" t="s">
        <v>108</v>
      </c>
      <c r="B97">
        <v>10</v>
      </c>
      <c r="C97">
        <v>197</v>
      </c>
      <c r="D97">
        <v>3</v>
      </c>
      <c r="E97" s="2">
        <v>3.1899999999999997E-3</v>
      </c>
      <c r="F97" s="10">
        <v>0</v>
      </c>
      <c r="G97">
        <v>0</v>
      </c>
      <c r="H97" s="5">
        <v>0</v>
      </c>
      <c r="I97" s="10">
        <v>0</v>
      </c>
      <c r="J97" s="6">
        <v>0</v>
      </c>
      <c r="K97" s="15">
        <v>0</v>
      </c>
      <c r="L97" s="18">
        <f>Tabel1[[#This Row],[Conversies]]/Tabel1[[#This Row],[Aantal vacatures]]</f>
        <v>0</v>
      </c>
      <c r="M97" s="6">
        <v>0</v>
      </c>
    </row>
    <row r="98" spans="1:13">
      <c r="A98" s="8" t="s">
        <v>109</v>
      </c>
      <c r="B98">
        <v>5</v>
      </c>
      <c r="C98">
        <v>529</v>
      </c>
      <c r="D98">
        <v>20</v>
      </c>
      <c r="E98" s="2">
        <v>2.8879999999999999E-2</v>
      </c>
      <c r="F98" s="10">
        <v>1.6E-2</v>
      </c>
      <c r="G98">
        <v>1</v>
      </c>
      <c r="H98" s="5">
        <v>1.538E-2</v>
      </c>
      <c r="I98" s="10">
        <v>0.21000000000000002</v>
      </c>
      <c r="J98" s="6">
        <v>1.05</v>
      </c>
      <c r="K98" s="14">
        <v>0</v>
      </c>
      <c r="L98" s="18">
        <f>Tabel1[[#This Row],[Conversies]]/Tabel1[[#This Row],[Aantal vacatures]]</f>
        <v>0</v>
      </c>
      <c r="M98" s="6">
        <v>0</v>
      </c>
    </row>
    <row r="99" spans="1:13">
      <c r="A99" s="8" t="s">
        <v>110</v>
      </c>
      <c r="B99">
        <v>2</v>
      </c>
      <c r="C99">
        <v>0</v>
      </c>
      <c r="D99">
        <v>0</v>
      </c>
      <c r="E99" s="2">
        <v>0</v>
      </c>
      <c r="F99" s="10">
        <v>0</v>
      </c>
      <c r="G99">
        <v>0</v>
      </c>
      <c r="H99" s="5">
        <v>0</v>
      </c>
      <c r="I99" s="10">
        <v>0</v>
      </c>
      <c r="J99" s="6">
        <v>0</v>
      </c>
      <c r="K99" s="15">
        <v>0</v>
      </c>
      <c r="L99" s="18">
        <f>Tabel1[[#This Row],[Conversies]]/Tabel1[[#This Row],[Aantal vacatures]]</f>
        <v>0</v>
      </c>
      <c r="M99" s="6">
        <v>0</v>
      </c>
    </row>
    <row r="100" spans="1:13">
      <c r="A100" s="8" t="s">
        <v>132</v>
      </c>
      <c r="E100"/>
      <c r="F100"/>
      <c r="H100"/>
      <c r="I100"/>
      <c r="J100" s="6">
        <f>SUBTOTAL(109,Tabel1[Total Cost])</f>
        <v>1615.3300000000004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6F67-EDA6-4073-A42A-F176BDC5CCCA}">
  <dimension ref="A1:C90"/>
  <sheetViews>
    <sheetView zoomScaleNormal="100" workbookViewId="0">
      <selection activeCell="B90" sqref="B2:B90"/>
    </sheetView>
  </sheetViews>
  <sheetFormatPr defaultRowHeight="15.6"/>
  <cols>
    <col min="1" max="1" width="41" bestFit="1" customWidth="1"/>
    <col min="2" max="2" width="46" style="17" bestFit="1" customWidth="1"/>
    <col min="3" max="3" width="46" customWidth="1"/>
  </cols>
  <sheetData>
    <row r="1" spans="1:3">
      <c r="B1" s="16" t="s">
        <v>133</v>
      </c>
      <c r="C1" s="1" t="s">
        <v>134</v>
      </c>
    </row>
    <row r="2" spans="1:3">
      <c r="A2" t="s">
        <v>135</v>
      </c>
      <c r="B2" s="14">
        <v>1</v>
      </c>
    </row>
    <row r="3" spans="1:3">
      <c r="A3" t="s">
        <v>14</v>
      </c>
      <c r="B3" s="14">
        <v>0</v>
      </c>
    </row>
    <row r="4" spans="1:3">
      <c r="A4" t="s">
        <v>136</v>
      </c>
      <c r="B4" s="14">
        <v>0</v>
      </c>
    </row>
    <row r="5" spans="1:3">
      <c r="A5" t="s">
        <v>15</v>
      </c>
      <c r="B5" s="15">
        <v>0</v>
      </c>
    </row>
    <row r="6" spans="1:3">
      <c r="A6" t="s">
        <v>16</v>
      </c>
      <c r="B6" s="14">
        <v>5</v>
      </c>
    </row>
    <row r="7" spans="1:3">
      <c r="A7" t="s">
        <v>17</v>
      </c>
      <c r="B7" s="15">
        <v>2</v>
      </c>
    </row>
    <row r="8" spans="1:3">
      <c r="A8" t="s">
        <v>137</v>
      </c>
      <c r="B8" s="15">
        <v>0</v>
      </c>
    </row>
    <row r="9" spans="1:3">
      <c r="A9" t="s">
        <v>13</v>
      </c>
      <c r="B9" s="14">
        <v>4</v>
      </c>
    </row>
    <row r="10" spans="1:3">
      <c r="A10" t="s">
        <v>138</v>
      </c>
      <c r="B10" s="15">
        <v>0</v>
      </c>
    </row>
    <row r="11" spans="1:3">
      <c r="A11" t="s">
        <v>47</v>
      </c>
      <c r="B11" s="15">
        <v>2</v>
      </c>
    </row>
    <row r="12" spans="1:3">
      <c r="A12" t="s">
        <v>19</v>
      </c>
      <c r="B12" s="14">
        <v>0</v>
      </c>
    </row>
    <row r="13" spans="1:3">
      <c r="A13" t="s">
        <v>20</v>
      </c>
      <c r="B13" s="15">
        <v>6</v>
      </c>
    </row>
    <row r="14" spans="1:3">
      <c r="A14" t="s">
        <v>21</v>
      </c>
      <c r="B14" s="14">
        <v>1</v>
      </c>
    </row>
    <row r="15" spans="1:3">
      <c r="A15" t="s">
        <v>22</v>
      </c>
      <c r="B15" s="15">
        <v>1</v>
      </c>
    </row>
    <row r="16" spans="1:3">
      <c r="A16" t="s">
        <v>23</v>
      </c>
      <c r="B16" s="14">
        <v>0</v>
      </c>
    </row>
    <row r="17" spans="1:2">
      <c r="A17" t="s">
        <v>24</v>
      </c>
      <c r="B17" s="15">
        <v>0</v>
      </c>
    </row>
    <row r="18" spans="1:2">
      <c r="A18" t="s">
        <v>25</v>
      </c>
      <c r="B18" s="14">
        <v>0</v>
      </c>
    </row>
    <row r="19" spans="1:2">
      <c r="A19" t="s">
        <v>26</v>
      </c>
      <c r="B19" s="15">
        <v>14</v>
      </c>
    </row>
    <row r="20" spans="1:2">
      <c r="A20" t="s">
        <v>27</v>
      </c>
      <c r="B20" s="14">
        <v>3</v>
      </c>
    </row>
    <row r="21" spans="1:2">
      <c r="A21" t="s">
        <v>28</v>
      </c>
      <c r="B21" s="15">
        <v>5</v>
      </c>
    </row>
    <row r="22" spans="1:2">
      <c r="A22" t="s">
        <v>29</v>
      </c>
      <c r="B22" s="14">
        <v>5</v>
      </c>
    </row>
    <row r="23" spans="1:2">
      <c r="A23" t="s">
        <v>30</v>
      </c>
      <c r="B23" s="15">
        <v>0</v>
      </c>
    </row>
    <row r="24" spans="1:2">
      <c r="A24" t="s">
        <v>31</v>
      </c>
      <c r="B24" s="14">
        <v>1</v>
      </c>
    </row>
    <row r="25" spans="1:2">
      <c r="A25" t="s">
        <v>32</v>
      </c>
      <c r="B25" s="15">
        <v>2</v>
      </c>
    </row>
    <row r="26" spans="1:2">
      <c r="A26" t="s">
        <v>33</v>
      </c>
      <c r="B26" s="14">
        <v>0</v>
      </c>
    </row>
    <row r="27" spans="1:2">
      <c r="A27" t="s">
        <v>139</v>
      </c>
      <c r="B27" s="15">
        <v>1</v>
      </c>
    </row>
    <row r="28" spans="1:2">
      <c r="A28" t="s">
        <v>35</v>
      </c>
      <c r="B28" s="14">
        <v>10</v>
      </c>
    </row>
    <row r="29" spans="1:2">
      <c r="A29" t="s">
        <v>140</v>
      </c>
      <c r="B29" s="15">
        <v>0</v>
      </c>
    </row>
    <row r="30" spans="1:2">
      <c r="A30" t="s">
        <v>141</v>
      </c>
      <c r="B30" s="15">
        <v>0</v>
      </c>
    </row>
    <row r="31" spans="1:2">
      <c r="A31" t="s">
        <v>142</v>
      </c>
      <c r="B31" s="14">
        <v>0</v>
      </c>
    </row>
    <row r="32" spans="1:2">
      <c r="A32" t="s">
        <v>42</v>
      </c>
      <c r="B32" s="15">
        <v>1</v>
      </c>
    </row>
    <row r="33" spans="1:2">
      <c r="A33" t="s">
        <v>44</v>
      </c>
      <c r="B33" s="15">
        <v>0</v>
      </c>
    </row>
    <row r="34" spans="1:2">
      <c r="A34" t="s">
        <v>45</v>
      </c>
      <c r="B34" s="14">
        <v>1</v>
      </c>
    </row>
    <row r="35" spans="1:2">
      <c r="A35" t="s">
        <v>46</v>
      </c>
      <c r="B35" s="15">
        <v>0</v>
      </c>
    </row>
    <row r="36" spans="1:2">
      <c r="A36" t="s">
        <v>143</v>
      </c>
      <c r="B36" s="15">
        <v>1</v>
      </c>
    </row>
    <row r="37" spans="1:2">
      <c r="A37" t="s">
        <v>48</v>
      </c>
      <c r="B37" s="14">
        <v>3</v>
      </c>
    </row>
    <row r="38" spans="1:2">
      <c r="A38" t="s">
        <v>144</v>
      </c>
      <c r="B38" s="15">
        <v>1</v>
      </c>
    </row>
    <row r="39" spans="1:2">
      <c r="A39" t="s">
        <v>50</v>
      </c>
      <c r="B39" s="14">
        <v>0</v>
      </c>
    </row>
    <row r="40" spans="1:2">
      <c r="A40" t="s">
        <v>53</v>
      </c>
      <c r="B40" s="14">
        <v>0</v>
      </c>
    </row>
    <row r="41" spans="1:2">
      <c r="A41" t="s">
        <v>54</v>
      </c>
      <c r="B41" s="15">
        <v>1</v>
      </c>
    </row>
    <row r="42" spans="1:2">
      <c r="A42" t="s">
        <v>55</v>
      </c>
      <c r="B42" s="14">
        <v>0</v>
      </c>
    </row>
    <row r="43" spans="1:2">
      <c r="A43" t="s">
        <v>56</v>
      </c>
      <c r="B43" s="15">
        <v>0</v>
      </c>
    </row>
    <row r="44" spans="1:2">
      <c r="A44" t="s">
        <v>12</v>
      </c>
      <c r="B44" s="14">
        <v>2</v>
      </c>
    </row>
    <row r="45" spans="1:2">
      <c r="A45" t="s">
        <v>57</v>
      </c>
      <c r="B45" s="15">
        <v>2</v>
      </c>
    </row>
    <row r="46" spans="1:2">
      <c r="A46" t="s">
        <v>59</v>
      </c>
      <c r="B46" s="15">
        <v>0</v>
      </c>
    </row>
    <row r="47" spans="1:2">
      <c r="A47" t="s">
        <v>60</v>
      </c>
      <c r="B47" s="14">
        <v>0</v>
      </c>
    </row>
    <row r="48" spans="1:2">
      <c r="A48" t="s">
        <v>145</v>
      </c>
      <c r="B48" s="15">
        <v>0</v>
      </c>
    </row>
    <row r="49" spans="1:2">
      <c r="A49" t="s">
        <v>64</v>
      </c>
      <c r="B49" s="14">
        <v>0</v>
      </c>
    </row>
    <row r="50" spans="1:2">
      <c r="A50" t="s">
        <v>65</v>
      </c>
      <c r="B50" s="15">
        <v>4</v>
      </c>
    </row>
    <row r="51" spans="1:2">
      <c r="A51" t="s">
        <v>146</v>
      </c>
      <c r="B51" s="14">
        <v>0</v>
      </c>
    </row>
    <row r="52" spans="1:2">
      <c r="A52" t="s">
        <v>66</v>
      </c>
      <c r="B52" s="14">
        <v>0</v>
      </c>
    </row>
    <row r="53" spans="1:2">
      <c r="A53" t="s">
        <v>67</v>
      </c>
      <c r="B53" s="15">
        <v>0</v>
      </c>
    </row>
    <row r="54" spans="1:2">
      <c r="A54" t="s">
        <v>68</v>
      </c>
      <c r="B54" s="14">
        <v>1</v>
      </c>
    </row>
    <row r="55" spans="1:2">
      <c r="A55" t="s">
        <v>69</v>
      </c>
      <c r="B55" s="15">
        <v>2</v>
      </c>
    </row>
    <row r="56" spans="1:2">
      <c r="A56" t="s">
        <v>70</v>
      </c>
      <c r="B56" s="14">
        <v>13</v>
      </c>
    </row>
    <row r="57" spans="1:2">
      <c r="A57" t="s">
        <v>71</v>
      </c>
      <c r="B57" s="15">
        <v>0</v>
      </c>
    </row>
    <row r="58" spans="1:2">
      <c r="A58" t="s">
        <v>72</v>
      </c>
      <c r="B58" s="14">
        <v>0</v>
      </c>
    </row>
    <row r="59" spans="1:2">
      <c r="A59" t="s">
        <v>147</v>
      </c>
      <c r="B59" s="14">
        <v>1</v>
      </c>
    </row>
    <row r="60" spans="1:2">
      <c r="A60" t="s">
        <v>79</v>
      </c>
      <c r="B60" s="14">
        <v>0</v>
      </c>
    </row>
    <row r="61" spans="1:2">
      <c r="A61" t="s">
        <v>148</v>
      </c>
      <c r="B61" s="14">
        <v>0</v>
      </c>
    </row>
    <row r="62" spans="1:2">
      <c r="A62" t="s">
        <v>149</v>
      </c>
      <c r="B62" s="14">
        <v>0</v>
      </c>
    </row>
    <row r="63" spans="1:2">
      <c r="A63" t="s">
        <v>150</v>
      </c>
      <c r="B63" s="15">
        <v>0</v>
      </c>
    </row>
    <row r="64" spans="1:2">
      <c r="A64" t="s">
        <v>88</v>
      </c>
      <c r="B64" s="15">
        <v>0</v>
      </c>
    </row>
    <row r="65" spans="1:2">
      <c r="A65" t="s">
        <v>89</v>
      </c>
      <c r="B65" s="14">
        <v>0</v>
      </c>
    </row>
    <row r="66" spans="1:2">
      <c r="A66" t="s">
        <v>90</v>
      </c>
      <c r="B66" s="15">
        <v>0</v>
      </c>
    </row>
    <row r="67" spans="1:2">
      <c r="A67" t="s">
        <v>91</v>
      </c>
      <c r="B67" s="14">
        <v>0</v>
      </c>
    </row>
    <row r="68" spans="1:2">
      <c r="A68" t="s">
        <v>92</v>
      </c>
      <c r="B68" s="15">
        <v>0</v>
      </c>
    </row>
    <row r="69" spans="1:2">
      <c r="A69" t="s">
        <v>151</v>
      </c>
      <c r="B69" s="15">
        <v>0</v>
      </c>
    </row>
    <row r="70" spans="1:2">
      <c r="A70" t="s">
        <v>82</v>
      </c>
      <c r="B70" s="14">
        <v>3</v>
      </c>
    </row>
    <row r="71" spans="1:2">
      <c r="A71" t="s">
        <v>152</v>
      </c>
      <c r="B71" s="14">
        <v>0</v>
      </c>
    </row>
    <row r="72" spans="1:2">
      <c r="A72" t="s">
        <v>93</v>
      </c>
      <c r="B72" s="15">
        <v>1</v>
      </c>
    </row>
    <row r="73" spans="1:2">
      <c r="A73" t="s">
        <v>94</v>
      </c>
      <c r="B73" s="14">
        <v>0</v>
      </c>
    </row>
    <row r="74" spans="1:2">
      <c r="A74" t="s">
        <v>95</v>
      </c>
      <c r="B74" s="15">
        <v>0</v>
      </c>
    </row>
    <row r="75" spans="1:2">
      <c r="A75" t="s">
        <v>96</v>
      </c>
      <c r="B75" s="14">
        <v>1</v>
      </c>
    </row>
    <row r="76" spans="1:2">
      <c r="A76" t="s">
        <v>153</v>
      </c>
      <c r="B76" s="15">
        <v>0</v>
      </c>
    </row>
    <row r="77" spans="1:2">
      <c r="A77" t="s">
        <v>83</v>
      </c>
      <c r="B77" s="14">
        <v>0</v>
      </c>
    </row>
    <row r="78" spans="1:2">
      <c r="A78" t="s">
        <v>98</v>
      </c>
      <c r="B78" s="15">
        <v>0</v>
      </c>
    </row>
    <row r="79" spans="1:2">
      <c r="A79" t="s">
        <v>99</v>
      </c>
      <c r="B79" s="14">
        <v>0</v>
      </c>
    </row>
    <row r="80" spans="1:2">
      <c r="A80" t="s">
        <v>100</v>
      </c>
      <c r="B80" s="15">
        <v>0</v>
      </c>
    </row>
    <row r="81" spans="1:2">
      <c r="A81" t="s">
        <v>63</v>
      </c>
      <c r="B81" s="15">
        <v>2</v>
      </c>
    </row>
    <row r="82" spans="1:2">
      <c r="A82" t="s">
        <v>102</v>
      </c>
      <c r="B82" s="14">
        <v>0</v>
      </c>
    </row>
    <row r="83" spans="1:2">
      <c r="A83" t="s">
        <v>103</v>
      </c>
      <c r="B83" s="15">
        <v>0</v>
      </c>
    </row>
    <row r="84" spans="1:2">
      <c r="A84" t="s">
        <v>104</v>
      </c>
      <c r="B84" s="14">
        <v>0</v>
      </c>
    </row>
    <row r="85" spans="1:2">
      <c r="A85" t="s">
        <v>106</v>
      </c>
      <c r="B85" s="15">
        <v>0</v>
      </c>
    </row>
    <row r="86" spans="1:2">
      <c r="A86" t="s">
        <v>154</v>
      </c>
      <c r="B86" s="14">
        <v>1</v>
      </c>
    </row>
    <row r="87" spans="1:2">
      <c r="A87" t="s">
        <v>155</v>
      </c>
      <c r="B87" s="15">
        <v>0</v>
      </c>
    </row>
    <row r="88" spans="1:2">
      <c r="A88" t="s">
        <v>109</v>
      </c>
      <c r="B88" s="14">
        <v>0</v>
      </c>
    </row>
    <row r="89" spans="1:2">
      <c r="A89" t="s">
        <v>110</v>
      </c>
      <c r="B89" s="15">
        <v>1</v>
      </c>
    </row>
    <row r="90" spans="1:2">
      <c r="A90" t="s">
        <v>156</v>
      </c>
      <c r="B90" s="14">
        <v>0</v>
      </c>
    </row>
  </sheetData>
  <autoFilter ref="B1:C90" xr:uid="{59686F67-EDA6-4073-A42A-F176BDC5CCCA}">
    <sortState xmlns:xlrd2="http://schemas.microsoft.com/office/spreadsheetml/2017/richdata2" ref="B2:C90">
      <sortCondition ref="B1:B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Export</dc:title>
  <dc:subject>Report</dc:subject>
  <dc:creator>Indeed</dc:creator>
  <cp:keywords/>
  <dc:description/>
  <cp:lastModifiedBy/>
  <cp:revision/>
  <dcterms:created xsi:type="dcterms:W3CDTF">2025-08-20T14:03:58Z</dcterms:created>
  <dcterms:modified xsi:type="dcterms:W3CDTF">2025-09-23T13:27:38Z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ed012e-e63d-4578-8bfa-6a2654bbf459_Enabled">
    <vt:lpwstr>true</vt:lpwstr>
  </property>
  <property fmtid="{D5CDD505-2E9C-101B-9397-08002B2CF9AE}" pid="3" name="MSIP_Label_b0ed012e-e63d-4578-8bfa-6a2654bbf459_SetDate">
    <vt:lpwstr>2025-08-20T15:08:39Z</vt:lpwstr>
  </property>
  <property fmtid="{D5CDD505-2E9C-101B-9397-08002B2CF9AE}" pid="4" name="MSIP_Label_b0ed012e-e63d-4578-8bfa-6a2654bbf459_Method">
    <vt:lpwstr>Standard</vt:lpwstr>
  </property>
  <property fmtid="{D5CDD505-2E9C-101B-9397-08002B2CF9AE}" pid="5" name="MSIP_Label_b0ed012e-e63d-4578-8bfa-6a2654bbf459_Name">
    <vt:lpwstr>General</vt:lpwstr>
  </property>
  <property fmtid="{D5CDD505-2E9C-101B-9397-08002B2CF9AE}" pid="6" name="MSIP_Label_b0ed012e-e63d-4578-8bfa-6a2654bbf459_SiteId">
    <vt:lpwstr>3681f279-453b-44f0-8026-720f4cb38bda</vt:lpwstr>
  </property>
  <property fmtid="{D5CDD505-2E9C-101B-9397-08002B2CF9AE}" pid="7" name="MSIP_Label_b0ed012e-e63d-4578-8bfa-6a2654bbf459_ActionId">
    <vt:lpwstr>717db3f8-f15e-445e-8182-dcc05c81018f</vt:lpwstr>
  </property>
  <property fmtid="{D5CDD505-2E9C-101B-9397-08002B2CF9AE}" pid="8" name="MSIP_Label_b0ed012e-e63d-4578-8bfa-6a2654bbf459_ContentBits">
    <vt:lpwstr>0</vt:lpwstr>
  </property>
  <property fmtid="{D5CDD505-2E9C-101B-9397-08002B2CF9AE}" pid="9" name="MSIP_Label_b0ed012e-e63d-4578-8bfa-6a2654bbf459_Tag">
    <vt:lpwstr>10, 3, 0, 1</vt:lpwstr>
  </property>
</Properties>
</file>