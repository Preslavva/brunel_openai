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runelcorporate-my.sharepoint.com/personal/friso_visser_brunel_net/Documents/"/>
    </mc:Choice>
  </mc:AlternateContent>
  <xr:revisionPtr revIDLastSave="0" documentId="8_{E65A55A8-4EF2-488D-B740-118D30DDC6FA}" xr6:coauthVersionLast="47" xr6:coauthVersionMax="47" xr10:uidLastSave="{00000000-0000-0000-0000-000000000000}"/>
  <bookViews>
    <workbookView xWindow="-12585" yWindow="-16320" windowWidth="29040" windowHeight="15720" xr2:uid="{00000000-000D-0000-FFFF-FFFF00000000}"/>
  </bookViews>
  <sheets>
    <sheet name="Rapportage" sheetId="4" r:id="rId1"/>
    <sheet name="Exported Data" sheetId="1" r:id="rId2"/>
    <sheet name="Draaitabel" sheetId="2" r:id="rId3"/>
    <sheet name="Jobs" sheetId="3" r:id="rId4"/>
  </sheets>
  <definedNames>
    <definedName name="_xlnm._FilterDatabase" localSheetId="1" hidden="1">'Exported Data'!$A$1:$J$450</definedName>
    <definedName name="_xlnm._FilterDatabase" localSheetId="0" hidden="1">Rapportage!$B$1:$M$1</definedName>
  </definedNames>
  <calcPr calcId="191028"/>
  <pivotCaches>
    <pivotCache cacheId="672" r:id="rId5"/>
    <pivotCache cacheId="67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4" l="1"/>
  <c r="F108" i="4"/>
  <c r="D108" i="4" l="1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42" i="4"/>
  <c r="N39" i="4"/>
  <c r="N41" i="4"/>
  <c r="N44" i="4"/>
  <c r="N40" i="4"/>
  <c r="N32" i="4"/>
  <c r="N37" i="4"/>
  <c r="N31" i="4"/>
  <c r="N38" i="4"/>
  <c r="N51" i="4"/>
  <c r="N27" i="4"/>
  <c r="N47" i="4"/>
  <c r="N30" i="4"/>
  <c r="N29" i="4"/>
  <c r="N35" i="4"/>
  <c r="N43" i="4"/>
  <c r="N52" i="4"/>
  <c r="N28" i="4"/>
  <c r="N36" i="4"/>
  <c r="N55" i="4"/>
  <c r="N25" i="4"/>
  <c r="N23" i="4"/>
  <c r="N21" i="4"/>
  <c r="N20" i="4"/>
  <c r="N46" i="4"/>
  <c r="N45" i="4"/>
  <c r="N19" i="4"/>
  <c r="N18" i="4"/>
  <c r="N33" i="4"/>
  <c r="N48" i="4"/>
  <c r="N17" i="4"/>
  <c r="N16" i="4"/>
  <c r="N15" i="4"/>
  <c r="N14" i="4"/>
  <c r="N13" i="4"/>
  <c r="N12" i="4"/>
  <c r="N11" i="4"/>
  <c r="N10" i="4"/>
  <c r="N9" i="4"/>
  <c r="N26" i="4"/>
  <c r="N8" i="4"/>
  <c r="N7" i="4"/>
  <c r="N6" i="4"/>
  <c r="N24" i="4"/>
  <c r="N34" i="4"/>
  <c r="N54" i="4"/>
  <c r="N5" i="4"/>
  <c r="N50" i="4"/>
  <c r="N4" i="4"/>
  <c r="N3" i="4"/>
  <c r="N53" i="4"/>
  <c r="N2" i="4"/>
  <c r="N22" i="4"/>
  <c r="N49" i="4"/>
  <c r="K108" i="4"/>
  <c r="J108" i="4"/>
  <c r="I108" i="4"/>
  <c r="H108" i="4"/>
  <c r="E108" i="4"/>
  <c r="C108" i="4"/>
  <c r="B108" i="4"/>
  <c r="M41" i="4"/>
  <c r="M7" i="4"/>
  <c r="M10" i="4"/>
  <c r="M28" i="4"/>
  <c r="M20" i="4"/>
  <c r="M16" i="4"/>
  <c r="M30" i="4"/>
  <c r="M32" i="4"/>
  <c r="M21" i="4"/>
  <c r="M55" i="4"/>
  <c r="M9" i="4"/>
  <c r="M13" i="4"/>
  <c r="M14" i="4"/>
  <c r="M17" i="4"/>
  <c r="M22" i="4"/>
  <c r="M26" i="4"/>
  <c r="M5" i="4"/>
  <c r="M53" i="4"/>
  <c r="M50" i="4"/>
  <c r="M27" i="4"/>
  <c r="M42" i="4"/>
  <c r="M47" i="4"/>
  <c r="M38" i="4"/>
  <c r="M2" i="4"/>
  <c r="M45" i="4"/>
  <c r="M15" i="4"/>
  <c r="M25" i="4"/>
  <c r="M24" i="4"/>
  <c r="M8" i="4"/>
  <c r="M39" i="4"/>
  <c r="M31" i="4"/>
  <c r="M54" i="4"/>
  <c r="M33" i="4"/>
  <c r="M37" i="4"/>
  <c r="M11" i="4"/>
  <c r="M34" i="4"/>
  <c r="M43" i="4"/>
  <c r="M35" i="4"/>
  <c r="M36" i="4"/>
  <c r="M18" i="4"/>
  <c r="M51" i="4"/>
  <c r="M19" i="4"/>
  <c r="M3" i="4"/>
  <c r="M4" i="4"/>
  <c r="M46" i="4"/>
  <c r="M48" i="4"/>
  <c r="M49" i="4"/>
  <c r="M12" i="4"/>
  <c r="M29" i="4"/>
  <c r="M52" i="4"/>
  <c r="M23" i="4"/>
  <c r="M44" i="4"/>
  <c r="M6" i="4"/>
  <c r="M40" i="4"/>
  <c r="L11" i="4"/>
  <c r="L75" i="4"/>
  <c r="L23" i="4"/>
  <c r="L78" i="4"/>
  <c r="L58" i="4"/>
  <c r="L79" i="4"/>
  <c r="L16" i="4"/>
  <c r="L24" i="4"/>
  <c r="L21" i="4"/>
  <c r="L80" i="4"/>
  <c r="L62" i="4"/>
  <c r="L81" i="4"/>
  <c r="L6" i="4"/>
  <c r="L82" i="4"/>
  <c r="L25" i="4"/>
  <c r="L55" i="4"/>
  <c r="L36" i="4"/>
  <c r="L53" i="4"/>
  <c r="L83" i="4"/>
  <c r="L46" i="4"/>
  <c r="L70" i="4"/>
  <c r="L4" i="4"/>
  <c r="L65" i="4"/>
  <c r="L84" i="4"/>
  <c r="L28" i="4"/>
  <c r="L49" i="4"/>
  <c r="L52" i="4"/>
  <c r="L74" i="4"/>
  <c r="L59" i="4"/>
  <c r="L43" i="4"/>
  <c r="L85" i="4"/>
  <c r="L20" i="4"/>
  <c r="L2" i="4"/>
  <c r="L60" i="4"/>
  <c r="L72" i="4"/>
  <c r="L12" i="4"/>
  <c r="L66" i="4"/>
  <c r="L19" i="4"/>
  <c r="L22" i="4"/>
  <c r="L35" i="4"/>
  <c r="L29" i="4"/>
  <c r="L54" i="4"/>
  <c r="L73" i="4"/>
  <c r="L71" i="4"/>
  <c r="L13" i="4"/>
  <c r="L86" i="4"/>
  <c r="L87" i="4"/>
  <c r="L30" i="4"/>
  <c r="L7" i="4"/>
  <c r="L17" i="4"/>
  <c r="L47" i="4"/>
  <c r="L48" i="4"/>
  <c r="L88" i="4"/>
  <c r="L57" i="4"/>
  <c r="L89" i="4"/>
  <c r="L3" i="4"/>
  <c r="L67" i="4"/>
  <c r="L90" i="4"/>
  <c r="L91" i="4"/>
  <c r="L92" i="4"/>
  <c r="L93" i="4"/>
  <c r="L94" i="4"/>
  <c r="L45" i="4"/>
  <c r="L76" i="4"/>
  <c r="L18" i="4"/>
  <c r="L27" i="4"/>
  <c r="L51" i="4"/>
  <c r="L34" i="4"/>
  <c r="L8" i="4"/>
  <c r="L26" i="4"/>
  <c r="L38" i="4"/>
  <c r="L63" i="4"/>
  <c r="L68" i="4"/>
  <c r="L95" i="4"/>
  <c r="L96" i="4"/>
  <c r="L50" i="4"/>
  <c r="L69" i="4"/>
  <c r="L97" i="4"/>
  <c r="L31" i="4"/>
  <c r="L37" i="4"/>
  <c r="L98" i="4"/>
  <c r="L99" i="4"/>
  <c r="L100" i="4"/>
  <c r="L101" i="4"/>
  <c r="L14" i="4"/>
  <c r="L77" i="4"/>
  <c r="L33" i="4"/>
  <c r="L32" i="4"/>
  <c r="L102" i="4"/>
  <c r="L103" i="4"/>
  <c r="L15" i="4"/>
  <c r="L5" i="4"/>
  <c r="L40" i="4"/>
  <c r="L44" i="4"/>
  <c r="L104" i="4"/>
  <c r="L41" i="4"/>
  <c r="L61" i="4"/>
  <c r="L39" i="4"/>
  <c r="L105" i="4"/>
  <c r="L56" i="4"/>
  <c r="L9" i="4"/>
  <c r="L106" i="4"/>
  <c r="L10" i="4"/>
  <c r="L42" i="4"/>
  <c r="L107" i="4"/>
  <c r="L64" i="4"/>
  <c r="N108" i="4" l="1"/>
  <c r="L108" i="4"/>
  <c r="M108" i="4"/>
</calcChain>
</file>

<file path=xl/sharedStrings.xml><?xml version="1.0" encoding="utf-8"?>
<sst xmlns="http://schemas.openxmlformats.org/spreadsheetml/2006/main" count="1255" uniqueCount="164">
  <si>
    <t>Vacature</t>
  </si>
  <si>
    <t>Aantal vacatures</t>
  </si>
  <si>
    <t>Som van impressies ()</t>
  </si>
  <si>
    <t>Som van Clicks ()</t>
  </si>
  <si>
    <t>Gemiddelde van Cost-per-click</t>
  </si>
  <si>
    <t>Gemiddelde van CTR</t>
  </si>
  <si>
    <t>Som van Gestarte sol.</t>
  </si>
  <si>
    <t>Gemiddelde  € per start sol.</t>
  </si>
  <si>
    <t>Gemiddelde van % Gestarte sol.</t>
  </si>
  <si>
    <t>Som van Kosten (Totaal )</t>
  </si>
  <si>
    <t>Conversies</t>
  </si>
  <si>
    <t>Conversie per vacature</t>
  </si>
  <si>
    <t>CPA vacatures met soll.</t>
  </si>
  <si>
    <t>CPA Totaal</t>
  </si>
  <si>
    <t>Administratief Medewerker Amersfoort</t>
  </si>
  <si>
    <t>Assistent Beleggen</t>
  </si>
  <si>
    <t>Bijzonder Beheer Specialist Amsterdam</t>
  </si>
  <si>
    <t>Credit Risk Analist</t>
  </si>
  <si>
    <t>Financieel Accountant</t>
  </si>
  <si>
    <t>Financieel Data Analist</t>
  </si>
  <si>
    <t>FP&amp;A Controller</t>
  </si>
  <si>
    <t>Junior AML-Analist</t>
  </si>
  <si>
    <t>Junior Business Controller</t>
  </si>
  <si>
    <t>Junior CDD Analist</t>
  </si>
  <si>
    <t>Junior FEC Analist</t>
  </si>
  <si>
    <t>Junior Financial Accountant</t>
  </si>
  <si>
    <t>Junior Financial Controller</t>
  </si>
  <si>
    <t>Junior Financieel Adviseur Planning &amp; Control</t>
  </si>
  <si>
    <t>Junior Hypotheekacceptant</t>
  </si>
  <si>
    <t>Junior Project Controller</t>
  </si>
  <si>
    <t>Junior Subsidieadviseur</t>
  </si>
  <si>
    <t>Junior TM Analist</t>
  </si>
  <si>
    <t>KYC/CDD Analist Amsterdam</t>
  </si>
  <si>
    <t>Medewerker Betaalachterstanden</t>
  </si>
  <si>
    <t>Acceptant Woninghypotheken</t>
  </si>
  <si>
    <t>Medewerker binnenlandse bankgarantie</t>
  </si>
  <si>
    <t>Financial Risk Manager</t>
  </si>
  <si>
    <t>Medior Business Controller</t>
  </si>
  <si>
    <t>Hypotheekacceptant</t>
  </si>
  <si>
    <t>Senior Business Controller</t>
  </si>
  <si>
    <t>Medior KYC/CDD Analist</t>
  </si>
  <si>
    <t>Medior/Senior CDD Analist</t>
  </si>
  <si>
    <t>Procesmanager</t>
  </si>
  <si>
    <t>Senior KYC/CDD Analist</t>
  </si>
  <si>
    <t>Specialist Financiële Administratie Overheid</t>
  </si>
  <si>
    <t>Junior Specialist Klantonboarding</t>
  </si>
  <si>
    <t>Financial Controller</t>
  </si>
  <si>
    <t>Medior Subsidiebeoordelaar</t>
  </si>
  <si>
    <t>Medior Financial Accountant</t>
  </si>
  <si>
    <t>Senior Project Controller</t>
  </si>
  <si>
    <t>Senior Financial Accountant</t>
  </si>
  <si>
    <t>Trainee Finance &amp; Control</t>
  </si>
  <si>
    <t>Specialist Schuldhulp</t>
  </si>
  <si>
    <t>Subsidiemedewerker</t>
  </si>
  <si>
    <t>Transactie Monitoring Analist</t>
  </si>
  <si>
    <t>Medior Schadebehandelaar</t>
  </si>
  <si>
    <t>Specialist Sparen &amp; Beleggen</t>
  </si>
  <si>
    <t>Jurist Letselschade Achmea</t>
  </si>
  <si>
    <t>Krediet Acceptant</t>
  </si>
  <si>
    <t>Productmanager Wonen</t>
  </si>
  <si>
    <t>Junior Schadebehandelaar</t>
  </si>
  <si>
    <t>Acceptant Duurzaamheidskredieten</t>
  </si>
  <si>
    <t>CDD Analist</t>
  </si>
  <si>
    <t>Senior CDD Analist</t>
  </si>
  <si>
    <t>Medior Project Controller</t>
  </si>
  <si>
    <t>Adviseur Subsidies</t>
  </si>
  <si>
    <t>Finance Talent Program</t>
  </si>
  <si>
    <t>Medior CDD Analist</t>
  </si>
  <si>
    <t>Acceptant Verzekeringen</t>
  </si>
  <si>
    <t>Acquisitieregisseur</t>
  </si>
  <si>
    <t>Beoordelaar Subsidies</t>
  </si>
  <si>
    <t>Business Support Vermogen</t>
  </si>
  <si>
    <t>Claimbehandelaar AOV</t>
  </si>
  <si>
    <t>Commercieel Specialist Beleggen</t>
  </si>
  <si>
    <t>Compliance Adviseur</t>
  </si>
  <si>
    <t>Conversiespecialist</t>
  </si>
  <si>
    <t>FEC Transaction Monitoring Analist Medior</t>
  </si>
  <si>
    <t>Financieel Adviseur VKB</t>
  </si>
  <si>
    <t>Financieel Coach</t>
  </si>
  <si>
    <t>Financieel Medewerker Amersfoort</t>
  </si>
  <si>
    <t>Hypotheekadviseur</t>
  </si>
  <si>
    <t>Junior Adviseur Subsidies</t>
  </si>
  <si>
    <t>Junior Hypotheekspecialist</t>
  </si>
  <si>
    <t>Junior Processpecialist</t>
  </si>
  <si>
    <t>Junior Subsidiebehandelaar</t>
  </si>
  <si>
    <t>Junior Subsidiebeoordelaar</t>
  </si>
  <si>
    <t>Junior Subsidiemedewerker</t>
  </si>
  <si>
    <t>Klantspecialist Pensioenen</t>
  </si>
  <si>
    <t>Kredietbeoordelaar Hypotheken</t>
  </si>
  <si>
    <t>Medewerker (Backoffice) Hypotheken</t>
  </si>
  <si>
    <t>Medewerker corporate support</t>
  </si>
  <si>
    <t>Medewerker Proactief Beheer Hypotheken</t>
  </si>
  <si>
    <t>Medewerker Wia en Verzuim</t>
  </si>
  <si>
    <t>Medior Adviseur Subsidies</t>
  </si>
  <si>
    <t>Medior analist sancties a.i.</t>
  </si>
  <si>
    <t>Medior Financial Controller</t>
  </si>
  <si>
    <t>Medior Financieel Adviseur Planning &amp; Control</t>
  </si>
  <si>
    <t>Medior Subsidieadviseur</t>
  </si>
  <si>
    <t>Operationeel medewerker Hypotheken</t>
  </si>
  <si>
    <t>Pensioenspecialist</t>
  </si>
  <si>
    <t>Project Controller</t>
  </si>
  <si>
    <t>Sales Consultant Accounting &amp; Reporting</t>
  </si>
  <si>
    <t>Sales Consultant Compliance</t>
  </si>
  <si>
    <t>Sales Support Officer</t>
  </si>
  <si>
    <t>Schade Adviseur</t>
  </si>
  <si>
    <t>Schadebehandelaar</t>
  </si>
  <si>
    <t>Senior analist sancties</t>
  </si>
  <si>
    <t>Senior Financial Controller</t>
  </si>
  <si>
    <t>Senior Financieel Adviseur Planning &amp; Control</t>
  </si>
  <si>
    <t>Senior Hypotheek Acceptant</t>
  </si>
  <si>
    <t>Senior Schadebehandelaar</t>
  </si>
  <si>
    <t>Specialist Acceptatie &amp; Polisbeheer Zakelijk</t>
  </si>
  <si>
    <t>Specialist Beheer Hypotheken</t>
  </si>
  <si>
    <t>Specialist Bijzonder Beheer</t>
  </si>
  <si>
    <t>Specialist Hypotheken</t>
  </si>
  <si>
    <t>Specialist Kredietbeoordeling</t>
  </si>
  <si>
    <t>Subsidiebeoordelaar</t>
  </si>
  <si>
    <t>Traineeship Hypotheekacceptant</t>
  </si>
  <si>
    <t>Traineeship KYC</t>
  </si>
  <si>
    <t>Zakelijke Hypotheek Acceptant</t>
  </si>
  <si>
    <t>Totaal</t>
  </si>
  <si>
    <t>Job post</t>
  </si>
  <si>
    <t>Location</t>
  </si>
  <si>
    <t>Impressions (sponsored)</t>
  </si>
  <si>
    <t>Click through rate (sponsored)</t>
  </si>
  <si>
    <t>Clicks (sponsored)</t>
  </si>
  <si>
    <t>Started applications (sponsored)</t>
  </si>
  <si>
    <t>Application start rate (sponsored)</t>
  </si>
  <si>
    <t>Cost per click</t>
  </si>
  <si>
    <t>Cost per started application</t>
  </si>
  <si>
    <t>Total cost</t>
  </si>
  <si>
    <t>Utrecht, UT, NL</t>
  </si>
  <si>
    <t>Tilburg, NB, NL</t>
  </si>
  <si>
    <t>Amersfoort, UT, NL</t>
  </si>
  <si>
    <t>Amsterdam, NH, NL</t>
  </si>
  <si>
    <t>Geleen, LI, NL</t>
  </si>
  <si>
    <t>Rotterdam, ZH, NL</t>
  </si>
  <si>
    <t>Den Haag, ZH, NL</t>
  </si>
  <si>
    <t>Roermond, LI, NL</t>
  </si>
  <si>
    <t>Zwolle, OV, NL</t>
  </si>
  <si>
    <t>Apeldoorn, GE, NL</t>
  </si>
  <si>
    <t>Sittard, LI, NL</t>
  </si>
  <si>
    <t>NL</t>
  </si>
  <si>
    <t>Zeist, UT, NL</t>
  </si>
  <si>
    <t>Den Bosch, NB, NL</t>
  </si>
  <si>
    <t>Eindhoven, NB, NL</t>
  </si>
  <si>
    <t>Medior KYC/CDD analist</t>
  </si>
  <si>
    <t>Delft, ZH, NL</t>
  </si>
  <si>
    <t>Senior CDD analist</t>
  </si>
  <si>
    <t>OV, NL</t>
  </si>
  <si>
    <t>Diemen, NH, NL</t>
  </si>
  <si>
    <t>Groningen, GR, NL</t>
  </si>
  <si>
    <t>Rijlabels</t>
  </si>
  <si>
    <t>Som van Impressions (sponsored)</t>
  </si>
  <si>
    <t>Gemiddelde van Cost per click</t>
  </si>
  <si>
    <t>Gemiddelde van Cost per started application</t>
  </si>
  <si>
    <t>Gemiddelde van Click through rate (sponsored)</t>
  </si>
  <si>
    <t>Som van Clicks (sponsored)</t>
  </si>
  <si>
    <t>Som van Started applications (sponsored)</t>
  </si>
  <si>
    <t>Gemiddelde van Application start rate (sponsored)</t>
  </si>
  <si>
    <t>Som van Total cost</t>
  </si>
  <si>
    <t>Eindtotaal</t>
  </si>
  <si>
    <t>Aantal van Job post</t>
  </si>
  <si>
    <t>(leeg)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</si>
</sst>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&quot;€&quot;\ #,##0.00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9" fontId="0" fillId="0" borderId="0" xfId="2" applyFont="1"/>
    <xf numFmtId="10" fontId="0" fillId="0" borderId="0" xfId="2" applyNumberFormat="1" applyFont="1"/>
    <xf numFmtId="9" fontId="1" fillId="0" borderId="0" xfId="2" applyFont="1"/>
    <xf numFmtId="10" fontId="1" fillId="0" borderId="0" xfId="2" applyNumberFormat="1" applyFont="1"/>
    <xf numFmtId="8" fontId="0" fillId="0" borderId="0" xfId="0" applyNumberFormat="1"/>
    <xf numFmtId="2" fontId="0" fillId="0" borderId="0" xfId="0" applyNumberFormat="1"/>
    <xf numFmtId="44" fontId="1" fillId="0" borderId="0" xfId="1" applyFont="1"/>
    <xf numFmtId="9" fontId="0" fillId="0" borderId="0" xfId="0" applyNumberFormat="1"/>
    <xf numFmtId="164" fontId="1" fillId="0" borderId="0" xfId="1" applyNumberFormat="1" applyFont="1"/>
    <xf numFmtId="164" fontId="0" fillId="0" borderId="0" xfId="1" applyNumberFormat="1" applyFont="1"/>
    <xf numFmtId="44" fontId="0" fillId="0" borderId="0" xfId="0" applyNumberFormat="1"/>
    <xf numFmtId="0" fontId="0" fillId="2" borderId="0" xfId="0" applyFill="1" applyAlignment="1">
      <alignment horizontal="left"/>
    </xf>
  </cellXfs>
  <cellStyles count="3">
    <cellStyle name="Відсотковий" xfId="2" builtinId="5"/>
    <cellStyle name="Грошовий" xfId="1" builtinId="4"/>
    <cellStyle name="Звичайни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 &quot;€&quot;\ * #,##0.00_ ;_ &quot;€&quot;\ * \-#,##0.00_ ;_ &quot;€&quot;\ * &quot;-&quot;??_ ;_ @_ "/>
    </dxf>
    <dxf>
      <numFmt numFmtId="34" formatCode="_ &quot;€&quot;\ * #,##0.00_ ;_ &quot;€&quot;\ * \-#,##0.00_ ;_ &quot;€&quot;\ * &quot;-&quot;??_ ;_ @_ "/>
    </dxf>
    <dxf>
      <numFmt numFmtId="2" formatCode="0.00"/>
    </dxf>
    <dxf>
      <numFmt numFmtId="2" formatCode="0.00"/>
    </dxf>
    <dxf>
      <numFmt numFmtId="34" formatCode="_ &quot;€&quot;\ * #,##0.00_ ;_ &quot;€&quot;\ * \-#,##0.00_ ;_ &quot;€&quot;\ * &quot;-&quot;??_ ;_ @_ "/>
    </dxf>
    <dxf>
      <numFmt numFmtId="13" formatCode="0%"/>
    </dxf>
    <dxf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3" formatCode="0%"/>
    </dxf>
    <dxf>
      <numFmt numFmtId="3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so  Visser" refreshedDate="45889.472396643519" createdVersion="8" refreshedVersion="8" minRefreshableVersion="3" recordCount="450" xr:uid="{508268BF-391B-4C12-8171-C8C0E54DE205}">
  <cacheSource type="worksheet">
    <worksheetSource ref="A1:A1048576" sheet="Exported Data"/>
  </cacheSource>
  <cacheFields count="1">
    <cacheField name="Job post" numFmtId="0">
      <sharedItems containsBlank="1" count="117">
        <s v="Acceptant Duurzaamheidskredieten"/>
        <s v="Acceptant Verzekeringen"/>
        <s v="Acceptant Woninghypotheken"/>
        <s v="CDD Analist"/>
        <s v="Acquisitieregisseur"/>
        <s v="Administratief Medewerker Amersfoort"/>
        <s v="Adviseur Subsidies"/>
        <s v="Assistent Beleggen"/>
        <s v="Beoordelaar Subsidies"/>
        <s v="Bijzonder Beheer Specialist Amsterdam"/>
        <s v="Business Support Vermogen"/>
        <s v="Claimbehandelaar AOV"/>
        <s v="Commercieel Specialist Beleggen"/>
        <s v="Compliance Adviseur"/>
        <s v="Conversiespecialist"/>
        <s v="Credit Risk Analist"/>
        <s v="FEC Transaction Monitoring Analist Medior"/>
        <s v="Finance Talent Program"/>
        <s v="Financial Controller"/>
        <s v="Financial Risk Manager"/>
        <s v="Financieel Accountant"/>
        <s v="Financieel Adviseur VKB"/>
        <s v="Financieel Coach"/>
        <s v="Financieel Data Analist"/>
        <s v="Financieel Medewerker Amersfoort"/>
        <s v="FP&amp;A Controller"/>
        <s v="Hypotheekacceptant"/>
        <s v="Hypotheekadviseur"/>
        <s v="Junior Adviseur Subsidies"/>
        <s v="Junior AML-Analist"/>
        <s v="Junior Business Controller"/>
        <s v="Junior CDD Analist"/>
        <s v="Junior FEC Analist"/>
        <s v="Junior Financial Accountant"/>
        <s v="Junior Financial Controller"/>
        <s v="Junior Financieel Adviseur Planning &amp; Control"/>
        <s v="Junior Hypotheekacceptant"/>
        <s v="Junior Hypotheekspecialist"/>
        <s v="Junior Processpecialist"/>
        <s v="Junior Project Controller"/>
        <s v="Junior Schadebehandelaar"/>
        <s v="Junior Specialist Klantonboarding"/>
        <s v="Junior Subsidieadviseur"/>
        <s v="Junior Subsidiebehandelaar"/>
        <s v="Junior Subsidiebeoordelaar"/>
        <s v="Junior Subsidiemedewerker"/>
        <s v="Junior TM Analist"/>
        <s v="Jurist Letselschade Achmea"/>
        <s v="Klantspecialist Pensioenen"/>
        <s v="Krediet Acceptant"/>
        <s v="Kredietbeoordelaar Hypotheken"/>
        <s v="KYC/CDD Analist Amsterdam"/>
        <s v="Medewerker (Backoffice) Hypotheken"/>
        <s v="Medewerker Betaalachterstanden"/>
        <s v="Medewerker binnenlandse bankgarantie"/>
        <s v="Medewerker corporate support"/>
        <s v="Medewerker Proactief Beheer Hypotheken"/>
        <s v="Medewerker Wia en Verzuim"/>
        <s v="Medior Adviseur Subsidies"/>
        <s v="Medior analist sancties a.i."/>
        <s v="Medior Business Controller"/>
        <s v="Medior CDD Analist"/>
        <s v="Medior Financial Accountant"/>
        <s v="Medior Financial Controller"/>
        <s v="Medior Financieel Adviseur Planning &amp; Control"/>
        <s v="Medior KYC/CDD Analist"/>
        <s v="Medior Project Controller"/>
        <s v="Medior Schadebehandelaar"/>
        <s v="Medior Subsidiebeoordelaar"/>
        <s v="Medior Subsidieadviseur"/>
        <s v="Medior/Senior CDD Analist"/>
        <s v="Operationeel medewerker Hypotheken"/>
        <s v="Pensioenspecialist"/>
        <s v="Procesmanager"/>
        <s v="Productmanager Wonen"/>
        <s v="Project Controller"/>
        <s v="Sales Consultant Accounting &amp; Reporting"/>
        <s v="Sales Consultant Compliance"/>
        <s v="Sales Support Officer"/>
        <s v="Schade Adviseur"/>
        <s v="Schadebehandelaar"/>
        <s v="Senior analist sancties"/>
        <s v="Senior Business Controller"/>
        <s v="Senior CDD Analist"/>
        <s v="Senior Financial Accountant"/>
        <s v="Senior Financial Controller"/>
        <s v="Senior Financieel Adviseur Planning &amp; Control"/>
        <s v="Senior Hypotheek Acceptant"/>
        <s v="Senior KYC/CDD Analist"/>
        <s v="Senior Project Controller"/>
        <s v="Senior Schadebehandelaar"/>
        <s v="Specialist Acceptatie &amp; Polisbeheer Zakelijk"/>
        <s v="Specialist Beheer Hypotheken"/>
        <s v="Specialist Bijzonder Beheer"/>
        <s v="Specialist Financiële Administratie Overheid"/>
        <s v="Specialist Hypotheken"/>
        <s v="Specialist Kredietbeoordeling"/>
        <s v="Specialist Schuldhulp"/>
        <s v="Specialist Sparen &amp; Beleggen"/>
        <s v="Subsidiebeoordelaar"/>
        <s v="Subsidiemedewerker"/>
        <s v="Trainee Finance &amp; Control"/>
        <s v="Traineeship Hypotheekacceptant"/>
        <s v="Traineeship KYC"/>
        <s v="Transactie Monitoring Analist"/>
        <s v="Zakelijke Hypotheek Acceptant"/>
        <m/>
        <s v="Acceptant Verduurzaming Hilversum" u="1"/>
        <s v="Krediet Acceptant Utrecht" u="1"/>
        <s v="Krediet Specialist Verduurzaming" u="1"/>
        <s v="Kredietbeoordelaar Hypotheken Amersfoort" u="1"/>
        <s v="Medior KYC Analist" u="1"/>
        <s v="Medior KYC/CDD" u="1"/>
        <s v="Senior Hypotheek Acceptant Sittard" u="1"/>
        <s v="Senior KYC Specialist" u="1"/>
        <s v="Senior KYC/CDD analist HBO amsterdam" u="1"/>
        <s v="Specialist Duurzaamheidskrediete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so  Visser" refreshedDate="45889.47239722222" createdVersion="8" refreshedVersion="8" minRefreshableVersion="3" recordCount="449" xr:uid="{69A6D25A-2B52-42B1-9045-C18317DDD255}">
  <cacheSource type="worksheet">
    <worksheetSource ref="A1:J450" sheet="Exported Data"/>
  </cacheSource>
  <cacheFields count="10">
    <cacheField name="Job post" numFmtId="0">
      <sharedItems count="116">
        <s v="Acceptant Duurzaamheidskredieten"/>
        <s v="Acceptant Verzekeringen"/>
        <s v="Acceptant Woninghypotheken"/>
        <s v="CDD Analist"/>
        <s v="Acquisitieregisseur"/>
        <s v="Administratief Medewerker Amersfoort"/>
        <s v="Adviseur Subsidies"/>
        <s v="Assistent Beleggen"/>
        <s v="Beoordelaar Subsidies"/>
        <s v="Bijzonder Beheer Specialist Amsterdam"/>
        <s v="Business Support Vermogen"/>
        <s v="Claimbehandelaar AOV"/>
        <s v="Commercieel Specialist Beleggen"/>
        <s v="Compliance Adviseur"/>
        <s v="Conversiespecialist"/>
        <s v="Credit Risk Analist"/>
        <s v="FEC Transaction Monitoring Analist Medior"/>
        <s v="Finance Talent Program"/>
        <s v="Financial Controller"/>
        <s v="Financial Risk Manager"/>
        <s v="Financieel Accountant"/>
        <s v="Financieel Adviseur VKB"/>
        <s v="Financieel Coach"/>
        <s v="Financieel Data Analist"/>
        <s v="Financieel Medewerker Amersfoort"/>
        <s v="FP&amp;A Controller"/>
        <s v="Hypotheekacceptant"/>
        <s v="Hypotheekadviseur"/>
        <s v="Junior Adviseur Subsidies"/>
        <s v="Junior AML-Analist"/>
        <s v="Junior Business Controller"/>
        <s v="Junior CDD Analist"/>
        <s v="Junior FEC Analist"/>
        <s v="Junior Financial Accountant"/>
        <s v="Junior Financial Controller"/>
        <s v="Junior Financieel Adviseur Planning &amp; Control"/>
        <s v="Junior Hypotheekacceptant"/>
        <s v="Junior Hypotheekspecialist"/>
        <s v="Junior Processpecialist"/>
        <s v="Junior Project Controller"/>
        <s v="Junior Schadebehandelaar"/>
        <s v="Junior Specialist Klantonboarding"/>
        <s v="Junior Subsidieadviseur"/>
        <s v="Junior Subsidiebehandelaar"/>
        <s v="Junior Subsidiebeoordelaar"/>
        <s v="Junior Subsidiemedewerker"/>
        <s v="Junior TM Analist"/>
        <s v="Jurist Letselschade Achmea"/>
        <s v="Klantspecialist Pensioenen"/>
        <s v="Krediet Acceptant"/>
        <s v="Kredietbeoordelaar Hypotheken"/>
        <s v="KYC/CDD Analist Amsterdam"/>
        <s v="Medewerker (Backoffice) Hypotheken"/>
        <s v="Medewerker Betaalachterstanden"/>
        <s v="Medewerker binnenlandse bankgarantie"/>
        <s v="Medewerker corporate support"/>
        <s v="Medewerker Proactief Beheer Hypotheken"/>
        <s v="Medewerker Wia en Verzuim"/>
        <s v="Medior Adviseur Subsidies"/>
        <s v="Medior analist sancties a.i."/>
        <s v="Medior Business Controller"/>
        <s v="Medior CDD Analist"/>
        <s v="Medior Financial Accountant"/>
        <s v="Medior Financial Controller"/>
        <s v="Medior Financieel Adviseur Planning &amp; Control"/>
        <s v="Medior KYC/CDD Analist"/>
        <s v="Medior Project Controller"/>
        <s v="Medior Schadebehandelaar"/>
        <s v="Medior Subsidiebeoordelaar"/>
        <s v="Medior Subsidieadviseur"/>
        <s v="Medior/Senior CDD Analist"/>
        <s v="Operationeel medewerker Hypotheken"/>
        <s v="Pensioenspecialist"/>
        <s v="Procesmanager"/>
        <s v="Productmanager Wonen"/>
        <s v="Project Controller"/>
        <s v="Sales Consultant Accounting &amp; Reporting"/>
        <s v="Sales Consultant Compliance"/>
        <s v="Sales Support Officer"/>
        <s v="Schade Adviseur"/>
        <s v="Schadebehandelaar"/>
        <s v="Senior analist sancties"/>
        <s v="Senior Business Controller"/>
        <s v="Senior CDD Analist"/>
        <s v="Senior Financial Accountant"/>
        <s v="Senior Financial Controller"/>
        <s v="Senior Financieel Adviseur Planning &amp; Control"/>
        <s v="Senior Hypotheek Acceptant"/>
        <s v="Senior KYC/CDD Analist"/>
        <s v="Senior Project Controller"/>
        <s v="Senior Schadebehandelaar"/>
        <s v="Specialist Acceptatie &amp; Polisbeheer Zakelijk"/>
        <s v="Specialist Beheer Hypotheken"/>
        <s v="Specialist Bijzonder Beheer"/>
        <s v="Specialist Financiële Administratie Overheid"/>
        <s v="Specialist Hypotheken"/>
        <s v="Specialist Kredietbeoordeling"/>
        <s v="Specialist Schuldhulp"/>
        <s v="Specialist Sparen &amp; Beleggen"/>
        <s v="Subsidiebeoordelaar"/>
        <s v="Subsidiemedewerker"/>
        <s v="Trainee Finance &amp; Control"/>
        <s v="Traineeship Hypotheekacceptant"/>
        <s v="Traineeship KYC"/>
        <s v="Transactie Monitoring Analist"/>
        <s v="Zakelijke Hypotheek Acceptant"/>
        <s v="Acceptant Verduurzaming Hilversum" u="1"/>
        <s v="Krediet Acceptant Utrecht" u="1"/>
        <s v="Krediet Specialist Verduurzaming" u="1"/>
        <s v="Kredietbeoordelaar Hypotheken Amersfoort" u="1"/>
        <s v="Senior Hypotheek Acceptant Sittard" u="1"/>
        <s v="Senior KYC Specialist" u="1"/>
        <s v="Senior KYC/CDD analist HBO amsterdam" u="1"/>
        <s v="Specialist Duurzaamheidskredieten" u="1"/>
        <s v="Medior KYC Analist" u="1"/>
        <s v="Medior KYC/CDD" u="1"/>
      </sharedItems>
    </cacheField>
    <cacheField name="Location" numFmtId="0">
      <sharedItems/>
    </cacheField>
    <cacheField name="Impressions (sponsored)" numFmtId="0">
      <sharedItems containsSemiMixedTypes="0" containsString="0" containsNumber="1" containsInteger="1" minValue="0" maxValue="18191"/>
    </cacheField>
    <cacheField name="Click through rate (sponsored)" numFmtId="9">
      <sharedItems containsSemiMixedTypes="0" containsString="0" containsNumber="1" minValue="0" maxValue="0.16669999999999999"/>
    </cacheField>
    <cacheField name="Clicks (sponsored)" numFmtId="0">
      <sharedItems containsSemiMixedTypes="0" containsString="0" containsNumber="1" containsInteger="1" minValue="0" maxValue="1552"/>
    </cacheField>
    <cacheField name="Started applications (sponsored)" numFmtId="0">
      <sharedItems containsSemiMixedTypes="0" containsString="0" containsNumber="1" containsInteger="1" minValue="0" maxValue="68"/>
    </cacheField>
    <cacheField name="Application start rate (sponsored)" numFmtId="10">
      <sharedItems containsSemiMixedTypes="0" containsString="0" containsNumber="1" minValue="0" maxValue="1"/>
    </cacheField>
    <cacheField name="Cost per click" numFmtId="164">
      <sharedItems containsSemiMixedTypes="0" containsString="0" containsNumber="1" minValue="0" maxValue="10.71"/>
    </cacheField>
    <cacheField name="Cost per started application" numFmtId="164">
      <sharedItems containsSemiMixedTypes="0" containsString="0" containsNumber="1" minValue="0" maxValue="37.43"/>
    </cacheField>
    <cacheField name="Total cost" numFmtId="164">
      <sharedItems containsSemiMixedTypes="0" containsString="0" containsNumber="1" minValue="0" maxValue="66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4"/>
  </r>
  <r>
    <x v="5"/>
  </r>
  <r>
    <x v="6"/>
  </r>
  <r>
    <x v="6"/>
  </r>
  <r>
    <x v="6"/>
  </r>
  <r>
    <x v="6"/>
  </r>
  <r>
    <x v="6"/>
  </r>
  <r>
    <x v="6"/>
  </r>
  <r>
    <x v="6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10"/>
  </r>
  <r>
    <x v="3"/>
  </r>
  <r>
    <x v="3"/>
  </r>
  <r>
    <x v="3"/>
  </r>
  <r>
    <x v="11"/>
  </r>
  <r>
    <x v="12"/>
  </r>
  <r>
    <x v="13"/>
  </r>
  <r>
    <x v="14"/>
  </r>
  <r>
    <x v="15"/>
  </r>
  <r>
    <x v="15"/>
  </r>
  <r>
    <x v="15"/>
  </r>
  <r>
    <x v="15"/>
  </r>
  <r>
    <x v="16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1"/>
  </r>
  <r>
    <x v="22"/>
  </r>
  <r>
    <x v="23"/>
  </r>
  <r>
    <x v="23"/>
  </r>
  <r>
    <x v="23"/>
  </r>
  <r>
    <x v="23"/>
  </r>
  <r>
    <x v="24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8"/>
  </r>
  <r>
    <x v="28"/>
  </r>
  <r>
    <x v="28"/>
  </r>
  <r>
    <x v="28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2"/>
  </r>
  <r>
    <x v="32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8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6"/>
  </r>
  <r>
    <x v="47"/>
  </r>
  <r>
    <x v="47"/>
  </r>
  <r>
    <x v="48"/>
  </r>
  <r>
    <x v="48"/>
  </r>
  <r>
    <x v="49"/>
  </r>
  <r>
    <x v="49"/>
  </r>
  <r>
    <x v="0"/>
  </r>
  <r>
    <x v="50"/>
  </r>
  <r>
    <x v="50"/>
  </r>
  <r>
    <x v="51"/>
  </r>
  <r>
    <x v="51"/>
  </r>
  <r>
    <x v="51"/>
  </r>
  <r>
    <x v="52"/>
  </r>
  <r>
    <x v="52"/>
  </r>
  <r>
    <x v="53"/>
  </r>
  <r>
    <x v="53"/>
  </r>
  <r>
    <x v="53"/>
  </r>
  <r>
    <x v="53"/>
  </r>
  <r>
    <x v="54"/>
  </r>
  <r>
    <x v="55"/>
  </r>
  <r>
    <x v="56"/>
  </r>
  <r>
    <x v="57"/>
  </r>
  <r>
    <x v="58"/>
  </r>
  <r>
    <x v="58"/>
  </r>
  <r>
    <x v="58"/>
  </r>
  <r>
    <x v="58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7"/>
  </r>
  <r>
    <x v="68"/>
  </r>
  <r>
    <x v="68"/>
  </r>
  <r>
    <x v="69"/>
  </r>
  <r>
    <x v="68"/>
  </r>
  <r>
    <x v="68"/>
  </r>
  <r>
    <x v="70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5"/>
  </r>
  <r>
    <x v="76"/>
  </r>
  <r>
    <x v="76"/>
  </r>
  <r>
    <x v="77"/>
  </r>
  <r>
    <x v="77"/>
  </r>
  <r>
    <x v="77"/>
  </r>
  <r>
    <x v="78"/>
  </r>
  <r>
    <x v="79"/>
  </r>
  <r>
    <x v="80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5"/>
  </r>
  <r>
    <x v="86"/>
  </r>
  <r>
    <x v="86"/>
  </r>
  <r>
    <x v="86"/>
  </r>
  <r>
    <x v="86"/>
  </r>
  <r>
    <x v="86"/>
  </r>
  <r>
    <x v="86"/>
  </r>
  <r>
    <x v="87"/>
  </r>
  <r>
    <x v="87"/>
  </r>
  <r>
    <x v="88"/>
  </r>
  <r>
    <x v="88"/>
  </r>
  <r>
    <x v="88"/>
  </r>
  <r>
    <x v="88"/>
  </r>
  <r>
    <x v="88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89"/>
  </r>
  <r>
    <x v="90"/>
  </r>
  <r>
    <x v="91"/>
  </r>
  <r>
    <x v="91"/>
  </r>
  <r>
    <x v="92"/>
  </r>
  <r>
    <x v="92"/>
  </r>
  <r>
    <x v="92"/>
  </r>
  <r>
    <x v="93"/>
  </r>
  <r>
    <x v="93"/>
  </r>
  <r>
    <x v="93"/>
  </r>
  <r>
    <x v="93"/>
  </r>
  <r>
    <x v="0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6"/>
  </r>
  <r>
    <x v="96"/>
  </r>
  <r>
    <x v="97"/>
  </r>
  <r>
    <x v="97"/>
  </r>
  <r>
    <x v="97"/>
  </r>
  <r>
    <x v="97"/>
  </r>
  <r>
    <x v="98"/>
  </r>
  <r>
    <x v="99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1"/>
  </r>
  <r>
    <x v="102"/>
  </r>
  <r>
    <x v="102"/>
  </r>
  <r>
    <x v="103"/>
  </r>
  <r>
    <x v="104"/>
  </r>
  <r>
    <x v="105"/>
  </r>
  <r>
    <x v="1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x v="0"/>
    <s v="Utrecht, UT, NL"/>
    <n v="630"/>
    <n v="4.9200000000000001E-2"/>
    <n v="31"/>
    <n v="1"/>
    <n v="3.2300000000000002E-2"/>
    <n v="0.25"/>
    <n v="7.75"/>
    <n v="7.75"/>
  </r>
  <r>
    <x v="0"/>
    <s v="Utrecht, UT, NL"/>
    <n v="230"/>
    <n v="2.6100000000000002E-2"/>
    <n v="6"/>
    <n v="0"/>
    <n v="0"/>
    <n v="0"/>
    <n v="0"/>
    <n v="0"/>
  </r>
  <r>
    <x v="1"/>
    <s v="Tilburg, NB, NL"/>
    <n v="140"/>
    <n v="7.1400000000000005E-2"/>
    <n v="10"/>
    <n v="0"/>
    <n v="0"/>
    <n v="0"/>
    <n v="0"/>
    <n v="0"/>
  </r>
  <r>
    <x v="2"/>
    <s v="Amersfoort, UT, NL"/>
    <n v="256"/>
    <n v="5.0799999999999998E-2"/>
    <n v="13"/>
    <n v="2"/>
    <n v="0.15379999999999999"/>
    <n v="1.1000000000000001"/>
    <n v="7.13"/>
    <n v="14.25"/>
  </r>
  <r>
    <x v="2"/>
    <s v="Amersfoort, UT, NL"/>
    <n v="356"/>
    <n v="4.4900000000000002E-2"/>
    <n v="16"/>
    <n v="0"/>
    <n v="0"/>
    <n v="0"/>
    <n v="0"/>
    <n v="0"/>
  </r>
  <r>
    <x v="2"/>
    <s v="Amersfoort, UT, NL"/>
    <n v="337"/>
    <n v="4.1500000000000002E-2"/>
    <n v="14"/>
    <n v="0"/>
    <n v="0"/>
    <n v="0"/>
    <n v="0"/>
    <n v="0"/>
  </r>
  <r>
    <x v="2"/>
    <s v="Amsterdam, NH, NL"/>
    <n v="8"/>
    <n v="0.125"/>
    <n v="1"/>
    <n v="0"/>
    <n v="0"/>
    <n v="0"/>
    <n v="0"/>
    <n v="0"/>
  </r>
  <r>
    <x v="2"/>
    <s v="Amsterdam, NH, NL"/>
    <n v="28"/>
    <n v="7.1400000000000005E-2"/>
    <n v="2"/>
    <n v="1"/>
    <n v="0.5"/>
    <n v="9.9499999999999993"/>
    <n v="19.89"/>
    <n v="19.89"/>
  </r>
  <r>
    <x v="2"/>
    <s v="Amsterdam, NH, NL"/>
    <n v="149"/>
    <n v="6.0400000000000002E-2"/>
    <n v="9"/>
    <n v="1"/>
    <n v="0.1111"/>
    <n v="2.4"/>
    <n v="21.6"/>
    <n v="21.6"/>
  </r>
  <r>
    <x v="2"/>
    <s v="Amsterdam, NH, NL"/>
    <n v="813"/>
    <n v="4.1799999999999997E-2"/>
    <n v="34"/>
    <n v="3"/>
    <n v="8.8200000000000001E-2"/>
    <n v="0.83"/>
    <n v="9.35"/>
    <n v="28.05"/>
  </r>
  <r>
    <x v="2"/>
    <s v="Amsterdam, NH, NL"/>
    <n v="650"/>
    <n v="4.3099999999999999E-2"/>
    <n v="28"/>
    <n v="2"/>
    <n v="7.1400000000000005E-2"/>
    <n v="1.55"/>
    <n v="21.66"/>
    <n v="43.32"/>
  </r>
  <r>
    <x v="2"/>
    <s v="Amsterdam, NH, NL"/>
    <n v="530"/>
    <n v="4.1500000000000002E-2"/>
    <n v="22"/>
    <n v="3"/>
    <n v="0.13639999999999999"/>
    <n v="0.99"/>
    <n v="7.25"/>
    <n v="21.75"/>
  </r>
  <r>
    <x v="2"/>
    <s v="Amsterdam, NH, NL"/>
    <n v="386"/>
    <n v="3.3700000000000001E-2"/>
    <n v="13"/>
    <n v="0"/>
    <n v="0"/>
    <n v="0"/>
    <n v="0"/>
    <n v="0"/>
  </r>
  <r>
    <x v="2"/>
    <s v="Geleen, LI, NL"/>
    <n v="723"/>
    <n v="7.3300000000000004E-2"/>
    <n v="53"/>
    <n v="3"/>
    <n v="5.6599999999999998E-2"/>
    <n v="0.34"/>
    <n v="6.08"/>
    <n v="18.25"/>
  </r>
  <r>
    <x v="2"/>
    <s v="Rotterdam, ZH, NL"/>
    <n v="455"/>
    <n v="5.0500000000000003E-2"/>
    <n v="23"/>
    <n v="3"/>
    <n v="0.13039999999999999"/>
    <n v="0.96"/>
    <n v="7.4"/>
    <n v="22.19"/>
  </r>
  <r>
    <x v="2"/>
    <s v="Rotterdam, ZH, NL"/>
    <n v="208"/>
    <n v="1.9199999999999998E-2"/>
    <n v="4"/>
    <n v="0"/>
    <n v="0"/>
    <n v="0"/>
    <n v="0"/>
    <n v="0"/>
  </r>
  <r>
    <x v="2"/>
    <s v="Rotterdam, ZH, NL"/>
    <n v="394"/>
    <n v="4.0599999999999997E-2"/>
    <n v="16"/>
    <n v="0"/>
    <n v="0"/>
    <n v="0"/>
    <n v="0"/>
    <n v="0"/>
  </r>
  <r>
    <x v="2"/>
    <s v="Utrecht, UT, NL"/>
    <n v="304"/>
    <n v="3.6200000000000003E-2"/>
    <n v="11"/>
    <n v="0"/>
    <n v="0"/>
    <n v="0"/>
    <n v="0"/>
    <n v="0"/>
  </r>
  <r>
    <x v="2"/>
    <s v="Utrecht, UT, NL"/>
    <n v="163"/>
    <n v="2.4500000000000001E-2"/>
    <n v="4"/>
    <n v="0"/>
    <n v="0"/>
    <n v="0"/>
    <n v="0"/>
    <n v="0"/>
  </r>
  <r>
    <x v="2"/>
    <s v="Utrecht, UT, NL"/>
    <n v="335"/>
    <n v="3.8800000000000001E-2"/>
    <n v="13"/>
    <n v="0"/>
    <n v="0"/>
    <n v="0"/>
    <n v="0"/>
    <n v="0"/>
  </r>
  <r>
    <x v="3"/>
    <s v="Amsterdam, NH, NL"/>
    <n v="1941"/>
    <n v="7.7299999999999994E-2"/>
    <n v="150"/>
    <n v="10"/>
    <n v="6.6699999999999995E-2"/>
    <n v="0.43"/>
    <n v="6.5"/>
    <n v="64.95"/>
  </r>
  <r>
    <x v="4"/>
    <s v="Amsterdam, NH, NL"/>
    <n v="313"/>
    <n v="2.5600000000000001E-2"/>
    <n v="8"/>
    <n v="0"/>
    <n v="0"/>
    <n v="0"/>
    <n v="0"/>
    <n v="0"/>
  </r>
  <r>
    <x v="5"/>
    <s v="Amsterdam, NH, NL"/>
    <n v="4667"/>
    <n v="9.9900000000000003E-2"/>
    <n v="466"/>
    <n v="19"/>
    <n v="4.0800000000000003E-2"/>
    <n v="0.21"/>
    <n v="5.18"/>
    <n v="98.4"/>
  </r>
  <r>
    <x v="6"/>
    <s v="Den Haag, ZH, NL"/>
    <n v="1011"/>
    <n v="3.0700000000000002E-2"/>
    <n v="31"/>
    <n v="1"/>
    <n v="3.2300000000000002E-2"/>
    <n v="0.9"/>
    <n v="27.93"/>
    <n v="27.93"/>
  </r>
  <r>
    <x v="6"/>
    <s v="Den Haag, ZH, NL"/>
    <n v="0"/>
    <n v="0"/>
    <n v="0"/>
    <n v="0"/>
    <n v="0"/>
    <n v="0"/>
    <n v="0"/>
    <n v="0"/>
  </r>
  <r>
    <x v="6"/>
    <s v="Den Haag, ZH, NL"/>
    <n v="1644"/>
    <n v="4.2599999999999999E-2"/>
    <n v="70"/>
    <n v="9"/>
    <n v="0.12859999999999999"/>
    <n v="0.64"/>
    <n v="4.99"/>
    <n v="44.94"/>
  </r>
  <r>
    <x v="6"/>
    <s v="Roermond, LI, NL"/>
    <n v="3180"/>
    <n v="3.6499999999999998E-2"/>
    <n v="116"/>
    <n v="9"/>
    <n v="7.7600000000000002E-2"/>
    <n v="0.44"/>
    <n v="5.67"/>
    <n v="51.01"/>
  </r>
  <r>
    <x v="6"/>
    <s v="Utrecht, UT, NL"/>
    <n v="1238"/>
    <n v="2.8299999999999999E-2"/>
    <n v="35"/>
    <n v="0"/>
    <n v="0"/>
    <n v="0"/>
    <n v="0"/>
    <n v="0"/>
  </r>
  <r>
    <x v="6"/>
    <s v="Utrecht, UT, NL"/>
    <n v="0"/>
    <n v="0"/>
    <n v="0"/>
    <n v="0"/>
    <n v="0"/>
    <n v="0"/>
    <n v="0"/>
    <n v="0"/>
  </r>
  <r>
    <x v="6"/>
    <s v="Zwolle, OV, NL"/>
    <n v="4456"/>
    <n v="3.3700000000000001E-2"/>
    <n v="150"/>
    <n v="9"/>
    <n v="0.06"/>
    <n v="0.34"/>
    <n v="5.71"/>
    <n v="51.36"/>
  </r>
  <r>
    <x v="7"/>
    <s v="Utrecht, UT, NL"/>
    <n v="668"/>
    <n v="8.2299999999999998E-2"/>
    <n v="55"/>
    <n v="4"/>
    <n v="7.2700000000000001E-2"/>
    <n v="0.61"/>
    <n v="8.3699999999999992"/>
    <n v="33.49"/>
  </r>
  <r>
    <x v="8"/>
    <s v="Den Haag, ZH, NL"/>
    <n v="569"/>
    <n v="5.9799999999999999E-2"/>
    <n v="34"/>
    <n v="4"/>
    <n v="0.1176"/>
    <n v="0.47"/>
    <n v="3.97"/>
    <n v="15.88"/>
  </r>
  <r>
    <x v="8"/>
    <s v="Den Haag, ZH, NL"/>
    <n v="951"/>
    <n v="8.7300000000000003E-2"/>
    <n v="83"/>
    <n v="4"/>
    <n v="4.82E-2"/>
    <n v="0.32"/>
    <n v="6.55"/>
    <n v="26.2"/>
  </r>
  <r>
    <x v="8"/>
    <s v="Den Haag, ZH, NL"/>
    <n v="0"/>
    <n v="0"/>
    <n v="0"/>
    <n v="0"/>
    <n v="0"/>
    <n v="0"/>
    <n v="0"/>
    <n v="0"/>
  </r>
  <r>
    <x v="8"/>
    <s v="Den Haag, ZH, NL"/>
    <n v="545"/>
    <n v="7.1599999999999997E-2"/>
    <n v="39"/>
    <n v="4"/>
    <n v="0.1026"/>
    <n v="0.41"/>
    <n v="4.03"/>
    <n v="16.13"/>
  </r>
  <r>
    <x v="8"/>
    <s v="Den Haag, ZH, NL"/>
    <n v="0"/>
    <n v="0"/>
    <n v="0"/>
    <n v="0"/>
    <n v="0"/>
    <n v="0"/>
    <n v="0"/>
    <n v="0"/>
  </r>
  <r>
    <x v="8"/>
    <s v="Den Haag, ZH, NL"/>
    <n v="2548"/>
    <n v="7.46E-2"/>
    <n v="190"/>
    <n v="17"/>
    <n v="8.9499999999999996E-2"/>
    <n v="0.56000000000000005"/>
    <n v="6.23"/>
    <n v="105.95"/>
  </r>
  <r>
    <x v="8"/>
    <s v="Roermond, LI, NL"/>
    <n v="4546"/>
    <n v="5.96E-2"/>
    <n v="271"/>
    <n v="15"/>
    <n v="5.5399999999999998E-2"/>
    <n v="0.28999999999999998"/>
    <n v="5.17"/>
    <n v="77.59"/>
  </r>
  <r>
    <x v="8"/>
    <s v="Utrecht, UT, NL"/>
    <n v="134"/>
    <n v="1.49E-2"/>
    <n v="2"/>
    <n v="0"/>
    <n v="0"/>
    <n v="0"/>
    <n v="0"/>
    <n v="0"/>
  </r>
  <r>
    <x v="8"/>
    <s v="Utrecht, UT, NL"/>
    <n v="748"/>
    <n v="4.8099999999999997E-2"/>
    <n v="36"/>
    <n v="3"/>
    <n v="8.3299999999999999E-2"/>
    <n v="0.52"/>
    <n v="6.26"/>
    <n v="18.78"/>
  </r>
  <r>
    <x v="8"/>
    <s v="Zwolle, OV, NL"/>
    <n v="1152"/>
    <n v="4.4299999999999999E-2"/>
    <n v="51"/>
    <n v="2"/>
    <n v="3.9199999999999999E-2"/>
    <n v="0.16"/>
    <n v="4.16"/>
    <n v="8.31"/>
  </r>
  <r>
    <x v="8"/>
    <s v="Zwolle, OV, NL"/>
    <n v="0"/>
    <n v="0"/>
    <n v="0"/>
    <n v="0"/>
    <n v="0"/>
    <n v="0"/>
    <n v="0"/>
    <n v="0"/>
  </r>
  <r>
    <x v="8"/>
    <s v="Zwolle, OV, NL"/>
    <n v="0"/>
    <n v="0"/>
    <n v="0"/>
    <n v="0"/>
    <n v="0"/>
    <n v="0"/>
    <n v="0"/>
    <n v="0"/>
  </r>
  <r>
    <x v="8"/>
    <s v="Zwolle, OV, NL"/>
    <n v="5282"/>
    <n v="5.6599999999999998E-2"/>
    <n v="299"/>
    <n v="7"/>
    <n v="2.3400000000000001E-2"/>
    <n v="0.16"/>
    <n v="6.82"/>
    <n v="47.73"/>
  </r>
  <r>
    <x v="9"/>
    <s v="Amsterdam, NH, NL"/>
    <n v="497"/>
    <n v="5.0299999999999997E-2"/>
    <n v="25"/>
    <n v="4"/>
    <n v="0.16"/>
    <n v="1.24"/>
    <n v="7.72"/>
    <n v="30.88"/>
  </r>
  <r>
    <x v="9"/>
    <s v="Utrecht, UT, NL"/>
    <n v="0"/>
    <n v="0"/>
    <n v="0"/>
    <n v="0"/>
    <n v="0"/>
    <n v="0"/>
    <n v="0"/>
    <n v="0"/>
  </r>
  <r>
    <x v="10"/>
    <s v="Utrecht, UT, NL"/>
    <n v="375"/>
    <n v="2.6700000000000002E-2"/>
    <n v="10"/>
    <n v="0"/>
    <n v="0"/>
    <n v="0"/>
    <n v="0"/>
    <n v="0"/>
  </r>
  <r>
    <x v="3"/>
    <s v="Amersfoort, UT, NL"/>
    <n v="1240"/>
    <n v="4.9200000000000001E-2"/>
    <n v="61"/>
    <n v="3"/>
    <n v="4.9200000000000001E-2"/>
    <n v="0.3"/>
    <n v="6.04"/>
    <n v="18.12"/>
  </r>
  <r>
    <x v="3"/>
    <s v="Amsterdam, NH, NL"/>
    <n v="1347"/>
    <n v="5.1200000000000002E-2"/>
    <n v="69"/>
    <n v="4"/>
    <n v="5.8000000000000003E-2"/>
    <n v="0.42"/>
    <n v="7.25"/>
    <n v="28.98"/>
  </r>
  <r>
    <x v="3"/>
    <s v="Amsterdam, NH, NL"/>
    <n v="760"/>
    <n v="4.3400000000000001E-2"/>
    <n v="33"/>
    <n v="2"/>
    <n v="6.0600000000000001E-2"/>
    <n v="0.34"/>
    <n v="5.61"/>
    <n v="11.21"/>
  </r>
  <r>
    <x v="11"/>
    <s v="Utrecht, UT, NL"/>
    <n v="150"/>
    <n v="1.3299999999999999E-2"/>
    <n v="2"/>
    <n v="0"/>
    <n v="0"/>
    <n v="0"/>
    <n v="0"/>
    <n v="0"/>
  </r>
  <r>
    <x v="12"/>
    <s v="Utrecht, UT, NL"/>
    <n v="88"/>
    <n v="0.11360000000000001"/>
    <n v="10"/>
    <n v="0"/>
    <n v="0"/>
    <n v="0"/>
    <n v="0"/>
    <n v="0"/>
  </r>
  <r>
    <x v="13"/>
    <s v="Amsterdam, NH, NL"/>
    <n v="1138"/>
    <n v="5.7099999999999998E-2"/>
    <n v="65"/>
    <n v="3"/>
    <n v="4.6199999999999998E-2"/>
    <n v="0.35"/>
    <n v="7.64"/>
    <n v="22.92"/>
  </r>
  <r>
    <x v="14"/>
    <s v="Apeldoorn, GE, NL"/>
    <n v="378"/>
    <n v="4.7600000000000003E-2"/>
    <n v="18"/>
    <n v="2"/>
    <n v="0.1111"/>
    <n v="0.43"/>
    <n v="3.84"/>
    <n v="7.68"/>
  </r>
  <r>
    <x v="15"/>
    <s v="Amsterdam, NH, NL"/>
    <n v="782"/>
    <n v="6.5199999999999994E-2"/>
    <n v="51"/>
    <n v="3"/>
    <n v="5.8799999999999998E-2"/>
    <n v="0.53"/>
    <n v="9.0500000000000007"/>
    <n v="27.15"/>
  </r>
  <r>
    <x v="15"/>
    <s v="Amsterdam, NH, NL"/>
    <n v="3353"/>
    <n v="7.2499999999999995E-2"/>
    <n v="243"/>
    <n v="10"/>
    <n v="4.1200000000000001E-2"/>
    <n v="0.44"/>
    <n v="10.64"/>
    <n v="106.43"/>
  </r>
  <r>
    <x v="15"/>
    <s v="Amsterdam, NH, NL"/>
    <n v="2280"/>
    <n v="7.7200000000000005E-2"/>
    <n v="176"/>
    <n v="7"/>
    <n v="3.9800000000000002E-2"/>
    <n v="0.24"/>
    <n v="6.01"/>
    <n v="42.1"/>
  </r>
  <r>
    <x v="15"/>
    <s v="Amsterdam, NH, NL"/>
    <n v="559"/>
    <n v="8.2299999999999998E-2"/>
    <n v="46"/>
    <n v="2"/>
    <n v="4.3499999999999997E-2"/>
    <n v="0.15"/>
    <n v="3.42"/>
    <n v="6.84"/>
  </r>
  <r>
    <x v="16"/>
    <s v="Utrecht, UT, NL"/>
    <n v="960"/>
    <n v="6.9800000000000001E-2"/>
    <n v="67"/>
    <n v="2"/>
    <n v="2.9899999999999999E-2"/>
    <n v="0.43"/>
    <n v="14.47"/>
    <n v="28.94"/>
  </r>
  <r>
    <x v="17"/>
    <s v="Den Haag, ZH, NL"/>
    <n v="404"/>
    <n v="4.7E-2"/>
    <n v="19"/>
    <n v="2"/>
    <n v="0.1053"/>
    <n v="0.56000000000000005"/>
    <n v="5.32"/>
    <n v="10.64"/>
  </r>
  <r>
    <x v="17"/>
    <s v="Den Haag, ZH, NL"/>
    <n v="0"/>
    <n v="0"/>
    <n v="0"/>
    <n v="0"/>
    <n v="0"/>
    <n v="0"/>
    <n v="0"/>
    <n v="0"/>
  </r>
  <r>
    <x v="17"/>
    <s v="Den Haag, ZH, NL"/>
    <n v="71"/>
    <n v="0.15490000000000001"/>
    <n v="11"/>
    <n v="1"/>
    <n v="9.0899999999999995E-2"/>
    <n v="1.34"/>
    <n v="14.72"/>
    <n v="14.72"/>
  </r>
  <r>
    <x v="17"/>
    <s v="Rotterdam, ZH, NL"/>
    <n v="0"/>
    <n v="0"/>
    <n v="0"/>
    <n v="0"/>
    <n v="0"/>
    <n v="0"/>
    <n v="0"/>
    <n v="0"/>
  </r>
  <r>
    <x v="17"/>
    <s v="Rotterdam, ZH, NL"/>
    <n v="557"/>
    <n v="6.0999999999999999E-2"/>
    <n v="34"/>
    <n v="1"/>
    <n v="2.9399999999999999E-2"/>
    <n v="0.27"/>
    <n v="9.09"/>
    <n v="9.09"/>
  </r>
  <r>
    <x v="17"/>
    <s v="Rotterdam, ZH, NL"/>
    <n v="60"/>
    <n v="6.6699999999999995E-2"/>
    <n v="4"/>
    <n v="1"/>
    <n v="0.25"/>
    <n v="4.18"/>
    <n v="16.739999999999998"/>
    <n v="16.739999999999998"/>
  </r>
  <r>
    <x v="17"/>
    <s v="Utrecht, UT, NL"/>
    <n v="464"/>
    <n v="4.9599999999999998E-2"/>
    <n v="23"/>
    <n v="3"/>
    <n v="0.13039999999999999"/>
    <n v="0.53"/>
    <n v="4.0999999999999996"/>
    <n v="12.29"/>
  </r>
  <r>
    <x v="18"/>
    <s v="Amsterdam, NH, NL"/>
    <n v="369"/>
    <n v="4.6100000000000002E-2"/>
    <n v="17"/>
    <n v="0"/>
    <n v="0"/>
    <n v="0"/>
    <n v="0"/>
    <n v="0"/>
  </r>
  <r>
    <x v="18"/>
    <s v="Amsterdam, NH, NL"/>
    <n v="2122"/>
    <n v="4.7100000000000003E-2"/>
    <n v="100"/>
    <n v="2"/>
    <n v="0.02"/>
    <n v="0.24"/>
    <n v="12.2"/>
    <n v="24.4"/>
  </r>
  <r>
    <x v="18"/>
    <s v="Amsterdam, NH, NL"/>
    <n v="1787"/>
    <n v="5.6500000000000002E-2"/>
    <n v="101"/>
    <n v="3"/>
    <n v="2.9700000000000001E-2"/>
    <n v="0.19"/>
    <n v="6.32"/>
    <n v="18.97"/>
  </r>
  <r>
    <x v="18"/>
    <s v="Amsterdam, NH, NL"/>
    <n v="480"/>
    <n v="6.6699999999999995E-2"/>
    <n v="32"/>
    <n v="1"/>
    <n v="3.1300000000000001E-2"/>
    <n v="0.23"/>
    <n v="7.48"/>
    <n v="7.48"/>
  </r>
  <r>
    <x v="19"/>
    <s v="Amsterdam, NH, NL"/>
    <n v="257"/>
    <n v="6.2300000000000001E-2"/>
    <n v="16"/>
    <n v="0"/>
    <n v="0"/>
    <n v="0"/>
    <n v="0"/>
    <n v="0"/>
  </r>
  <r>
    <x v="19"/>
    <s v="Amsterdam, NH, NL"/>
    <n v="1911"/>
    <n v="5.2900000000000003E-2"/>
    <n v="101"/>
    <n v="6"/>
    <n v="5.9400000000000001E-2"/>
    <n v="0.66"/>
    <n v="11.18"/>
    <n v="67.08"/>
  </r>
  <r>
    <x v="19"/>
    <s v="Amsterdam, NH, NL"/>
    <n v="1347"/>
    <n v="5.3499999999999999E-2"/>
    <n v="72"/>
    <n v="2"/>
    <n v="2.7799999999999998E-2"/>
    <n v="0.19"/>
    <n v="6.83"/>
    <n v="13.66"/>
  </r>
  <r>
    <x v="19"/>
    <s v="Amsterdam, NH, NL"/>
    <n v="289"/>
    <n v="6.5699999999999995E-2"/>
    <n v="19"/>
    <n v="1"/>
    <n v="5.2600000000000001E-2"/>
    <n v="0.39"/>
    <n v="7.32"/>
    <n v="7.32"/>
  </r>
  <r>
    <x v="20"/>
    <s v="Amsterdam, NH, NL"/>
    <n v="80"/>
    <n v="0.1"/>
    <n v="8"/>
    <n v="1"/>
    <n v="0.125"/>
    <n v="0.21"/>
    <n v="1.7"/>
    <n v="1.7"/>
  </r>
  <r>
    <x v="21"/>
    <s v="Den Haag, ZH, NL"/>
    <n v="82"/>
    <n v="0"/>
    <n v="0"/>
    <n v="0"/>
    <n v="0"/>
    <n v="0"/>
    <n v="0"/>
    <n v="0"/>
  </r>
  <r>
    <x v="22"/>
    <s v="Den Haag, ZH, NL"/>
    <n v="231"/>
    <n v="7.3599999999999999E-2"/>
    <n v="17"/>
    <n v="2"/>
    <n v="0.1176"/>
    <n v="0.87"/>
    <n v="7.44"/>
    <n v="14.87"/>
  </r>
  <r>
    <x v="23"/>
    <s v="Amsterdam, NH, NL"/>
    <n v="2176"/>
    <n v="8.0399999999999999E-2"/>
    <n v="175"/>
    <n v="15"/>
    <n v="8.5699999999999998E-2"/>
    <n v="0.68"/>
    <n v="7.98"/>
    <n v="119.69"/>
  </r>
  <r>
    <x v="23"/>
    <s v="Amsterdam, NH, NL"/>
    <n v="6420"/>
    <n v="8.7499999999999994E-2"/>
    <n v="562"/>
    <n v="52"/>
    <n v="9.2499999999999999E-2"/>
    <n v="0.9"/>
    <n v="9.77"/>
    <n v="507.81"/>
  </r>
  <r>
    <x v="23"/>
    <s v="Amsterdam, NH, NL"/>
    <n v="4374"/>
    <n v="8.6400000000000005E-2"/>
    <n v="378"/>
    <n v="39"/>
    <n v="0.1032"/>
    <n v="0.59"/>
    <n v="5.73"/>
    <n v="223.3"/>
  </r>
  <r>
    <x v="23"/>
    <s v="Amsterdam, NH, NL"/>
    <n v="840"/>
    <n v="0.106"/>
    <n v="89"/>
    <n v="10"/>
    <n v="0.1124"/>
    <n v="0.52"/>
    <n v="4.5999999999999996"/>
    <n v="45.95"/>
  </r>
  <r>
    <x v="24"/>
    <s v="Amsterdam, NH, NL"/>
    <n v="429"/>
    <n v="5.5899999999999998E-2"/>
    <n v="24"/>
    <n v="4"/>
    <n v="0.16669999999999999"/>
    <n v="0.74"/>
    <n v="4.46"/>
    <n v="17.82"/>
  </r>
  <r>
    <x v="25"/>
    <s v="Amsterdam, NH, NL"/>
    <n v="1664"/>
    <n v="6.0699999999999997E-2"/>
    <n v="101"/>
    <n v="7"/>
    <n v="6.93E-2"/>
    <n v="0.63"/>
    <n v="9.0500000000000007"/>
    <n v="63.38"/>
  </r>
  <r>
    <x v="25"/>
    <s v="Amsterdam, NH, NL"/>
    <n v="422"/>
    <n v="7.8200000000000006E-2"/>
    <n v="33"/>
    <n v="4"/>
    <n v="0.1212"/>
    <n v="0.66"/>
    <n v="5.48"/>
    <n v="21.93"/>
  </r>
  <r>
    <x v="26"/>
    <s v="Amsterdam, NH, NL"/>
    <n v="539"/>
    <n v="3.5299999999999998E-2"/>
    <n v="19"/>
    <n v="1"/>
    <n v="5.2600000000000001E-2"/>
    <n v="0.25"/>
    <n v="4.66"/>
    <n v="4.66"/>
  </r>
  <r>
    <x v="26"/>
    <s v="Amsterdam, NH, NL"/>
    <n v="163"/>
    <n v="6.13E-2"/>
    <n v="10"/>
    <n v="0"/>
    <n v="0"/>
    <n v="0"/>
    <n v="0"/>
    <n v="0"/>
  </r>
  <r>
    <x v="26"/>
    <s v="Amsterdam, NH, NL"/>
    <n v="716"/>
    <n v="9.3600000000000003E-2"/>
    <n v="67"/>
    <n v="7"/>
    <n v="0.1045"/>
    <n v="0.89"/>
    <n v="8.5399999999999991"/>
    <n v="59.78"/>
  </r>
  <r>
    <x v="26"/>
    <s v="Rotterdam, ZH, NL"/>
    <n v="313"/>
    <n v="5.7500000000000002E-2"/>
    <n v="18"/>
    <n v="3"/>
    <n v="0.16669999999999999"/>
    <n v="2.4500000000000002"/>
    <n v="14.7"/>
    <n v="44.1"/>
  </r>
  <r>
    <x v="26"/>
    <s v="Utrecht, UT, NL"/>
    <n v="201"/>
    <n v="3.4799999999999998E-2"/>
    <n v="7"/>
    <n v="1"/>
    <n v="0.1429"/>
    <n v="1.1000000000000001"/>
    <n v="7.73"/>
    <n v="7.73"/>
  </r>
  <r>
    <x v="26"/>
    <s v="Utrecht, UT, NL"/>
    <n v="0"/>
    <n v="0"/>
    <n v="0"/>
    <n v="0"/>
    <n v="0"/>
    <n v="0"/>
    <n v="0"/>
    <n v="0"/>
  </r>
  <r>
    <x v="26"/>
    <s v="Utrecht, UT, NL"/>
    <n v="0"/>
    <n v="0"/>
    <n v="0"/>
    <n v="0"/>
    <n v="0"/>
    <n v="0"/>
    <n v="0"/>
    <n v="0"/>
  </r>
  <r>
    <x v="26"/>
    <s v="Utrecht, UT, NL"/>
    <n v="0"/>
    <n v="0"/>
    <n v="0"/>
    <n v="0"/>
    <n v="0"/>
    <n v="0"/>
    <n v="0"/>
    <n v="0"/>
  </r>
  <r>
    <x v="26"/>
    <s v="Utrecht, UT, NL"/>
    <n v="0"/>
    <n v="0"/>
    <n v="0"/>
    <n v="0"/>
    <n v="0"/>
    <n v="0"/>
    <n v="0"/>
    <n v="0"/>
  </r>
  <r>
    <x v="26"/>
    <s v="Utrecht, UT, NL"/>
    <n v="63"/>
    <n v="4.7600000000000003E-2"/>
    <n v="3"/>
    <n v="0"/>
    <n v="0"/>
    <n v="0"/>
    <n v="0"/>
    <n v="0"/>
  </r>
  <r>
    <x v="26"/>
    <s v="Utrecht, UT, NL"/>
    <n v="44"/>
    <n v="0"/>
    <n v="0"/>
    <n v="0"/>
    <n v="0"/>
    <n v="0"/>
    <n v="0"/>
    <n v="0"/>
  </r>
  <r>
    <x v="26"/>
    <s v="Utrecht, UT, NL"/>
    <n v="264"/>
    <n v="3.0300000000000001E-2"/>
    <n v="8"/>
    <n v="1"/>
    <n v="0.125"/>
    <n v="4.68"/>
    <n v="37.43"/>
    <n v="37.43"/>
  </r>
  <r>
    <x v="26"/>
    <s v="Utrecht, UT, NL"/>
    <n v="0"/>
    <n v="0"/>
    <n v="0"/>
    <n v="0"/>
    <n v="0"/>
    <n v="0"/>
    <n v="0"/>
    <n v="0"/>
  </r>
  <r>
    <x v="26"/>
    <s v="Utrecht, UT, NL"/>
    <n v="0"/>
    <n v="0"/>
    <n v="0"/>
    <n v="0"/>
    <n v="0"/>
    <n v="0"/>
    <n v="0"/>
    <n v="0"/>
  </r>
  <r>
    <x v="26"/>
    <s v="Amersfoort, UT, NL"/>
    <n v="1151"/>
    <n v="5.21E-2"/>
    <n v="60"/>
    <n v="6"/>
    <n v="0.1"/>
    <n v="0.48"/>
    <n v="4.79"/>
    <n v="28.75"/>
  </r>
  <r>
    <x v="26"/>
    <s v="Utrecht, UT, NL"/>
    <n v="699"/>
    <n v="6.1499999999999999E-2"/>
    <n v="43"/>
    <n v="1"/>
    <n v="2.3300000000000001E-2"/>
    <n v="0.1"/>
    <n v="4.49"/>
    <n v="4.49"/>
  </r>
  <r>
    <x v="27"/>
    <s v="Den Haag, ZH, NL"/>
    <n v="266"/>
    <n v="3.7600000000000001E-2"/>
    <n v="10"/>
    <n v="1"/>
    <n v="0.1"/>
    <n v="0.42"/>
    <n v="4.21"/>
    <n v="4.21"/>
  </r>
  <r>
    <x v="28"/>
    <s v="Roermond, LI, NL"/>
    <n v="6829"/>
    <n v="5.8299999999999998E-2"/>
    <n v="398"/>
    <n v="28"/>
    <n v="7.0400000000000004E-2"/>
    <n v="0.38"/>
    <n v="5.38"/>
    <n v="150.54"/>
  </r>
  <r>
    <x v="28"/>
    <s v="Den Haag, ZH, NL"/>
    <n v="1231"/>
    <n v="8.3699999999999997E-2"/>
    <n v="103"/>
    <n v="14"/>
    <n v="0.13589999999999999"/>
    <n v="0.72"/>
    <n v="5.29"/>
    <n v="74.11"/>
  </r>
  <r>
    <x v="28"/>
    <s v="Utrecht, UT, NL"/>
    <n v="1652"/>
    <n v="5.2699999999999997E-2"/>
    <n v="87"/>
    <n v="11"/>
    <n v="0.12640000000000001"/>
    <n v="0.75"/>
    <n v="5.9"/>
    <n v="64.95"/>
  </r>
  <r>
    <x v="28"/>
    <s v="Zwolle, OV, NL"/>
    <n v="2662"/>
    <n v="5.0299999999999997E-2"/>
    <n v="134"/>
    <n v="7"/>
    <n v="5.2200000000000003E-2"/>
    <n v="0.3"/>
    <n v="5.69"/>
    <n v="39.82"/>
  </r>
  <r>
    <x v="29"/>
    <s v="Amsterdam, NH, NL"/>
    <n v="4365"/>
    <n v="9.6000000000000002E-2"/>
    <n v="419"/>
    <n v="33"/>
    <n v="7.8799999999999995E-2"/>
    <n v="0.5"/>
    <n v="6.39"/>
    <n v="210.9"/>
  </r>
  <r>
    <x v="29"/>
    <s v="Amsterdam, NH, NL"/>
    <n v="499"/>
    <n v="9.0200000000000002E-2"/>
    <n v="45"/>
    <n v="1"/>
    <n v="2.2200000000000001E-2"/>
    <n v="0.22"/>
    <n v="9.6999999999999993"/>
    <n v="9.6999999999999993"/>
  </r>
  <r>
    <x v="29"/>
    <s v="Amsterdam, NH, NL"/>
    <n v="471"/>
    <n v="0.13159999999999999"/>
    <n v="62"/>
    <n v="8"/>
    <n v="0.129"/>
    <n v="0.64"/>
    <n v="4.9800000000000004"/>
    <n v="39.81"/>
  </r>
  <r>
    <x v="30"/>
    <s v="Amsterdam, NH, NL"/>
    <n v="0"/>
    <n v="0"/>
    <n v="0"/>
    <n v="0"/>
    <n v="0"/>
    <n v="0"/>
    <n v="0"/>
    <n v="0"/>
  </r>
  <r>
    <x v="30"/>
    <s v="Amsterdam, NH, NL"/>
    <n v="0"/>
    <n v="0"/>
    <n v="0"/>
    <n v="0"/>
    <n v="0"/>
    <n v="0"/>
    <n v="0"/>
    <n v="0"/>
  </r>
  <r>
    <x v="30"/>
    <s v="Amsterdam, NH, NL"/>
    <n v="435"/>
    <n v="8.9700000000000002E-2"/>
    <n v="39"/>
    <n v="4"/>
    <n v="0.1026"/>
    <n v="0.55000000000000004"/>
    <n v="5.35"/>
    <n v="21.4"/>
  </r>
  <r>
    <x v="30"/>
    <s v="Amsterdam, NH, NL"/>
    <n v="2701"/>
    <n v="7.0699999999999999E-2"/>
    <n v="191"/>
    <n v="18"/>
    <n v="9.4200000000000006E-2"/>
    <n v="0.97"/>
    <n v="10.25"/>
    <n v="184.54"/>
  </r>
  <r>
    <x v="30"/>
    <s v="Amsterdam, NH, NL"/>
    <n v="415"/>
    <n v="0.1084"/>
    <n v="45"/>
    <n v="2"/>
    <n v="4.4400000000000002E-2"/>
    <n v="0.4"/>
    <n v="8.99"/>
    <n v="17.97"/>
  </r>
  <r>
    <x v="30"/>
    <s v="Amsterdam, NH, NL"/>
    <n v="433"/>
    <n v="6.4699999999999994E-2"/>
    <n v="28"/>
    <n v="0"/>
    <n v="0"/>
    <n v="0"/>
    <n v="0"/>
    <n v="0"/>
  </r>
  <r>
    <x v="30"/>
    <s v="Amsterdam, NH, NL"/>
    <n v="510"/>
    <n v="5.4899999999999997E-2"/>
    <n v="28"/>
    <n v="1"/>
    <n v="3.5700000000000003E-2"/>
    <n v="0.19"/>
    <n v="5.41"/>
    <n v="5.41"/>
  </r>
  <r>
    <x v="30"/>
    <s v="Amsterdam, NH, NL"/>
    <n v="1913"/>
    <n v="8.3599999999999994E-2"/>
    <n v="160"/>
    <n v="17"/>
    <n v="0.10630000000000001"/>
    <n v="1.1000000000000001"/>
    <n v="10.34"/>
    <n v="175.76"/>
  </r>
  <r>
    <x v="30"/>
    <s v="Amsterdam, NH, NL"/>
    <n v="1132"/>
    <n v="6.54E-2"/>
    <n v="74"/>
    <n v="3"/>
    <n v="4.0500000000000001E-2"/>
    <n v="0.45"/>
    <n v="11.2"/>
    <n v="33.590000000000003"/>
  </r>
  <r>
    <x v="30"/>
    <s v="Amsterdam, NH, NL"/>
    <n v="2484"/>
    <n v="9.1800000000000007E-2"/>
    <n v="228"/>
    <n v="18"/>
    <n v="7.8899999999999998E-2"/>
    <n v="0.46"/>
    <n v="5.83"/>
    <n v="105.02"/>
  </r>
  <r>
    <x v="30"/>
    <s v="Amsterdam, NH, NL"/>
    <n v="390"/>
    <n v="7.4399999999999994E-2"/>
    <n v="29"/>
    <n v="1"/>
    <n v="3.4500000000000003E-2"/>
    <n v="0.1"/>
    <n v="2.77"/>
    <n v="2.77"/>
  </r>
  <r>
    <x v="30"/>
    <s v="Amsterdam, NH, NL"/>
    <n v="653"/>
    <n v="9.0399999999999994E-2"/>
    <n v="59"/>
    <n v="6"/>
    <n v="0.1017"/>
    <n v="0.68"/>
    <n v="6.69"/>
    <n v="40.159999999999997"/>
  </r>
  <r>
    <x v="30"/>
    <s v="Amsterdam, NH, NL"/>
    <n v="402"/>
    <n v="7.9600000000000004E-2"/>
    <n v="32"/>
    <n v="4"/>
    <n v="0.125"/>
    <n v="0.81"/>
    <n v="6.5"/>
    <n v="26"/>
  </r>
  <r>
    <x v="30"/>
    <s v="Den Haag, ZH, NL"/>
    <n v="292"/>
    <n v="0.1027"/>
    <n v="30"/>
    <n v="3"/>
    <n v="0.1"/>
    <n v="0.47"/>
    <n v="4.6500000000000004"/>
    <n v="13.96"/>
  </r>
  <r>
    <x v="30"/>
    <s v="Den Haag, ZH, NL"/>
    <n v="0"/>
    <n v="0"/>
    <n v="0"/>
    <n v="0"/>
    <n v="0"/>
    <n v="0"/>
    <n v="0"/>
    <n v="0"/>
  </r>
  <r>
    <x v="30"/>
    <s v="Den Haag, ZH, NL"/>
    <n v="340"/>
    <n v="7.3499999999999996E-2"/>
    <n v="25"/>
    <n v="4"/>
    <n v="0.16"/>
    <n v="0.65"/>
    <n v="4.05"/>
    <n v="16.18"/>
  </r>
  <r>
    <x v="30"/>
    <s v="Rotterdam, ZH, NL"/>
    <n v="487"/>
    <n v="8.6199999999999999E-2"/>
    <n v="42"/>
    <n v="3"/>
    <n v="7.1400000000000005E-2"/>
    <n v="0.52"/>
    <n v="7.25"/>
    <n v="21.76"/>
  </r>
  <r>
    <x v="30"/>
    <s v="Utrecht, UT, NL"/>
    <n v="286"/>
    <n v="0.1014"/>
    <n v="29"/>
    <n v="3"/>
    <n v="0.10340000000000001"/>
    <n v="0.36"/>
    <n v="3.45"/>
    <n v="10.35"/>
  </r>
  <r>
    <x v="30"/>
    <s v="Utrecht, UT, NL"/>
    <n v="0"/>
    <n v="0"/>
    <n v="0"/>
    <n v="0"/>
    <n v="0"/>
    <n v="0"/>
    <n v="0"/>
    <n v="0"/>
  </r>
  <r>
    <x v="31"/>
    <s v="Amsterdam, NH, NL"/>
    <n v="149"/>
    <n v="0.1275"/>
    <n v="19"/>
    <n v="4"/>
    <n v="0.21049999999999999"/>
    <n v="1.32"/>
    <n v="6.27"/>
    <n v="25.08"/>
  </r>
  <r>
    <x v="31"/>
    <s v="Amsterdam, NH, NL"/>
    <n v="650"/>
    <n v="0.1"/>
    <n v="65"/>
    <n v="10"/>
    <n v="0.15379999999999999"/>
    <n v="0.25"/>
    <n v="1.64"/>
    <n v="16.41"/>
  </r>
  <r>
    <x v="31"/>
    <s v="Amsterdam, NH, NL"/>
    <n v="1281"/>
    <n v="4.7600000000000003E-2"/>
    <n v="61"/>
    <n v="3"/>
    <n v="4.9200000000000001E-2"/>
    <n v="0.18"/>
    <n v="3.63"/>
    <n v="10.88"/>
  </r>
  <r>
    <x v="32"/>
    <s v="Amsterdam, NH, NL"/>
    <n v="192"/>
    <n v="6.7699999999999996E-2"/>
    <n v="13"/>
    <n v="0"/>
    <n v="0"/>
    <n v="0"/>
    <n v="0"/>
    <n v="0"/>
  </r>
  <r>
    <x v="32"/>
    <s v="Amsterdam, NH, NL"/>
    <n v="501"/>
    <n v="7.3899999999999993E-2"/>
    <n v="37"/>
    <n v="4"/>
    <n v="0.1081"/>
    <n v="0.42"/>
    <n v="3.9"/>
    <n v="15.6"/>
  </r>
  <r>
    <x v="33"/>
    <s v="Amsterdam, NH, NL"/>
    <n v="937"/>
    <n v="9.5000000000000001E-2"/>
    <n v="89"/>
    <n v="5"/>
    <n v="5.62E-2"/>
    <n v="0.43"/>
    <n v="7.63"/>
    <n v="38.159999999999997"/>
  </r>
  <r>
    <x v="33"/>
    <s v="Amsterdam, NH, NL"/>
    <n v="662"/>
    <n v="0.12690000000000001"/>
    <n v="84"/>
    <n v="4"/>
    <n v="4.7600000000000003E-2"/>
    <n v="0.49"/>
    <n v="10.3"/>
    <n v="41.2"/>
  </r>
  <r>
    <x v="33"/>
    <s v="Amsterdam, NH, NL"/>
    <n v="357"/>
    <n v="0.12889999999999999"/>
    <n v="46"/>
    <n v="5"/>
    <n v="0.1087"/>
    <n v="0.45"/>
    <n v="4.13"/>
    <n v="20.64"/>
  </r>
  <r>
    <x v="33"/>
    <s v="Amsterdam, NH, NL"/>
    <n v="373"/>
    <n v="8.8499999999999995E-2"/>
    <n v="33"/>
    <n v="5"/>
    <n v="0.1515"/>
    <n v="0.68"/>
    <n v="4.47"/>
    <n v="22.34"/>
  </r>
  <r>
    <x v="33"/>
    <s v="Amsterdam, NH, NL"/>
    <n v="234"/>
    <n v="7.6899999999999996E-2"/>
    <n v="18"/>
    <n v="2"/>
    <n v="0.1111"/>
    <n v="2.58"/>
    <n v="23.22"/>
    <n v="46.43"/>
  </r>
  <r>
    <x v="33"/>
    <s v="Amsterdam, NH, NL"/>
    <n v="197"/>
    <n v="0.10150000000000001"/>
    <n v="20"/>
    <n v="3"/>
    <n v="0.15"/>
    <n v="2.16"/>
    <n v="14.41"/>
    <n v="43.23"/>
  </r>
  <r>
    <x v="34"/>
    <s v="Amsterdam, NH, NL"/>
    <n v="1661"/>
    <n v="7.8899999999999998E-2"/>
    <n v="131"/>
    <n v="5"/>
    <n v="3.8199999999999998E-2"/>
    <n v="0.46"/>
    <n v="12.17"/>
    <n v="60.87"/>
  </r>
  <r>
    <x v="34"/>
    <s v="Amsterdam, NH, NL"/>
    <n v="382"/>
    <n v="7.3300000000000004E-2"/>
    <n v="28"/>
    <n v="1"/>
    <n v="3.5700000000000003E-2"/>
    <n v="0.26"/>
    <n v="7.3"/>
    <n v="7.3"/>
  </r>
  <r>
    <x v="34"/>
    <s v="Amsterdam, NH, NL"/>
    <n v="741"/>
    <n v="4.99E-2"/>
    <n v="37"/>
    <n v="3"/>
    <n v="8.1100000000000005E-2"/>
    <n v="0.41"/>
    <n v="5.05"/>
    <n v="15.16"/>
  </r>
  <r>
    <x v="34"/>
    <s v="Amsterdam, NH, NL"/>
    <n v="676"/>
    <n v="7.2499999999999995E-2"/>
    <n v="49"/>
    <n v="6"/>
    <n v="0.12239999999999999"/>
    <n v="0.64"/>
    <n v="5.19"/>
    <n v="31.14"/>
  </r>
  <r>
    <x v="34"/>
    <s v="Amsterdam, NH, NL"/>
    <n v="672"/>
    <n v="6.0999999999999999E-2"/>
    <n v="41"/>
    <n v="3"/>
    <n v="7.3200000000000001E-2"/>
    <n v="0.4"/>
    <n v="5.52"/>
    <n v="16.57"/>
  </r>
  <r>
    <x v="34"/>
    <s v="Amsterdam, NH, NL"/>
    <n v="1693"/>
    <n v="8.3900000000000002E-2"/>
    <n v="142"/>
    <n v="8"/>
    <n v="5.6300000000000003E-2"/>
    <n v="0.39"/>
    <n v="6.96"/>
    <n v="55.67"/>
  </r>
  <r>
    <x v="34"/>
    <s v="Amsterdam, NH, NL"/>
    <n v="758"/>
    <n v="6.4600000000000005E-2"/>
    <n v="49"/>
    <n v="4"/>
    <n v="8.1600000000000006E-2"/>
    <n v="0.35"/>
    <n v="4.3"/>
    <n v="17.190000000000001"/>
  </r>
  <r>
    <x v="34"/>
    <s v="Amsterdam, NH, NL"/>
    <n v="356"/>
    <n v="5.62E-2"/>
    <n v="20"/>
    <n v="0"/>
    <n v="0"/>
    <n v="0"/>
    <n v="0"/>
    <n v="0"/>
  </r>
  <r>
    <x v="35"/>
    <s v="Amsterdam, NH, NL"/>
    <n v="254"/>
    <n v="8.2699999999999996E-2"/>
    <n v="21"/>
    <n v="1"/>
    <n v="4.7600000000000003E-2"/>
    <n v="0.3"/>
    <n v="6.35"/>
    <n v="6.35"/>
  </r>
  <r>
    <x v="35"/>
    <s v="Amsterdam, NH, NL"/>
    <n v="552"/>
    <n v="6.3399999999999998E-2"/>
    <n v="35"/>
    <n v="3"/>
    <n v="8.5699999999999998E-2"/>
    <n v="0.92"/>
    <n v="10.71"/>
    <n v="32.14"/>
  </r>
  <r>
    <x v="35"/>
    <s v="Amsterdam, NH, NL"/>
    <n v="714"/>
    <n v="7.8399999999999997E-2"/>
    <n v="56"/>
    <n v="4"/>
    <n v="7.1400000000000005E-2"/>
    <n v="0.84"/>
    <n v="11.8"/>
    <n v="47.19"/>
  </r>
  <r>
    <x v="35"/>
    <s v="Amsterdam, NH, NL"/>
    <n v="247"/>
    <n v="7.6899999999999996E-2"/>
    <n v="19"/>
    <n v="2"/>
    <n v="0.1053"/>
    <n v="0.36"/>
    <n v="3.45"/>
    <n v="6.9"/>
  </r>
  <r>
    <x v="35"/>
    <s v="Amsterdam, NH, NL"/>
    <n v="198"/>
    <n v="4.5499999999999999E-2"/>
    <n v="9"/>
    <n v="0"/>
    <n v="0"/>
    <n v="0"/>
    <n v="0"/>
    <n v="0"/>
  </r>
  <r>
    <x v="35"/>
    <s v="Amsterdam, NH, NL"/>
    <n v="149"/>
    <n v="4.0300000000000002E-2"/>
    <n v="6"/>
    <n v="1"/>
    <n v="0.16669999999999999"/>
    <n v="0"/>
    <n v="0"/>
    <n v="0"/>
  </r>
  <r>
    <x v="36"/>
    <s v="Amersfoort, UT, NL"/>
    <n v="184"/>
    <n v="5.4300000000000001E-2"/>
    <n v="10"/>
    <n v="1"/>
    <n v="0.1"/>
    <n v="0.81"/>
    <n v="8.14"/>
    <n v="8.14"/>
  </r>
  <r>
    <x v="36"/>
    <s v="Amsterdam, NH, NL"/>
    <n v="149"/>
    <n v="0.1208"/>
    <n v="18"/>
    <n v="2"/>
    <n v="0.1111"/>
    <n v="0.56000000000000005"/>
    <n v="5.08"/>
    <n v="10.16"/>
  </r>
  <r>
    <x v="36"/>
    <s v="Amsterdam, NH, NL"/>
    <n v="157"/>
    <n v="1.2699999999999999E-2"/>
    <n v="2"/>
    <n v="0"/>
    <n v="0"/>
    <n v="0"/>
    <n v="0"/>
    <n v="0"/>
  </r>
  <r>
    <x v="36"/>
    <s v="Amsterdam, NH, NL"/>
    <n v="487"/>
    <n v="4.1099999999999998E-2"/>
    <n v="20"/>
    <n v="2"/>
    <n v="0.1"/>
    <n v="1.3"/>
    <n v="12.97"/>
    <n v="25.93"/>
  </r>
  <r>
    <x v="36"/>
    <s v="Amersfoort, UT, NL"/>
    <n v="0"/>
    <n v="0"/>
    <n v="0"/>
    <n v="0"/>
    <n v="0"/>
    <n v="0"/>
    <n v="0"/>
    <n v="0"/>
  </r>
  <r>
    <x v="36"/>
    <s v="Amersfoort, UT, NL"/>
    <n v="381"/>
    <n v="4.99E-2"/>
    <n v="19"/>
    <n v="1"/>
    <n v="5.2600000000000001E-2"/>
    <n v="0.37"/>
    <n v="7.11"/>
    <n v="7.11"/>
  </r>
  <r>
    <x v="36"/>
    <s v="Amersfoort, UT, NL"/>
    <n v="542"/>
    <n v="5.8999999999999997E-2"/>
    <n v="32"/>
    <n v="1"/>
    <n v="3.1300000000000001E-2"/>
    <n v="0.34"/>
    <n v="10.76"/>
    <n v="10.76"/>
  </r>
  <r>
    <x v="36"/>
    <s v="Amersfoort, UT, NL"/>
    <n v="308"/>
    <n v="4.87E-2"/>
    <n v="15"/>
    <n v="1"/>
    <n v="6.6699999999999995E-2"/>
    <n v="0.49"/>
    <n v="7.36"/>
    <n v="7.36"/>
  </r>
  <r>
    <x v="36"/>
    <s v="Amersfoort, UT, NL"/>
    <n v="871"/>
    <n v="3.9E-2"/>
    <n v="34"/>
    <n v="3"/>
    <n v="8.8200000000000001E-2"/>
    <n v="0.32"/>
    <n v="3.62"/>
    <n v="10.86"/>
  </r>
  <r>
    <x v="36"/>
    <s v="Amersfoort, UT, NL"/>
    <n v="504"/>
    <n v="5.9499999999999997E-2"/>
    <n v="30"/>
    <n v="1"/>
    <n v="3.3300000000000003E-2"/>
    <n v="0.3"/>
    <n v="9"/>
    <n v="9"/>
  </r>
  <r>
    <x v="36"/>
    <s v="Sittard, LI, NL"/>
    <n v="3100"/>
    <n v="6.3200000000000006E-2"/>
    <n v="196"/>
    <n v="25"/>
    <n v="0.12759999999999999"/>
    <n v="0.98"/>
    <n v="7.72"/>
    <n v="193.01"/>
  </r>
  <r>
    <x v="36"/>
    <s v="Sittard, LI, NL"/>
    <n v="1201"/>
    <n v="6.4100000000000004E-2"/>
    <n v="77"/>
    <n v="3"/>
    <n v="3.9E-2"/>
    <n v="0.27"/>
    <n v="6.89"/>
    <n v="20.67"/>
  </r>
  <r>
    <x v="36"/>
    <s v="Sittard, LI, NL"/>
    <n v="2587"/>
    <n v="8.1900000000000001E-2"/>
    <n v="212"/>
    <n v="18"/>
    <n v="8.4900000000000003E-2"/>
    <n v="0.52"/>
    <n v="6.09"/>
    <n v="109.53"/>
  </r>
  <r>
    <x v="36"/>
    <s v="Utrecht, UT, NL"/>
    <n v="347"/>
    <n v="3.4599999999999999E-2"/>
    <n v="12"/>
    <n v="0"/>
    <n v="0"/>
    <n v="0"/>
    <n v="0"/>
    <n v="0"/>
  </r>
  <r>
    <x v="36"/>
    <s v="Utrecht, UT, NL"/>
    <n v="422"/>
    <n v="4.4999999999999998E-2"/>
    <n v="19"/>
    <n v="1"/>
    <n v="5.2600000000000001E-2"/>
    <n v="0.27"/>
    <n v="5.15"/>
    <n v="5.15"/>
  </r>
  <r>
    <x v="36"/>
    <s v="Utrecht, UT, NL"/>
    <n v="706"/>
    <n v="4.82E-2"/>
    <n v="34"/>
    <n v="4"/>
    <n v="0.1176"/>
    <n v="0.91"/>
    <n v="7.71"/>
    <n v="30.83"/>
  </r>
  <r>
    <x v="37"/>
    <s v="Amersfoort, UT, NL"/>
    <n v="268"/>
    <n v="4.48E-2"/>
    <n v="12"/>
    <n v="0"/>
    <n v="0"/>
    <n v="0"/>
    <n v="0"/>
    <n v="0"/>
  </r>
  <r>
    <x v="37"/>
    <s v="Utrecht, UT, NL"/>
    <n v="756"/>
    <n v="2.7799999999999998E-2"/>
    <n v="21"/>
    <n v="3"/>
    <n v="0.1429"/>
    <n v="1.73"/>
    <n v="12.08"/>
    <n v="36.229999999999997"/>
  </r>
  <r>
    <x v="38"/>
    <s v="Amersfoort, UT, NL"/>
    <n v="655"/>
    <n v="6.5600000000000006E-2"/>
    <n v="43"/>
    <n v="5"/>
    <n v="0.1163"/>
    <n v="1.37"/>
    <n v="11.79"/>
    <n v="58.94"/>
  </r>
  <r>
    <x v="39"/>
    <s v="Amsterdam, NH, NL"/>
    <n v="431"/>
    <n v="9.0499999999999997E-2"/>
    <n v="39"/>
    <n v="3"/>
    <n v="7.6899999999999996E-2"/>
    <n v="0.4"/>
    <n v="5.15"/>
    <n v="15.46"/>
  </r>
  <r>
    <x v="39"/>
    <s v="Amsterdam, NH, NL"/>
    <n v="444"/>
    <n v="5.8599999999999999E-2"/>
    <n v="26"/>
    <n v="2"/>
    <n v="7.6899999999999996E-2"/>
    <n v="0.42"/>
    <n v="5.51"/>
    <n v="11.02"/>
  </r>
  <r>
    <x v="39"/>
    <s v="Amsterdam, NH, NL"/>
    <n v="1189"/>
    <n v="7.1499999999999994E-2"/>
    <n v="85"/>
    <n v="6"/>
    <n v="7.0599999999999996E-2"/>
    <n v="0.81"/>
    <n v="11.44"/>
    <n v="68.650000000000006"/>
  </r>
  <r>
    <x v="39"/>
    <s v="Amsterdam, NH, NL"/>
    <n v="910"/>
    <n v="7.6899999999999996E-2"/>
    <n v="70"/>
    <n v="3"/>
    <n v="4.2900000000000001E-2"/>
    <n v="0.68"/>
    <n v="15.91"/>
    <n v="47.72"/>
  </r>
  <r>
    <x v="39"/>
    <s v="Amsterdam, NH, NL"/>
    <n v="454"/>
    <n v="7.7100000000000002E-2"/>
    <n v="35"/>
    <n v="3"/>
    <n v="8.5699999999999998E-2"/>
    <n v="0.98"/>
    <n v="11.45"/>
    <n v="34.36"/>
  </r>
  <r>
    <x v="39"/>
    <s v="Amsterdam, NH, NL"/>
    <n v="359"/>
    <n v="8.6400000000000005E-2"/>
    <n v="31"/>
    <n v="3"/>
    <n v="9.6799999999999997E-2"/>
    <n v="0.75"/>
    <n v="7.79"/>
    <n v="23.38"/>
  </r>
  <r>
    <x v="40"/>
    <s v="NL"/>
    <n v="0"/>
    <n v="0"/>
    <n v="0"/>
    <n v="0"/>
    <n v="0"/>
    <n v="0"/>
    <n v="0"/>
    <n v="0"/>
  </r>
  <r>
    <x v="40"/>
    <s v="NL"/>
    <n v="0"/>
    <n v="0"/>
    <n v="0"/>
    <n v="0"/>
    <n v="0"/>
    <n v="0"/>
    <n v="0"/>
    <n v="0"/>
  </r>
  <r>
    <x v="40"/>
    <s v="NL"/>
    <n v="1867"/>
    <n v="5.4100000000000002E-2"/>
    <n v="101"/>
    <n v="8"/>
    <n v="7.9200000000000007E-2"/>
    <n v="0.27"/>
    <n v="3.42"/>
    <n v="27.33"/>
  </r>
  <r>
    <x v="41"/>
    <s v="Amsterdam, NH, NL"/>
    <n v="2298"/>
    <n v="6.5299999999999997E-2"/>
    <n v="150"/>
    <n v="6"/>
    <n v="0.04"/>
    <n v="0.22"/>
    <n v="5.38"/>
    <n v="32.25"/>
  </r>
  <r>
    <x v="41"/>
    <s v="Amsterdam, NH, NL"/>
    <n v="849"/>
    <n v="3.3000000000000002E-2"/>
    <n v="28"/>
    <n v="1"/>
    <n v="3.5700000000000003E-2"/>
    <n v="0.27"/>
    <n v="7.55"/>
    <n v="7.55"/>
  </r>
  <r>
    <x v="41"/>
    <s v="Amsterdam, NH, NL"/>
    <n v="450"/>
    <n v="8.6699999999999999E-2"/>
    <n v="39"/>
    <n v="4"/>
    <n v="0.1026"/>
    <n v="0.6"/>
    <n v="5.83"/>
    <n v="23.33"/>
  </r>
  <r>
    <x v="42"/>
    <s v="Den Haag, ZH, NL"/>
    <n v="759"/>
    <n v="4.87E-2"/>
    <n v="37"/>
    <n v="6"/>
    <n v="0.16220000000000001"/>
    <n v="0.24"/>
    <n v="1.48"/>
    <n v="8.85"/>
  </r>
  <r>
    <x v="42"/>
    <s v="Roermond, LI, NL"/>
    <n v="1100"/>
    <n v="4.6399999999999997E-2"/>
    <n v="51"/>
    <n v="4"/>
    <n v="7.8399999999999997E-2"/>
    <n v="0.23"/>
    <n v="2.93"/>
    <n v="11.72"/>
  </r>
  <r>
    <x v="42"/>
    <s v="Utrecht, UT, NL"/>
    <n v="745"/>
    <n v="4.7E-2"/>
    <n v="35"/>
    <n v="3"/>
    <n v="8.5699999999999998E-2"/>
    <n v="0.15"/>
    <n v="1.74"/>
    <n v="5.21"/>
  </r>
  <r>
    <x v="42"/>
    <s v="Zwolle, OV, NL"/>
    <n v="1373"/>
    <n v="3.7100000000000001E-2"/>
    <n v="51"/>
    <n v="2"/>
    <n v="3.9199999999999999E-2"/>
    <n v="0.28000000000000003"/>
    <n v="7.17"/>
    <n v="14.33"/>
  </r>
  <r>
    <x v="43"/>
    <s v="Den Haag, ZH, NL"/>
    <n v="636"/>
    <n v="5.1900000000000002E-2"/>
    <n v="33"/>
    <n v="4"/>
    <n v="0.1212"/>
    <n v="0.48"/>
    <n v="3.94"/>
    <n v="15.75"/>
  </r>
  <r>
    <x v="43"/>
    <s v="Utrecht, UT, NL"/>
    <n v="495"/>
    <n v="7.0699999999999999E-2"/>
    <n v="35"/>
    <n v="2"/>
    <n v="5.7099999999999998E-2"/>
    <n v="0.13"/>
    <n v="2.33"/>
    <n v="4.66"/>
  </r>
  <r>
    <x v="43"/>
    <s v="Den Haag, ZH, NL"/>
    <n v="848"/>
    <n v="4.2500000000000003E-2"/>
    <n v="36"/>
    <n v="3"/>
    <n v="8.3299999999999999E-2"/>
    <n v="0.54"/>
    <n v="6.45"/>
    <n v="19.34"/>
  </r>
  <r>
    <x v="43"/>
    <s v="Roermond, LI, NL"/>
    <n v="724"/>
    <n v="3.5900000000000001E-2"/>
    <n v="26"/>
    <n v="3"/>
    <n v="0.1154"/>
    <n v="0.61"/>
    <n v="5.24"/>
    <n v="15.73"/>
  </r>
  <r>
    <x v="43"/>
    <s v="Roermond, LI, NL"/>
    <n v="1396"/>
    <n v="5.5899999999999998E-2"/>
    <n v="78"/>
    <n v="3"/>
    <n v="3.85E-2"/>
    <n v="0.28999999999999998"/>
    <n v="7.58"/>
    <n v="22.75"/>
  </r>
  <r>
    <x v="43"/>
    <s v="Utrecht, UT, NL"/>
    <n v="582"/>
    <n v="7.0400000000000004E-2"/>
    <n v="41"/>
    <n v="2"/>
    <n v="4.8800000000000003E-2"/>
    <n v="0.21"/>
    <n v="4.25"/>
    <n v="8.49"/>
  </r>
  <r>
    <x v="43"/>
    <s v="Zwolle, OV, NL"/>
    <n v="651"/>
    <n v="4.4499999999999998E-2"/>
    <n v="29"/>
    <n v="2"/>
    <n v="6.9000000000000006E-2"/>
    <n v="0.55000000000000004"/>
    <n v="7.97"/>
    <n v="15.94"/>
  </r>
  <r>
    <x v="43"/>
    <s v="Zwolle, OV, NL"/>
    <n v="1726"/>
    <n v="5.91E-2"/>
    <n v="102"/>
    <n v="5"/>
    <n v="4.9000000000000002E-2"/>
    <n v="0.28000000000000003"/>
    <n v="5.66"/>
    <n v="28.32"/>
  </r>
  <r>
    <x v="44"/>
    <s v="Den Haag, ZH, NL"/>
    <n v="734"/>
    <n v="4.6300000000000001E-2"/>
    <n v="34"/>
    <n v="3"/>
    <n v="8.8200000000000001E-2"/>
    <n v="0.57999999999999996"/>
    <n v="6.52"/>
    <n v="19.559999999999999"/>
  </r>
  <r>
    <x v="44"/>
    <s v="Utrecht, UT, NL"/>
    <n v="335"/>
    <n v="9.2499999999999999E-2"/>
    <n v="31"/>
    <n v="2"/>
    <n v="6.4500000000000002E-2"/>
    <n v="0.38"/>
    <n v="5.95"/>
    <n v="11.89"/>
  </r>
  <r>
    <x v="44"/>
    <s v="Den Haag, ZH, NL"/>
    <n v="748"/>
    <n v="7.3499999999999996E-2"/>
    <n v="55"/>
    <n v="6"/>
    <n v="0.1091"/>
    <n v="0.68"/>
    <n v="6.2"/>
    <n v="37.18"/>
  </r>
  <r>
    <x v="44"/>
    <s v="Roermond, LI, NL"/>
    <n v="923"/>
    <n v="4.6600000000000003E-2"/>
    <n v="43"/>
    <n v="2"/>
    <n v="4.65E-2"/>
    <n v="0.11"/>
    <n v="2.36"/>
    <n v="4.72"/>
  </r>
  <r>
    <x v="44"/>
    <s v="Roermond, LI, NL"/>
    <n v="837"/>
    <n v="5.5E-2"/>
    <n v="46"/>
    <n v="2"/>
    <n v="4.3499999999999997E-2"/>
    <n v="0.23"/>
    <n v="5.22"/>
    <n v="10.43"/>
  </r>
  <r>
    <x v="44"/>
    <s v="Utrecht, UT, NL"/>
    <n v="151"/>
    <n v="5.96E-2"/>
    <n v="9"/>
    <n v="1"/>
    <n v="0.1111"/>
    <n v="0.67"/>
    <n v="6"/>
    <n v="6"/>
  </r>
  <r>
    <x v="44"/>
    <s v="Utrecht, UT, NL"/>
    <n v="693"/>
    <n v="3.7499999999999999E-2"/>
    <n v="26"/>
    <n v="3"/>
    <n v="0.1154"/>
    <n v="0.13"/>
    <n v="1.1299999999999999"/>
    <n v="3.4"/>
  </r>
  <r>
    <x v="44"/>
    <s v="Zwolle, OV, NL"/>
    <n v="820"/>
    <n v="6.4600000000000005E-2"/>
    <n v="53"/>
    <n v="2"/>
    <n v="3.7699999999999997E-2"/>
    <n v="0.16"/>
    <n v="4.12"/>
    <n v="8.24"/>
  </r>
  <r>
    <x v="44"/>
    <s v="Zwolle, OV, NL"/>
    <n v="775"/>
    <n v="5.16E-2"/>
    <n v="40"/>
    <n v="5"/>
    <n v="0.125"/>
    <n v="0.6"/>
    <n v="4.79"/>
    <n v="23.97"/>
  </r>
  <r>
    <x v="45"/>
    <s v="Utrecht, UT, NL"/>
    <n v="0"/>
    <n v="0"/>
    <n v="0"/>
    <n v="0"/>
    <n v="0"/>
    <n v="0"/>
    <n v="0"/>
    <n v="0"/>
  </r>
  <r>
    <x v="46"/>
    <s v="Amsterdam, NH, NL"/>
    <n v="286"/>
    <n v="8.7400000000000005E-2"/>
    <n v="25"/>
    <n v="10"/>
    <n v="0.4"/>
    <n v="1.43"/>
    <n v="3.58"/>
    <n v="35.75"/>
  </r>
  <r>
    <x v="47"/>
    <s v="Amsterdam, NH, NL"/>
    <n v="540"/>
    <n v="9.4399999999999998E-2"/>
    <n v="51"/>
    <n v="6"/>
    <n v="0.1176"/>
    <n v="0.85"/>
    <n v="7.21"/>
    <n v="43.23"/>
  </r>
  <r>
    <x v="47"/>
    <s v="Amsterdam, NH, NL"/>
    <n v="1655"/>
    <n v="5.3800000000000001E-2"/>
    <n v="89"/>
    <n v="5"/>
    <n v="5.62E-2"/>
    <n v="0.61"/>
    <n v="10.78"/>
    <n v="53.88"/>
  </r>
  <r>
    <x v="48"/>
    <s v="Tilburg, NB, NL"/>
    <n v="85"/>
    <n v="2.35E-2"/>
    <n v="2"/>
    <n v="0"/>
    <n v="0"/>
    <n v="0"/>
    <n v="0"/>
    <n v="0"/>
  </r>
  <r>
    <x v="48"/>
    <s v="Zeist, UT, NL"/>
    <n v="46"/>
    <n v="2.1700000000000001E-2"/>
    <n v="1"/>
    <n v="0"/>
    <n v="0"/>
    <n v="0"/>
    <n v="0"/>
    <n v="0"/>
  </r>
  <r>
    <x v="49"/>
    <s v="Utrecht, UT, NL"/>
    <n v="512"/>
    <n v="3.5200000000000002E-2"/>
    <n v="18"/>
    <n v="0"/>
    <n v="0"/>
    <n v="0"/>
    <n v="0"/>
    <n v="0"/>
  </r>
  <r>
    <x v="49"/>
    <s v="Amersfoort, UT, NL"/>
    <n v="695"/>
    <n v="5.6099999999999997E-2"/>
    <n v="39"/>
    <n v="2"/>
    <n v="5.1299999999999998E-2"/>
    <n v="0.74"/>
    <n v="14.51"/>
    <n v="29.02"/>
  </r>
  <r>
    <x v="0"/>
    <s v="Utrecht, UT, NL"/>
    <n v="168"/>
    <n v="4.1700000000000001E-2"/>
    <n v="7"/>
    <n v="1"/>
    <n v="0.1429"/>
    <n v="1.88"/>
    <n v="13.15"/>
    <n v="13.15"/>
  </r>
  <r>
    <x v="50"/>
    <s v="Amersfoort, UT, NL"/>
    <n v="463"/>
    <n v="4.7500000000000001E-2"/>
    <n v="22"/>
    <n v="0"/>
    <n v="0"/>
    <n v="0"/>
    <n v="0"/>
    <n v="0"/>
  </r>
  <r>
    <x v="50"/>
    <s v="Amersfoort, UT, NL"/>
    <n v="682"/>
    <n v="2.64E-2"/>
    <n v="18"/>
    <n v="2"/>
    <n v="0.1111"/>
    <n v="0.34"/>
    <n v="3.09"/>
    <n v="6.18"/>
  </r>
  <r>
    <x v="51"/>
    <s v="Amsterdam, NH, NL"/>
    <n v="1920"/>
    <n v="8.6499999999999994E-2"/>
    <n v="166"/>
    <n v="9"/>
    <n v="5.4199999999999998E-2"/>
    <n v="0.22"/>
    <n v="4.0599999999999996"/>
    <n v="36.54"/>
  </r>
  <r>
    <x v="51"/>
    <s v="Amsterdam, NH, NL"/>
    <n v="4390"/>
    <n v="9.7299999999999998E-2"/>
    <n v="427"/>
    <n v="33"/>
    <n v="7.7299999999999994E-2"/>
    <n v="0.79"/>
    <n v="10.23"/>
    <n v="337.52"/>
  </r>
  <r>
    <x v="51"/>
    <s v="Amsterdam, NH, NL"/>
    <n v="1536"/>
    <n v="0.1009"/>
    <n v="155"/>
    <n v="14"/>
    <n v="9.0300000000000005E-2"/>
    <n v="0.86"/>
    <n v="9.49"/>
    <n v="132.88999999999999"/>
  </r>
  <r>
    <x v="52"/>
    <s v="Utrecht, UT, NL"/>
    <n v="1559"/>
    <n v="5.7099999999999998E-2"/>
    <n v="89"/>
    <n v="5"/>
    <n v="5.62E-2"/>
    <n v="0.43"/>
    <n v="7.65"/>
    <n v="38.24"/>
  </r>
  <r>
    <x v="52"/>
    <s v="Amersfoort, UT, NL"/>
    <n v="2406"/>
    <n v="7.4800000000000005E-2"/>
    <n v="180"/>
    <n v="14"/>
    <n v="7.7799999999999994E-2"/>
    <n v="0.42"/>
    <n v="5.36"/>
    <n v="75.09"/>
  </r>
  <r>
    <x v="53"/>
    <s v="Amsterdam, NH, NL"/>
    <n v="1156"/>
    <n v="7.2700000000000001E-2"/>
    <n v="84"/>
    <n v="1"/>
    <n v="1.1900000000000001E-2"/>
    <n v="0.09"/>
    <n v="7.97"/>
    <n v="7.97"/>
  </r>
  <r>
    <x v="53"/>
    <s v="Utrecht, UT, NL"/>
    <n v="485"/>
    <n v="5.1499999999999997E-2"/>
    <n v="25"/>
    <n v="0"/>
    <n v="0"/>
    <n v="0"/>
    <n v="0"/>
    <n v="0"/>
  </r>
  <r>
    <x v="53"/>
    <s v="Amsterdam, NH, NL"/>
    <n v="6581"/>
    <n v="0.1042"/>
    <n v="686"/>
    <n v="19"/>
    <n v="2.7699999999999999E-2"/>
    <n v="0.22"/>
    <n v="7.91"/>
    <n v="150.33000000000001"/>
  </r>
  <r>
    <x v="53"/>
    <s v="Amsterdam, NH, NL"/>
    <n v="4969"/>
    <n v="0.1193"/>
    <n v="593"/>
    <n v="25"/>
    <n v="4.2200000000000001E-2"/>
    <n v="0.22"/>
    <n v="5.15"/>
    <n v="128.79"/>
  </r>
  <r>
    <x v="54"/>
    <s v="Amersfoort, UT, NL"/>
    <n v="719"/>
    <n v="2.5000000000000001E-2"/>
    <n v="18"/>
    <n v="1"/>
    <n v="5.5599999999999997E-2"/>
    <n v="0.47"/>
    <n v="8.39"/>
    <n v="8.39"/>
  </r>
  <r>
    <x v="55"/>
    <s v="Utrecht, UT, NL"/>
    <n v="300"/>
    <n v="0.05"/>
    <n v="15"/>
    <n v="1"/>
    <n v="6.6699999999999995E-2"/>
    <n v="0.51"/>
    <n v="7.69"/>
    <n v="7.69"/>
  </r>
  <r>
    <x v="56"/>
    <s v="Amersfoort, UT, NL"/>
    <n v="234"/>
    <n v="2.5600000000000001E-2"/>
    <n v="6"/>
    <n v="0"/>
    <n v="0"/>
    <n v="0"/>
    <n v="0"/>
    <n v="0"/>
  </r>
  <r>
    <x v="57"/>
    <s v="Utrecht, UT, NL"/>
    <n v="435"/>
    <n v="8.9700000000000002E-2"/>
    <n v="39"/>
    <n v="0"/>
    <n v="0"/>
    <n v="0"/>
    <n v="0"/>
    <n v="0"/>
  </r>
  <r>
    <x v="58"/>
    <s v="Zwolle, OV, NL"/>
    <n v="1595"/>
    <n v="2.7E-2"/>
    <n v="43"/>
    <n v="5"/>
    <n v="0.1163"/>
    <n v="0.75"/>
    <n v="6.45"/>
    <n v="32.24"/>
  </r>
  <r>
    <x v="58"/>
    <s v="Zwolle, OV, NL"/>
    <n v="0"/>
    <n v="0"/>
    <n v="0"/>
    <n v="0"/>
    <n v="0"/>
    <n v="0"/>
    <n v="0"/>
    <n v="0"/>
  </r>
  <r>
    <x v="58"/>
    <s v="Den Haag, ZH, NL"/>
    <n v="937"/>
    <n v="3.6299999999999999E-2"/>
    <n v="34"/>
    <n v="1"/>
    <n v="2.9399999999999999E-2"/>
    <n v="0.13"/>
    <n v="4.43"/>
    <n v="4.43"/>
  </r>
  <r>
    <x v="58"/>
    <s v="Zwolle, OV, NL"/>
    <n v="2200"/>
    <n v="4.2299999999999997E-2"/>
    <n v="93"/>
    <n v="4"/>
    <n v="4.2999999999999997E-2"/>
    <n v="0.46"/>
    <n v="10.65"/>
    <n v="42.58"/>
  </r>
  <r>
    <x v="59"/>
    <s v="Utrecht, UT, NL"/>
    <n v="1062"/>
    <n v="6.7799999999999999E-2"/>
    <n v="72"/>
    <n v="9"/>
    <n v="0.125"/>
    <n v="0.61"/>
    <n v="4.9000000000000004"/>
    <n v="44.12"/>
  </r>
  <r>
    <x v="60"/>
    <s v="Amsterdam, NH, NL"/>
    <n v="223"/>
    <n v="4.0399999999999998E-2"/>
    <n v="9"/>
    <n v="0"/>
    <n v="0"/>
    <n v="0"/>
    <n v="0"/>
    <n v="0"/>
  </r>
  <r>
    <x v="60"/>
    <s v="Amsterdam, NH, NL"/>
    <n v="713"/>
    <n v="6.7299999999999999E-2"/>
    <n v="48"/>
    <n v="2"/>
    <n v="4.1700000000000001E-2"/>
    <n v="0.93"/>
    <n v="22.41"/>
    <n v="44.81"/>
  </r>
  <r>
    <x v="60"/>
    <s v="Amsterdam, NH, NL"/>
    <n v="220"/>
    <n v="3.6400000000000002E-2"/>
    <n v="8"/>
    <n v="0"/>
    <n v="0"/>
    <n v="0"/>
    <n v="0"/>
    <n v="0"/>
  </r>
  <r>
    <x v="60"/>
    <s v="Amsterdam, NH, NL"/>
    <n v="551"/>
    <n v="4.36E-2"/>
    <n v="24"/>
    <n v="1"/>
    <n v="4.1700000000000001E-2"/>
    <n v="0.33"/>
    <n v="8.02"/>
    <n v="8.02"/>
  </r>
  <r>
    <x v="60"/>
    <s v="Amsterdam, NH, NL"/>
    <n v="226"/>
    <n v="4.87E-2"/>
    <n v="11"/>
    <n v="1"/>
    <n v="9.0899999999999995E-2"/>
    <n v="0.59"/>
    <n v="6.53"/>
    <n v="6.53"/>
  </r>
  <r>
    <x v="60"/>
    <s v="Amsterdam, NH, NL"/>
    <n v="177"/>
    <n v="2.8199999999999999E-2"/>
    <n v="5"/>
    <n v="2"/>
    <n v="0.4"/>
    <n v="2.0499999999999998"/>
    <n v="5.13"/>
    <n v="10.26"/>
  </r>
  <r>
    <x v="60"/>
    <s v="Den Haag, ZH, NL"/>
    <n v="327"/>
    <n v="4.5900000000000003E-2"/>
    <n v="15"/>
    <n v="1"/>
    <n v="6.6699999999999995E-2"/>
    <n v="0.89"/>
    <n v="13.28"/>
    <n v="13.28"/>
  </r>
  <r>
    <x v="60"/>
    <s v="Den Haag, ZH, NL"/>
    <n v="0"/>
    <n v="0"/>
    <n v="0"/>
    <n v="0"/>
    <n v="0"/>
    <n v="0"/>
    <n v="0"/>
    <n v="0"/>
  </r>
  <r>
    <x v="60"/>
    <s v="Rotterdam, ZH, NL"/>
    <n v="249"/>
    <n v="6.0199999999999997E-2"/>
    <n v="15"/>
    <n v="1"/>
    <n v="6.6699999999999995E-2"/>
    <n v="0.51"/>
    <n v="7.68"/>
    <n v="7.68"/>
  </r>
  <r>
    <x v="60"/>
    <s v="Rotterdam, ZH, NL"/>
    <n v="0"/>
    <n v="0"/>
    <n v="0"/>
    <n v="0"/>
    <n v="0"/>
    <n v="0"/>
    <n v="0"/>
    <n v="0"/>
  </r>
  <r>
    <x v="61"/>
    <s v="Amersfoort, UT, NL"/>
    <n v="1002"/>
    <n v="3.5900000000000001E-2"/>
    <n v="36"/>
    <n v="2"/>
    <n v="5.5599999999999997E-2"/>
    <n v="0.44"/>
    <n v="7.84"/>
    <n v="15.67"/>
  </r>
  <r>
    <x v="61"/>
    <s v="Amsterdam, NH, NL"/>
    <n v="2830"/>
    <n v="4.9500000000000002E-2"/>
    <n v="140"/>
    <n v="10"/>
    <n v="7.1400000000000005E-2"/>
    <n v="0.4"/>
    <n v="5.59"/>
    <n v="55.94"/>
  </r>
  <r>
    <x v="61"/>
    <s v="Den Bosch, NB, NL"/>
    <n v="30"/>
    <n v="3.3300000000000003E-2"/>
    <n v="1"/>
    <n v="1"/>
    <n v="1"/>
    <n v="6"/>
    <n v="6"/>
    <n v="6"/>
  </r>
  <r>
    <x v="61"/>
    <s v="Den Bosch, NB, NL"/>
    <n v="197"/>
    <n v="5.5800000000000002E-2"/>
    <n v="11"/>
    <n v="2"/>
    <n v="0.18179999999999999"/>
    <n v="1.72"/>
    <n v="9.48"/>
    <n v="18.96"/>
  </r>
  <r>
    <x v="61"/>
    <s v="Den Bosch, NB, NL"/>
    <n v="287"/>
    <n v="4.53E-2"/>
    <n v="13"/>
    <n v="0"/>
    <n v="0"/>
    <n v="0"/>
    <n v="0"/>
    <n v="0"/>
  </r>
  <r>
    <x v="61"/>
    <s v="Eindhoven, NB, NL"/>
    <n v="1598"/>
    <n v="4.5699999999999998E-2"/>
    <n v="73"/>
    <n v="9"/>
    <n v="0.12330000000000001"/>
    <n v="1.22"/>
    <n v="9.91"/>
    <n v="89.18"/>
  </r>
  <r>
    <x v="61"/>
    <s v="Utrecht, UT, NL"/>
    <n v="0"/>
    <n v="0"/>
    <n v="0"/>
    <n v="0"/>
    <n v="0"/>
    <n v="0"/>
    <n v="0"/>
    <n v="0"/>
  </r>
  <r>
    <x v="61"/>
    <s v="Utrecht, UT, NL"/>
    <n v="1357"/>
    <n v="4.7899999999999998E-2"/>
    <n v="65"/>
    <n v="5"/>
    <n v="7.6899999999999996E-2"/>
    <n v="0.54"/>
    <n v="7.03"/>
    <n v="35.14"/>
  </r>
  <r>
    <x v="61"/>
    <s v="Utrecht, UT, NL"/>
    <n v="1361"/>
    <n v="3.6700000000000003E-2"/>
    <n v="50"/>
    <n v="3"/>
    <n v="0.06"/>
    <n v="0.78"/>
    <n v="12.99"/>
    <n v="38.979999999999997"/>
  </r>
  <r>
    <x v="61"/>
    <s v="Amsterdam, NH, NL"/>
    <n v="922"/>
    <n v="3.5799999999999998E-2"/>
    <n v="33"/>
    <n v="0"/>
    <n v="0"/>
    <n v="0"/>
    <n v="0"/>
    <n v="0"/>
  </r>
  <r>
    <x v="61"/>
    <s v="Utrecht, UT, NL"/>
    <n v="1162"/>
    <n v="4.82E-2"/>
    <n v="56"/>
    <n v="1"/>
    <n v="1.7899999999999999E-2"/>
    <n v="0.18"/>
    <n v="9.8800000000000008"/>
    <n v="9.8800000000000008"/>
  </r>
  <r>
    <x v="62"/>
    <s v="Amsterdam, NH, NL"/>
    <n v="101"/>
    <n v="5.9400000000000001E-2"/>
    <n v="6"/>
    <n v="0"/>
    <n v="0"/>
    <n v="0"/>
    <n v="0"/>
    <n v="0"/>
  </r>
  <r>
    <x v="62"/>
    <s v="Amsterdam, NH, NL"/>
    <n v="136"/>
    <n v="5.1499999999999997E-2"/>
    <n v="7"/>
    <n v="2"/>
    <n v="0.28570000000000001"/>
    <n v="5.94"/>
    <n v="20.81"/>
    <n v="41.61"/>
  </r>
  <r>
    <x v="62"/>
    <s v="Amsterdam, NH, NL"/>
    <n v="59"/>
    <n v="0.1186"/>
    <n v="7"/>
    <n v="0"/>
    <n v="0"/>
    <n v="0"/>
    <n v="0"/>
    <n v="0"/>
  </r>
  <r>
    <x v="62"/>
    <s v="Amsterdam, NH, NL"/>
    <n v="55"/>
    <n v="7.2700000000000001E-2"/>
    <n v="4"/>
    <n v="1"/>
    <n v="0.25"/>
    <n v="0.81"/>
    <n v="3.23"/>
    <n v="3.23"/>
  </r>
  <r>
    <x v="62"/>
    <s v="Amsterdam, NH, NL"/>
    <n v="23"/>
    <n v="0"/>
    <n v="0"/>
    <n v="0"/>
    <n v="0"/>
    <n v="0"/>
    <n v="0"/>
    <n v="0"/>
  </r>
  <r>
    <x v="62"/>
    <s v="Amsterdam, NH, NL"/>
    <n v="24"/>
    <n v="0.16669999999999999"/>
    <n v="4"/>
    <n v="0"/>
    <n v="0"/>
    <n v="0"/>
    <n v="0"/>
    <n v="0"/>
  </r>
  <r>
    <x v="63"/>
    <s v="Amsterdam, NH, NL"/>
    <n v="456"/>
    <n v="4.1700000000000001E-2"/>
    <n v="19"/>
    <n v="1"/>
    <n v="5.2600000000000001E-2"/>
    <n v="0.22"/>
    <n v="4.21"/>
    <n v="4.21"/>
  </r>
  <r>
    <x v="63"/>
    <s v="Amsterdam, NH, NL"/>
    <n v="340"/>
    <n v="2.9399999999999999E-2"/>
    <n v="10"/>
    <n v="0"/>
    <n v="0"/>
    <n v="0"/>
    <n v="0"/>
    <n v="0"/>
  </r>
  <r>
    <x v="63"/>
    <s v="Amsterdam, NH, NL"/>
    <n v="286"/>
    <n v="3.15E-2"/>
    <n v="9"/>
    <n v="0"/>
    <n v="0"/>
    <n v="0"/>
    <n v="0"/>
    <n v="0"/>
  </r>
  <r>
    <x v="63"/>
    <s v="Amsterdam, NH, NL"/>
    <n v="294"/>
    <n v="2.7199999999999998E-2"/>
    <n v="8"/>
    <n v="1"/>
    <n v="0.125"/>
    <n v="1.36"/>
    <n v="10.91"/>
    <n v="10.91"/>
  </r>
  <r>
    <x v="63"/>
    <s v="Utrecht, UT, NL"/>
    <n v="1"/>
    <n v="0"/>
    <n v="0"/>
    <n v="0"/>
    <n v="0"/>
    <n v="0"/>
    <n v="0"/>
    <n v="0"/>
  </r>
  <r>
    <x v="64"/>
    <s v="Amsterdam, NH, NL"/>
    <n v="108"/>
    <n v="5.5599999999999997E-2"/>
    <n v="6"/>
    <n v="0"/>
    <n v="0"/>
    <n v="0"/>
    <n v="0"/>
    <n v="0"/>
  </r>
  <r>
    <x v="64"/>
    <s v="Amsterdam, NH, NL"/>
    <n v="87"/>
    <n v="2.3E-2"/>
    <n v="2"/>
    <n v="0"/>
    <n v="0"/>
    <n v="0"/>
    <n v="0"/>
    <n v="0"/>
  </r>
  <r>
    <x v="64"/>
    <s v="Amsterdam, NH, NL"/>
    <n v="89"/>
    <n v="3.3700000000000001E-2"/>
    <n v="3"/>
    <n v="0"/>
    <n v="0"/>
    <n v="0"/>
    <n v="0"/>
    <n v="0"/>
  </r>
  <r>
    <x v="64"/>
    <s v="Amsterdam, NH, NL"/>
    <n v="81"/>
    <n v="3.6999999999999998E-2"/>
    <n v="3"/>
    <n v="0"/>
    <n v="0"/>
    <n v="0"/>
    <n v="0"/>
    <n v="0"/>
  </r>
  <r>
    <x v="64"/>
    <s v="Amsterdam, NH, NL"/>
    <n v="57"/>
    <n v="5.2600000000000001E-2"/>
    <n v="3"/>
    <n v="0"/>
    <n v="0"/>
    <n v="0"/>
    <n v="0"/>
    <n v="0"/>
  </r>
  <r>
    <x v="64"/>
    <s v="Amsterdam, NH, NL"/>
    <n v="37"/>
    <n v="0.1081"/>
    <n v="4"/>
    <n v="1"/>
    <n v="0.25"/>
    <n v="2.21"/>
    <n v="8.82"/>
    <n v="8.82"/>
  </r>
  <r>
    <x v="65"/>
    <s v="Den Bosch, NB, NL"/>
    <n v="0"/>
    <n v="0"/>
    <n v="0"/>
    <n v="0"/>
    <n v="0"/>
    <n v="0"/>
    <n v="0"/>
    <n v="0"/>
  </r>
  <r>
    <x v="65"/>
    <s v="Den Bosch, NB, NL"/>
    <n v="97"/>
    <n v="7.22E-2"/>
    <n v="7"/>
    <n v="1"/>
    <n v="0.1429"/>
    <n v="1.96"/>
    <n v="13.75"/>
    <n v="13.75"/>
  </r>
  <r>
    <x v="65"/>
    <s v="Den Bosch, NB, NL"/>
    <n v="226"/>
    <n v="4.87E-2"/>
    <n v="11"/>
    <n v="1"/>
    <n v="9.0899999999999995E-2"/>
    <n v="1.44"/>
    <n v="15.85"/>
    <n v="15.85"/>
  </r>
  <r>
    <x v="65"/>
    <s v="Den Bosch, NB, NL"/>
    <n v="269"/>
    <n v="3.3500000000000002E-2"/>
    <n v="9"/>
    <n v="1"/>
    <n v="0.1111"/>
    <n v="1.06"/>
    <n v="9.52"/>
    <n v="9.52"/>
  </r>
  <r>
    <x v="65"/>
    <s v="Tilburg, NB, NL"/>
    <n v="869"/>
    <n v="3.9100000000000003E-2"/>
    <n v="34"/>
    <n v="1"/>
    <n v="2.9399999999999999E-2"/>
    <n v="0.28999999999999998"/>
    <n v="10.029999999999999"/>
    <n v="10.029999999999999"/>
  </r>
  <r>
    <x v="65"/>
    <s v="Amsterdam, NH, NL"/>
    <n v="504"/>
    <n v="4.1700000000000001E-2"/>
    <n v="21"/>
    <n v="3"/>
    <n v="0.1429"/>
    <n v="0.43"/>
    <n v="3.01"/>
    <n v="9.0399999999999991"/>
  </r>
  <r>
    <x v="65"/>
    <s v="Amsterdam, NH, NL"/>
    <n v="1310"/>
    <n v="7.2499999999999995E-2"/>
    <n v="95"/>
    <n v="10"/>
    <n v="0.1053"/>
    <n v="0.46"/>
    <n v="4.34"/>
    <n v="43.38"/>
  </r>
  <r>
    <x v="65"/>
    <s v="Amsterdam, NH, NL"/>
    <n v="539"/>
    <n v="5.1900000000000002E-2"/>
    <n v="28"/>
    <n v="3"/>
    <n v="0.1071"/>
    <n v="0.8"/>
    <n v="7.5"/>
    <n v="22.5"/>
  </r>
  <r>
    <x v="65"/>
    <s v="NL"/>
    <n v="886"/>
    <n v="2.8199999999999999E-2"/>
    <n v="25"/>
    <n v="2"/>
    <n v="0.08"/>
    <n v="0.6"/>
    <n v="7.45"/>
    <n v="14.9"/>
  </r>
  <r>
    <x v="65"/>
    <s v="NL"/>
    <n v="1204"/>
    <n v="3.9899999999999998E-2"/>
    <n v="48"/>
    <n v="4"/>
    <n v="8.3299999999999999E-2"/>
    <n v="0.4"/>
    <n v="4.82"/>
    <n v="19.27"/>
  </r>
  <r>
    <x v="65"/>
    <s v="NL"/>
    <n v="0"/>
    <n v="0"/>
    <n v="0"/>
    <n v="0"/>
    <n v="0"/>
    <n v="0"/>
    <n v="0"/>
    <n v="0"/>
  </r>
  <r>
    <x v="65"/>
    <s v="NL"/>
    <n v="0"/>
    <n v="0"/>
    <n v="0"/>
    <n v="0"/>
    <n v="0"/>
    <n v="0"/>
    <n v="0"/>
    <n v="0"/>
  </r>
  <r>
    <x v="65"/>
    <s v="Amsterdam, NH, NL"/>
    <n v="93"/>
    <n v="8.5999999999999993E-2"/>
    <n v="8"/>
    <n v="2"/>
    <n v="0.25"/>
    <n v="1.36"/>
    <n v="5.43"/>
    <n v="10.86"/>
  </r>
  <r>
    <x v="65"/>
    <s v="Amsterdam, NH, NL"/>
    <n v="0"/>
    <n v="0"/>
    <n v="0"/>
    <n v="0"/>
    <n v="0"/>
    <n v="0"/>
    <n v="0"/>
    <n v="0"/>
  </r>
  <r>
    <x v="65"/>
    <s v="Amsterdam, NH, NL"/>
    <n v="402"/>
    <n v="4.48E-2"/>
    <n v="18"/>
    <n v="3"/>
    <n v="0.16669999999999999"/>
    <n v="4.26"/>
    <n v="25.54"/>
    <n v="76.63"/>
  </r>
  <r>
    <x v="65"/>
    <s v="Amsterdam, NH, NL"/>
    <n v="1788"/>
    <n v="5.3699999999999998E-2"/>
    <n v="96"/>
    <n v="8"/>
    <n v="8.3299999999999999E-2"/>
    <n v="0.5"/>
    <n v="5.95"/>
    <n v="47.56"/>
  </r>
  <r>
    <x v="65"/>
    <s v="Rotterdam, ZH, NL"/>
    <n v="1235"/>
    <n v="6.4799999999999996E-2"/>
    <n v="80"/>
    <n v="9"/>
    <n v="0.1125"/>
    <n v="0.78"/>
    <n v="6.95"/>
    <n v="62.53"/>
  </r>
  <r>
    <x v="65"/>
    <s v="Tilburg, NB, NL"/>
    <n v="2044"/>
    <n v="6.9500000000000006E-2"/>
    <n v="142"/>
    <n v="17"/>
    <n v="0.1197"/>
    <n v="0.71"/>
    <n v="5.95"/>
    <n v="101.14"/>
  </r>
  <r>
    <x v="65"/>
    <s v="Tilburg, NB, NL"/>
    <n v="1278"/>
    <n v="5.7099999999999998E-2"/>
    <n v="73"/>
    <n v="7"/>
    <n v="9.5899999999999999E-2"/>
    <n v="0.8"/>
    <n v="8.3699999999999992"/>
    <n v="58.59"/>
  </r>
  <r>
    <x v="65"/>
    <s v="Tilburg, NB, NL"/>
    <n v="1015"/>
    <n v="5.8099999999999999E-2"/>
    <n v="59"/>
    <n v="2"/>
    <n v="3.39E-2"/>
    <n v="0.38"/>
    <n v="11.22"/>
    <n v="22.43"/>
  </r>
  <r>
    <x v="66"/>
    <s v="Amsterdam, NH, NL"/>
    <n v="447"/>
    <n v="4.2500000000000003E-2"/>
    <n v="19"/>
    <n v="0"/>
    <n v="0"/>
    <n v="0"/>
    <n v="0"/>
    <n v="0"/>
  </r>
  <r>
    <x v="66"/>
    <s v="Amsterdam, NH, NL"/>
    <n v="237"/>
    <n v="3.3799999999999997E-2"/>
    <n v="8"/>
    <n v="1"/>
    <n v="0.125"/>
    <n v="0.41"/>
    <n v="3.28"/>
    <n v="3.28"/>
  </r>
  <r>
    <x v="66"/>
    <s v="Amsterdam, NH, NL"/>
    <n v="314"/>
    <n v="4.7800000000000002E-2"/>
    <n v="15"/>
    <n v="1"/>
    <n v="6.6699999999999995E-2"/>
    <n v="0.4"/>
    <n v="5.94"/>
    <n v="5.94"/>
  </r>
  <r>
    <x v="66"/>
    <s v="Amsterdam, NH, NL"/>
    <n v="176"/>
    <n v="3.4099999999999998E-2"/>
    <n v="6"/>
    <n v="0"/>
    <n v="0"/>
    <n v="0"/>
    <n v="0"/>
    <n v="0"/>
  </r>
  <r>
    <x v="66"/>
    <s v="Amsterdam, NH, NL"/>
    <n v="142"/>
    <n v="2.8199999999999999E-2"/>
    <n v="4"/>
    <n v="0"/>
    <n v="0"/>
    <n v="0"/>
    <n v="0"/>
    <n v="0"/>
  </r>
  <r>
    <x v="66"/>
    <s v="Amsterdam, NH, NL"/>
    <n v="150"/>
    <n v="7.3300000000000004E-2"/>
    <n v="11"/>
    <n v="0"/>
    <n v="0"/>
    <n v="0"/>
    <n v="0"/>
    <n v="0"/>
  </r>
  <r>
    <x v="67"/>
    <s v="NL"/>
    <n v="1461"/>
    <n v="4.7199999999999999E-2"/>
    <n v="69"/>
    <n v="7"/>
    <n v="0.1014"/>
    <n v="0.69"/>
    <n v="6.8"/>
    <n v="47.6"/>
  </r>
  <r>
    <x v="68"/>
    <s v="Den Haag, ZH, NL"/>
    <n v="1058"/>
    <n v="5.5800000000000002E-2"/>
    <n v="59"/>
    <n v="5"/>
    <n v="8.4699999999999998E-2"/>
    <n v="0.39"/>
    <n v="4.59"/>
    <n v="22.93"/>
  </r>
  <r>
    <x v="68"/>
    <s v="Zwolle, OV, NL"/>
    <n v="2072"/>
    <n v="4.5400000000000003E-2"/>
    <n v="94"/>
    <n v="4"/>
    <n v="4.2599999999999999E-2"/>
    <n v="0.25"/>
    <n v="5.8"/>
    <n v="23.21"/>
  </r>
  <r>
    <x v="69"/>
    <s v="Amsterdam, NH, NL"/>
    <n v="37"/>
    <n v="2.7E-2"/>
    <n v="1"/>
    <n v="0"/>
    <n v="0"/>
    <n v="0"/>
    <n v="0"/>
    <n v="0"/>
  </r>
  <r>
    <x v="68"/>
    <s v="Amsterdam, NH, NL"/>
    <n v="0"/>
    <n v="0"/>
    <n v="0"/>
    <n v="0"/>
    <n v="0"/>
    <n v="0"/>
    <n v="0"/>
    <n v="0"/>
  </r>
  <r>
    <x v="68"/>
    <s v="Den Haag, ZH, NL"/>
    <n v="24"/>
    <n v="8.3299999999999999E-2"/>
    <n v="2"/>
    <n v="0"/>
    <n v="0"/>
    <n v="0"/>
    <n v="0"/>
    <n v="0"/>
  </r>
  <r>
    <x v="70"/>
    <s v="Utrecht, UT, NL"/>
    <n v="288"/>
    <n v="4.1700000000000001E-2"/>
    <n v="12"/>
    <n v="3"/>
    <n v="0.25"/>
    <n v="1.25"/>
    <n v="5.01"/>
    <n v="15.02"/>
  </r>
  <r>
    <x v="71"/>
    <s v="Utrecht, UT, NL"/>
    <n v="219"/>
    <n v="3.2000000000000001E-2"/>
    <n v="7"/>
    <n v="0"/>
    <n v="0"/>
    <n v="0"/>
    <n v="0"/>
    <n v="0"/>
  </r>
  <r>
    <x v="71"/>
    <s v="Amersfoort, UT, NL"/>
    <n v="424"/>
    <n v="3.7699999999999997E-2"/>
    <n v="16"/>
    <n v="0"/>
    <n v="0"/>
    <n v="0"/>
    <n v="0"/>
    <n v="0"/>
  </r>
  <r>
    <x v="72"/>
    <s v="Amsterdam, NH, NL"/>
    <n v="591"/>
    <n v="3.7199999999999997E-2"/>
    <n v="22"/>
    <n v="1"/>
    <n v="4.5499999999999999E-2"/>
    <n v="0.24"/>
    <n v="5.33"/>
    <n v="5.33"/>
  </r>
  <r>
    <x v="72"/>
    <s v="Tilburg, NB, NL"/>
    <n v="95"/>
    <n v="1.0500000000000001E-2"/>
    <n v="1"/>
    <n v="0"/>
    <n v="0"/>
    <n v="0"/>
    <n v="0"/>
    <n v="0"/>
  </r>
  <r>
    <x v="72"/>
    <s v="Utrecht, UT, NL"/>
    <n v="45"/>
    <n v="2.2200000000000001E-2"/>
    <n v="1"/>
    <n v="0"/>
    <n v="0"/>
    <n v="0"/>
    <n v="0"/>
    <n v="0"/>
  </r>
  <r>
    <x v="72"/>
    <s v="Zeist, UT, NL"/>
    <n v="40"/>
    <n v="7.4999999999999997E-2"/>
    <n v="3"/>
    <n v="0"/>
    <n v="0"/>
    <n v="0"/>
    <n v="0"/>
    <n v="0"/>
  </r>
  <r>
    <x v="73"/>
    <s v="Amsterdam, NH, NL"/>
    <n v="599"/>
    <n v="7.1800000000000003E-2"/>
    <n v="43"/>
    <n v="1"/>
    <n v="2.3300000000000001E-2"/>
    <n v="0.17"/>
    <n v="7.28"/>
    <n v="7.28"/>
  </r>
  <r>
    <x v="73"/>
    <s v="Amsterdam, NH, NL"/>
    <n v="1422"/>
    <n v="0.10059999999999999"/>
    <n v="143"/>
    <n v="9"/>
    <n v="6.2899999999999998E-2"/>
    <n v="0.37"/>
    <n v="5.89"/>
    <n v="53.02"/>
  </r>
  <r>
    <x v="73"/>
    <s v="Amersfoort, UT, NL"/>
    <n v="2018"/>
    <n v="0.1031"/>
    <n v="208"/>
    <n v="10"/>
    <n v="4.8099999999999997E-2"/>
    <n v="0.35"/>
    <n v="7.19"/>
    <n v="71.900000000000006"/>
  </r>
  <r>
    <x v="73"/>
    <s v="Amersfoort, UT, NL"/>
    <n v="462"/>
    <n v="9.9599999999999994E-2"/>
    <n v="46"/>
    <n v="2"/>
    <n v="4.3499999999999997E-2"/>
    <n v="0.34"/>
    <n v="7.78"/>
    <n v="15.55"/>
  </r>
  <r>
    <x v="73"/>
    <s v="Amersfoort, UT, NL"/>
    <n v="1045"/>
    <n v="0.1167"/>
    <n v="122"/>
    <n v="5"/>
    <n v="4.1000000000000002E-2"/>
    <n v="0.25"/>
    <n v="6.21"/>
    <n v="31.05"/>
  </r>
  <r>
    <x v="73"/>
    <s v="Eindhoven, NB, NL"/>
    <n v="3137"/>
    <n v="0.1014"/>
    <n v="318"/>
    <n v="7"/>
    <n v="2.1999999999999999E-2"/>
    <n v="0.18"/>
    <n v="8.14"/>
    <n v="56.97"/>
  </r>
  <r>
    <x v="73"/>
    <s v="Rotterdam, ZH, NL"/>
    <n v="1443"/>
    <n v="0.1074"/>
    <n v="155"/>
    <n v="11"/>
    <n v="7.0999999999999994E-2"/>
    <n v="0.61"/>
    <n v="8.57"/>
    <n v="94.28"/>
  </r>
  <r>
    <x v="73"/>
    <s v="Utrecht, UT, NL"/>
    <n v="1278"/>
    <n v="8.6900000000000005E-2"/>
    <n v="111"/>
    <n v="4"/>
    <n v="3.5999999999999997E-2"/>
    <n v="0.26"/>
    <n v="7.14"/>
    <n v="28.57"/>
  </r>
  <r>
    <x v="73"/>
    <s v="Utrecht, UT, NL"/>
    <n v="663"/>
    <n v="9.9500000000000005E-2"/>
    <n v="66"/>
    <n v="7"/>
    <n v="0.1061"/>
    <n v="0.85"/>
    <n v="7.98"/>
    <n v="55.85"/>
  </r>
  <r>
    <x v="73"/>
    <s v="Utrecht, UT, NL"/>
    <n v="1226"/>
    <n v="0.1028"/>
    <n v="126"/>
    <n v="3"/>
    <n v="2.3800000000000002E-2"/>
    <n v="0.15"/>
    <n v="6.18"/>
    <n v="18.53"/>
  </r>
  <r>
    <x v="74"/>
    <s v="Amsterdam, NH, NL"/>
    <n v="4683"/>
    <n v="6.9400000000000003E-2"/>
    <n v="325"/>
    <n v="10"/>
    <n v="3.0800000000000001E-2"/>
    <n v="0.22"/>
    <n v="7.08"/>
    <n v="70.8"/>
  </r>
  <r>
    <x v="74"/>
    <s v="Amsterdam, NH, NL"/>
    <n v="718"/>
    <n v="7.3800000000000004E-2"/>
    <n v="53"/>
    <n v="4"/>
    <n v="7.5499999999999998E-2"/>
    <n v="0.63"/>
    <n v="8.39"/>
    <n v="33.549999999999997"/>
  </r>
  <r>
    <x v="75"/>
    <s v="Amsterdam, NH, NL"/>
    <n v="2"/>
    <n v="0"/>
    <n v="0"/>
    <n v="0"/>
    <n v="0"/>
    <n v="0"/>
    <n v="0"/>
    <n v="0"/>
  </r>
  <r>
    <x v="76"/>
    <s v="Amsterdam, NH, NL"/>
    <n v="898"/>
    <n v="2.5600000000000001E-2"/>
    <n v="23"/>
    <n v="3"/>
    <n v="0.13039999999999999"/>
    <n v="0.73"/>
    <n v="5.59"/>
    <n v="16.77"/>
  </r>
  <r>
    <x v="76"/>
    <s v="Amsterdam, NH, NL"/>
    <n v="218"/>
    <n v="9.1999999999999998E-3"/>
    <n v="2"/>
    <n v="1"/>
    <n v="0.5"/>
    <n v="4.49"/>
    <n v="8.9700000000000006"/>
    <n v="8.9700000000000006"/>
  </r>
  <r>
    <x v="77"/>
    <s v="Amsterdam, NH, NL"/>
    <n v="2215"/>
    <n v="4.2900000000000001E-2"/>
    <n v="95"/>
    <n v="11"/>
    <n v="0.1158"/>
    <n v="0.93"/>
    <n v="8.01"/>
    <n v="88.13"/>
  </r>
  <r>
    <x v="77"/>
    <s v="Amsterdam, NH, NL"/>
    <n v="455"/>
    <n v="3.5200000000000002E-2"/>
    <n v="16"/>
    <n v="2"/>
    <n v="0.125"/>
    <n v="1.1599999999999999"/>
    <n v="9.31"/>
    <n v="18.62"/>
  </r>
  <r>
    <x v="77"/>
    <s v="Utrecht, UT, NL"/>
    <n v="26"/>
    <n v="0"/>
    <n v="0"/>
    <n v="0"/>
    <n v="0"/>
    <n v="0"/>
    <n v="0"/>
    <n v="0"/>
  </r>
  <r>
    <x v="78"/>
    <s v="Delft, ZH, NL"/>
    <n v="740"/>
    <n v="6.6199999999999995E-2"/>
    <n v="49"/>
    <n v="3"/>
    <n v="6.1199999999999997E-2"/>
    <n v="0.52"/>
    <n v="8.44"/>
    <n v="25.32"/>
  </r>
  <r>
    <x v="79"/>
    <s v="NL"/>
    <n v="0"/>
    <n v="0"/>
    <n v="0"/>
    <n v="0"/>
    <n v="0"/>
    <n v="0"/>
    <n v="0"/>
    <n v="0"/>
  </r>
  <r>
    <x v="80"/>
    <s v="Utrecht, UT, NL"/>
    <n v="307"/>
    <n v="4.8899999999999999E-2"/>
    <n v="15"/>
    <n v="0"/>
    <n v="0"/>
    <n v="0"/>
    <n v="0"/>
    <n v="0"/>
  </r>
  <r>
    <x v="81"/>
    <s v="Amersfoort, UT, NL"/>
    <n v="365"/>
    <n v="3.56E-2"/>
    <n v="13"/>
    <n v="1"/>
    <n v="7.6899999999999996E-2"/>
    <n v="0.9"/>
    <n v="11.68"/>
    <n v="11.68"/>
  </r>
  <r>
    <x v="81"/>
    <s v="Utrecht, UT, NL"/>
    <n v="105"/>
    <n v="6.6699999999999995E-2"/>
    <n v="7"/>
    <n v="0"/>
    <n v="0"/>
    <n v="0"/>
    <n v="0"/>
    <n v="0"/>
  </r>
  <r>
    <x v="82"/>
    <s v="Amsterdam, NH, NL"/>
    <n v="0"/>
    <n v="0"/>
    <n v="0"/>
    <n v="0"/>
    <n v="0"/>
    <n v="0"/>
    <n v="0"/>
    <n v="0"/>
  </r>
  <r>
    <x v="82"/>
    <s v="Amsterdam, NH, NL"/>
    <n v="569"/>
    <n v="5.0999999999999997E-2"/>
    <n v="29"/>
    <n v="2"/>
    <n v="6.9000000000000006E-2"/>
    <n v="0.12"/>
    <n v="1.7"/>
    <n v="3.4"/>
  </r>
  <r>
    <x v="82"/>
    <s v="Amsterdam, NH, NL"/>
    <n v="1278"/>
    <n v="2.35E-2"/>
    <n v="30"/>
    <n v="0"/>
    <n v="0"/>
    <n v="0"/>
    <n v="0"/>
    <n v="0"/>
  </r>
  <r>
    <x v="82"/>
    <s v="Amsterdam, NH, NL"/>
    <n v="224"/>
    <n v="8.8999999999999999E-3"/>
    <n v="2"/>
    <n v="0"/>
    <n v="0"/>
    <n v="0"/>
    <n v="0"/>
    <n v="0"/>
  </r>
  <r>
    <x v="82"/>
    <s v="Amsterdam, NH, NL"/>
    <n v="1106"/>
    <n v="4.7E-2"/>
    <n v="52"/>
    <n v="5"/>
    <n v="9.6199999999999994E-2"/>
    <n v="0.7"/>
    <n v="7.26"/>
    <n v="36.28"/>
  </r>
  <r>
    <x v="82"/>
    <s v="Amsterdam, NH, NL"/>
    <n v="951"/>
    <n v="5.2600000000000001E-2"/>
    <n v="50"/>
    <n v="4"/>
    <n v="0.08"/>
    <n v="0.73"/>
    <n v="9.07"/>
    <n v="36.29"/>
  </r>
  <r>
    <x v="82"/>
    <s v="Amsterdam, NH, NL"/>
    <n v="304"/>
    <n v="3.6200000000000003E-2"/>
    <n v="11"/>
    <n v="0"/>
    <n v="0"/>
    <n v="0"/>
    <n v="0"/>
    <n v="0"/>
  </r>
  <r>
    <x v="82"/>
    <s v="Amsterdam, NH, NL"/>
    <n v="316"/>
    <n v="4.4299999999999999E-2"/>
    <n v="14"/>
    <n v="0"/>
    <n v="0"/>
    <n v="0"/>
    <n v="0"/>
    <n v="0"/>
  </r>
  <r>
    <x v="82"/>
    <s v="Amsterdam, NH, NL"/>
    <n v="266"/>
    <n v="4.1399999999999999E-2"/>
    <n v="11"/>
    <n v="1"/>
    <n v="9.0899999999999995E-2"/>
    <n v="0.41"/>
    <n v="4.54"/>
    <n v="4.54"/>
  </r>
  <r>
    <x v="82"/>
    <s v="Amsterdam, NH, NL"/>
    <n v="1192"/>
    <n v="2.6800000000000001E-2"/>
    <n v="32"/>
    <n v="0"/>
    <n v="0"/>
    <n v="0"/>
    <n v="0"/>
    <n v="0"/>
  </r>
  <r>
    <x v="82"/>
    <s v="Amsterdam, NH, NL"/>
    <n v="228"/>
    <n v="3.0700000000000002E-2"/>
    <n v="7"/>
    <n v="0"/>
    <n v="0"/>
    <n v="0"/>
    <n v="0"/>
    <n v="0"/>
  </r>
  <r>
    <x v="82"/>
    <s v="Amsterdam, NH, NL"/>
    <n v="325"/>
    <n v="3.6900000000000002E-2"/>
    <n v="12"/>
    <n v="0"/>
    <n v="0"/>
    <n v="0"/>
    <n v="0"/>
    <n v="0"/>
  </r>
  <r>
    <x v="82"/>
    <s v="Rotterdam, ZH, NL"/>
    <n v="0"/>
    <n v="0"/>
    <n v="0"/>
    <n v="0"/>
    <n v="0"/>
    <n v="0"/>
    <n v="0"/>
    <n v="0"/>
  </r>
  <r>
    <x v="82"/>
    <s v="Rotterdam, ZH, NL"/>
    <n v="493"/>
    <n v="9.9400000000000002E-2"/>
    <n v="49"/>
    <n v="3"/>
    <n v="6.1199999999999997E-2"/>
    <n v="0.49"/>
    <n v="7.98"/>
    <n v="23.94"/>
  </r>
  <r>
    <x v="82"/>
    <s v="Utrecht, UT, NL"/>
    <n v="0"/>
    <n v="0"/>
    <n v="0"/>
    <n v="0"/>
    <n v="0"/>
    <n v="0"/>
    <n v="0"/>
    <n v="0"/>
  </r>
  <r>
    <x v="82"/>
    <s v="Utrecht, UT, NL"/>
    <n v="603"/>
    <n v="7.7899999999999997E-2"/>
    <n v="47"/>
    <n v="3"/>
    <n v="6.3799999999999996E-2"/>
    <n v="0.3"/>
    <n v="4.74"/>
    <n v="14.23"/>
  </r>
  <r>
    <x v="83"/>
    <s v="Den Bosch, NB, NL"/>
    <n v="0"/>
    <n v="0"/>
    <n v="0"/>
    <n v="0"/>
    <n v="0"/>
    <n v="0"/>
    <n v="0"/>
    <n v="0"/>
  </r>
  <r>
    <x v="83"/>
    <s v="Den Bosch, NB, NL"/>
    <n v="45"/>
    <n v="6.6699999999999995E-2"/>
    <n v="3"/>
    <n v="0"/>
    <n v="0"/>
    <n v="0"/>
    <n v="0"/>
    <n v="0"/>
  </r>
  <r>
    <x v="83"/>
    <s v="Den Bosch, NB, NL"/>
    <n v="120"/>
    <n v="0.05"/>
    <n v="6"/>
    <n v="1"/>
    <n v="0.16669999999999999"/>
    <n v="0.96"/>
    <n v="5.74"/>
    <n v="5.74"/>
  </r>
  <r>
    <x v="83"/>
    <s v="Utrecht, UT, NL"/>
    <n v="875"/>
    <n v="3.3099999999999997E-2"/>
    <n v="29"/>
    <n v="4"/>
    <n v="0.13789999999999999"/>
    <n v="1.1499999999999999"/>
    <n v="8.31"/>
    <n v="33.22"/>
  </r>
  <r>
    <x v="84"/>
    <s v="Amsterdam, NH, NL"/>
    <n v="641"/>
    <n v="4.3700000000000003E-2"/>
    <n v="28"/>
    <n v="4"/>
    <n v="0.1429"/>
    <n v="1.42"/>
    <n v="9.9700000000000006"/>
    <n v="39.869999999999997"/>
  </r>
  <r>
    <x v="84"/>
    <s v="Amsterdam, NH, NL"/>
    <n v="117"/>
    <n v="5.1299999999999998E-2"/>
    <n v="6"/>
    <n v="1"/>
    <n v="0.16669999999999999"/>
    <n v="1.63"/>
    <n v="9.7899999999999991"/>
    <n v="9.7899999999999991"/>
  </r>
  <r>
    <x v="84"/>
    <s v="Amsterdam, NH, NL"/>
    <n v="232"/>
    <n v="9.0499999999999997E-2"/>
    <n v="21"/>
    <n v="3"/>
    <n v="0.1429"/>
    <n v="1.35"/>
    <n v="9.4600000000000009"/>
    <n v="28.38"/>
  </r>
  <r>
    <x v="84"/>
    <s v="Amsterdam, NH, NL"/>
    <n v="362"/>
    <n v="7.7299999999999994E-2"/>
    <n v="28"/>
    <n v="1"/>
    <n v="3.5700000000000003E-2"/>
    <n v="0.32"/>
    <n v="8.82"/>
    <n v="8.82"/>
  </r>
  <r>
    <x v="84"/>
    <s v="Amsterdam, NH, NL"/>
    <n v="244"/>
    <n v="0.11070000000000001"/>
    <n v="27"/>
    <n v="2"/>
    <n v="7.4099999999999999E-2"/>
    <n v="0.35"/>
    <n v="4.78"/>
    <n v="9.5500000000000007"/>
  </r>
  <r>
    <x v="84"/>
    <s v="Amsterdam, NH, NL"/>
    <n v="173"/>
    <n v="8.6699999999999999E-2"/>
    <n v="15"/>
    <n v="1"/>
    <n v="6.6699999999999995E-2"/>
    <n v="0.34"/>
    <n v="5.04"/>
    <n v="5.04"/>
  </r>
  <r>
    <x v="84"/>
    <s v="Amsterdam, NH, NL"/>
    <n v="54"/>
    <n v="5.5599999999999997E-2"/>
    <n v="3"/>
    <n v="0"/>
    <n v="0"/>
    <n v="0"/>
    <n v="0"/>
    <n v="0"/>
  </r>
  <r>
    <x v="84"/>
    <s v="Amsterdam, NH, NL"/>
    <n v="82"/>
    <n v="4.8800000000000003E-2"/>
    <n v="4"/>
    <n v="0"/>
    <n v="0"/>
    <n v="0"/>
    <n v="0"/>
    <n v="0"/>
  </r>
  <r>
    <x v="84"/>
    <s v="Amsterdam, NH, NL"/>
    <n v="90"/>
    <n v="0.1"/>
    <n v="9"/>
    <n v="0"/>
    <n v="0"/>
    <n v="0"/>
    <n v="0"/>
    <n v="0"/>
  </r>
  <r>
    <x v="85"/>
    <s v="Amsterdam, NH, NL"/>
    <n v="546"/>
    <n v="2.5600000000000001E-2"/>
    <n v="14"/>
    <n v="0"/>
    <n v="0"/>
    <n v="0"/>
    <n v="0"/>
    <n v="0"/>
  </r>
  <r>
    <x v="85"/>
    <s v="Amsterdam, NH, NL"/>
    <n v="371"/>
    <n v="1.89E-2"/>
    <n v="7"/>
    <n v="2"/>
    <n v="0.28570000000000001"/>
    <n v="1.04"/>
    <n v="3.64"/>
    <n v="7.28"/>
  </r>
  <r>
    <x v="85"/>
    <s v="Amsterdam, NH, NL"/>
    <n v="382"/>
    <n v="2.3599999999999999E-2"/>
    <n v="9"/>
    <n v="0"/>
    <n v="0"/>
    <n v="0"/>
    <n v="0"/>
    <n v="0"/>
  </r>
  <r>
    <x v="85"/>
    <s v="Amsterdam, NH, NL"/>
    <n v="276"/>
    <n v="1.09E-2"/>
    <n v="3"/>
    <n v="0"/>
    <n v="0"/>
    <n v="0"/>
    <n v="0"/>
    <n v="0"/>
  </r>
  <r>
    <x v="86"/>
    <s v="Amsterdam, NH, NL"/>
    <n v="158"/>
    <n v="5.0599999999999999E-2"/>
    <n v="8"/>
    <n v="0"/>
    <n v="0"/>
    <n v="0"/>
    <n v="0"/>
    <n v="0"/>
  </r>
  <r>
    <x v="86"/>
    <s v="Amsterdam, NH, NL"/>
    <n v="180"/>
    <n v="6.1100000000000002E-2"/>
    <n v="11"/>
    <n v="0"/>
    <n v="0"/>
    <n v="0"/>
    <n v="0"/>
    <n v="0"/>
  </r>
  <r>
    <x v="86"/>
    <s v="Amsterdam, NH, NL"/>
    <n v="69"/>
    <n v="1.4500000000000001E-2"/>
    <n v="1"/>
    <n v="0"/>
    <n v="0"/>
    <n v="0"/>
    <n v="0"/>
    <n v="0"/>
  </r>
  <r>
    <x v="86"/>
    <s v="Amsterdam, NH, NL"/>
    <n v="190"/>
    <n v="4.2099999999999999E-2"/>
    <n v="8"/>
    <n v="0"/>
    <n v="0"/>
    <n v="0"/>
    <n v="0"/>
    <n v="0"/>
  </r>
  <r>
    <x v="86"/>
    <s v="Amsterdam, NH, NL"/>
    <n v="92"/>
    <n v="3.2599999999999997E-2"/>
    <n v="3"/>
    <n v="1"/>
    <n v="0.33329999999999999"/>
    <n v="1.96"/>
    <n v="5.87"/>
    <n v="5.87"/>
  </r>
  <r>
    <x v="86"/>
    <s v="Amsterdam, NH, NL"/>
    <n v="85"/>
    <n v="2.35E-2"/>
    <n v="2"/>
    <n v="0"/>
    <n v="0"/>
    <n v="0"/>
    <n v="0"/>
    <n v="0"/>
  </r>
  <r>
    <x v="87"/>
    <s v="Amsterdam, NH, NL"/>
    <n v="520"/>
    <n v="3.85E-2"/>
    <n v="20"/>
    <n v="3"/>
    <n v="0.15"/>
    <n v="1.62"/>
    <n v="10.8"/>
    <n v="32.4"/>
  </r>
  <r>
    <x v="87"/>
    <s v="Sittard, LI, NL"/>
    <n v="243"/>
    <n v="5.3499999999999999E-2"/>
    <n v="13"/>
    <n v="0"/>
    <n v="0"/>
    <n v="0"/>
    <n v="0"/>
    <n v="0"/>
  </r>
  <r>
    <x v="88"/>
    <s v="Amsterdam, NH, NL"/>
    <n v="204"/>
    <n v="0.10290000000000001"/>
    <n v="21"/>
    <n v="0"/>
    <n v="0"/>
    <n v="0"/>
    <n v="0"/>
    <n v="0"/>
  </r>
  <r>
    <x v="88"/>
    <s v="Amsterdam, NH, NL"/>
    <n v="147"/>
    <n v="5.4399999999999997E-2"/>
    <n v="8"/>
    <n v="0"/>
    <n v="0"/>
    <n v="0"/>
    <n v="0"/>
    <n v="0"/>
  </r>
  <r>
    <x v="88"/>
    <s v="Amsterdam, NH, NL"/>
    <n v="357"/>
    <n v="4.2000000000000003E-2"/>
    <n v="15"/>
    <n v="3"/>
    <n v="0.2"/>
    <n v="0.93"/>
    <n v="4.6500000000000004"/>
    <n v="13.94"/>
  </r>
  <r>
    <x v="88"/>
    <s v="Tilburg, NB, NL"/>
    <n v="1282"/>
    <n v="5.2299999999999999E-2"/>
    <n v="67"/>
    <n v="4"/>
    <n v="5.9700000000000003E-2"/>
    <n v="0.41"/>
    <n v="6.94"/>
    <n v="27.75"/>
  </r>
  <r>
    <x v="88"/>
    <s v="Tilburg, NB, NL"/>
    <n v="275"/>
    <n v="1.09E-2"/>
    <n v="3"/>
    <n v="1"/>
    <n v="0.33329999999999999"/>
    <n v="2.4500000000000002"/>
    <n v="7.36"/>
    <n v="7.36"/>
  </r>
  <r>
    <x v="88"/>
    <s v="Tilburg, NB, NL"/>
    <n v="592"/>
    <n v="2.53E-2"/>
    <n v="15"/>
    <n v="1"/>
    <n v="6.6699999999999995E-2"/>
    <n v="0.81"/>
    <n v="12.1"/>
    <n v="12.1"/>
  </r>
  <r>
    <x v="88"/>
    <s v="Tilburg, NB, NL"/>
    <n v="270"/>
    <n v="4.07E-2"/>
    <n v="11"/>
    <n v="1"/>
    <n v="9.0899999999999995E-2"/>
    <n v="0.63"/>
    <n v="6.94"/>
    <n v="6.94"/>
  </r>
  <r>
    <x v="88"/>
    <s v="Tilburg, NB, NL"/>
    <n v="707"/>
    <n v="5.5199999999999999E-2"/>
    <n v="39"/>
    <n v="0"/>
    <n v="0"/>
    <n v="0"/>
    <n v="0"/>
    <n v="0"/>
  </r>
  <r>
    <x v="88"/>
    <s v="Amsterdam, NH, NL"/>
    <n v="382"/>
    <n v="5.7599999999999998E-2"/>
    <n v="22"/>
    <n v="1"/>
    <n v="4.5499999999999999E-2"/>
    <n v="0.17"/>
    <n v="3.74"/>
    <n v="3.74"/>
  </r>
  <r>
    <x v="89"/>
    <s v="Amsterdam, NH, NL"/>
    <n v="701"/>
    <n v="3.9899999999999998E-2"/>
    <n v="28"/>
    <n v="3"/>
    <n v="0.1071"/>
    <n v="1.1499999999999999"/>
    <n v="10.73"/>
    <n v="32.19"/>
  </r>
  <r>
    <x v="89"/>
    <s v="Amsterdam, NH, NL"/>
    <n v="464"/>
    <n v="2.8000000000000001E-2"/>
    <n v="13"/>
    <n v="0"/>
    <n v="0"/>
    <n v="0"/>
    <n v="0"/>
    <n v="0"/>
  </r>
  <r>
    <x v="89"/>
    <s v="Amsterdam, NH, NL"/>
    <n v="383"/>
    <n v="4.1799999999999997E-2"/>
    <n v="16"/>
    <n v="3"/>
    <n v="0.1875"/>
    <n v="1.34"/>
    <n v="7.14"/>
    <n v="21.42"/>
  </r>
  <r>
    <x v="89"/>
    <s v="Amsterdam, NH, NL"/>
    <n v="241"/>
    <n v="4.9799999999999997E-2"/>
    <n v="12"/>
    <n v="1"/>
    <n v="8.3299999999999999E-2"/>
    <n v="0.27"/>
    <n v="3.26"/>
    <n v="3.26"/>
  </r>
  <r>
    <x v="89"/>
    <s v="Amsterdam, NH, NL"/>
    <n v="146"/>
    <n v="1.37E-2"/>
    <n v="2"/>
    <n v="0"/>
    <n v="0"/>
    <n v="0"/>
    <n v="0"/>
    <n v="0"/>
  </r>
  <r>
    <x v="89"/>
    <s v="Amsterdam, NH, NL"/>
    <n v="180"/>
    <n v="0.05"/>
    <n v="9"/>
    <n v="1"/>
    <n v="0.1111"/>
    <n v="0.19"/>
    <n v="1.75"/>
    <n v="1.75"/>
  </r>
  <r>
    <x v="90"/>
    <s v="NL"/>
    <n v="546"/>
    <n v="4.2099999999999999E-2"/>
    <n v="23"/>
    <n v="3"/>
    <n v="0.13039999999999999"/>
    <n v="0.66"/>
    <n v="5.09"/>
    <n v="15.28"/>
  </r>
  <r>
    <x v="91"/>
    <s v="OV, NL"/>
    <n v="127"/>
    <n v="3.15E-2"/>
    <n v="4"/>
    <n v="1"/>
    <n v="0.25"/>
    <n v="2.12"/>
    <n v="8.48"/>
    <n v="8.48"/>
  </r>
  <r>
    <x v="91"/>
    <s v="Tilburg, NB, NL"/>
    <n v="42"/>
    <n v="2.3800000000000002E-2"/>
    <n v="1"/>
    <n v="0"/>
    <n v="0"/>
    <n v="0"/>
    <n v="0"/>
    <n v="0"/>
  </r>
  <r>
    <x v="92"/>
    <s v="Sittard, LI, NL"/>
    <n v="215"/>
    <n v="4.19E-2"/>
    <n v="9"/>
    <n v="0"/>
    <n v="0"/>
    <n v="0"/>
    <n v="0"/>
    <n v="0"/>
  </r>
  <r>
    <x v="92"/>
    <s v="Utrecht, UT, NL"/>
    <n v="108"/>
    <n v="6.4799999999999996E-2"/>
    <n v="7"/>
    <n v="0"/>
    <n v="0"/>
    <n v="0"/>
    <n v="0"/>
    <n v="0"/>
  </r>
  <r>
    <x v="92"/>
    <s v="Sittard, LI, NL"/>
    <n v="74"/>
    <n v="1.35E-2"/>
    <n v="1"/>
    <n v="0"/>
    <n v="0"/>
    <n v="0"/>
    <n v="0"/>
    <n v="0"/>
  </r>
  <r>
    <x v="93"/>
    <s v="Amsterdam, NH, NL"/>
    <n v="268"/>
    <n v="5.6000000000000001E-2"/>
    <n v="15"/>
    <n v="1"/>
    <n v="6.6699999999999995E-2"/>
    <n v="0"/>
    <n v="0"/>
    <n v="0"/>
  </r>
  <r>
    <x v="93"/>
    <s v="Diemen, NH, NL"/>
    <n v="169"/>
    <n v="7.6899999999999996E-2"/>
    <n v="13"/>
    <n v="1"/>
    <n v="7.6899999999999996E-2"/>
    <n v="1.05"/>
    <n v="13.6"/>
    <n v="13.6"/>
  </r>
  <r>
    <x v="93"/>
    <s v="Groningen, GR, NL"/>
    <n v="966"/>
    <n v="4.1399999999999999E-2"/>
    <n v="40"/>
    <n v="1"/>
    <n v="2.5000000000000001E-2"/>
    <n v="0.28000000000000003"/>
    <n v="11.15"/>
    <n v="11.15"/>
  </r>
  <r>
    <x v="93"/>
    <s v="Utrecht, UT, NL"/>
    <n v="191"/>
    <n v="6.2799999999999995E-2"/>
    <n v="12"/>
    <n v="1"/>
    <n v="8.3299999999999999E-2"/>
    <n v="1.4"/>
    <n v="16.82"/>
    <n v="16.82"/>
  </r>
  <r>
    <x v="0"/>
    <s v="Utrecht, UT, NL"/>
    <n v="63"/>
    <n v="1.5900000000000001E-2"/>
    <n v="1"/>
    <n v="0"/>
    <n v="0"/>
    <n v="0"/>
    <n v="0"/>
    <n v="0"/>
  </r>
  <r>
    <x v="94"/>
    <s v="Den Haag, ZH, NL"/>
    <n v="801"/>
    <n v="8.8599999999999998E-2"/>
    <n v="71"/>
    <n v="3"/>
    <n v="4.2299999999999997E-2"/>
    <n v="0.38"/>
    <n v="8.9499999999999993"/>
    <n v="26.86"/>
  </r>
  <r>
    <x v="94"/>
    <s v="Den Haag, ZH, NL"/>
    <n v="0"/>
    <n v="0"/>
    <n v="0"/>
    <n v="0"/>
    <n v="0"/>
    <n v="0"/>
    <n v="0"/>
    <n v="0"/>
  </r>
  <r>
    <x v="94"/>
    <s v="Den Haag, ZH, NL"/>
    <n v="2380"/>
    <n v="9.2899999999999996E-2"/>
    <n v="221"/>
    <n v="17"/>
    <n v="7.6899999999999996E-2"/>
    <n v="0.5"/>
    <n v="6.49"/>
    <n v="110.38"/>
  </r>
  <r>
    <x v="94"/>
    <s v="Roermond, LI, NL"/>
    <n v="2815"/>
    <n v="0.1133"/>
    <n v="319"/>
    <n v="17"/>
    <n v="5.33E-2"/>
    <n v="0.38"/>
    <n v="7.16"/>
    <n v="121.66"/>
  </r>
  <r>
    <x v="94"/>
    <s v="Utrecht, UT, NL"/>
    <n v="584"/>
    <n v="7.7100000000000002E-2"/>
    <n v="45"/>
    <n v="1"/>
    <n v="2.2200000000000001E-2"/>
    <n v="0.48"/>
    <n v="21.6"/>
    <n v="21.6"/>
  </r>
  <r>
    <x v="94"/>
    <s v="Utrecht, UT, NL"/>
    <n v="0"/>
    <n v="0"/>
    <n v="0"/>
    <n v="0"/>
    <n v="0"/>
    <n v="0"/>
    <n v="0"/>
    <n v="0"/>
  </r>
  <r>
    <x v="94"/>
    <s v="Utrecht, UT, NL"/>
    <n v="0"/>
    <n v="0"/>
    <n v="0"/>
    <n v="0"/>
    <n v="0"/>
    <n v="0"/>
    <n v="0"/>
    <n v="0"/>
  </r>
  <r>
    <x v="94"/>
    <s v="Zwolle, OV, NL"/>
    <n v="610"/>
    <n v="7.0499999999999993E-2"/>
    <n v="43"/>
    <n v="3"/>
    <n v="6.9800000000000001E-2"/>
    <n v="0.27"/>
    <n v="3.94"/>
    <n v="11.82"/>
  </r>
  <r>
    <x v="94"/>
    <s v="Zwolle, OV, NL"/>
    <n v="879"/>
    <n v="9.5600000000000004E-2"/>
    <n v="84"/>
    <n v="1"/>
    <n v="1.1900000000000001E-2"/>
    <n v="0.09"/>
    <n v="7.44"/>
    <n v="7.44"/>
  </r>
  <r>
    <x v="94"/>
    <s v="Zwolle, OV, NL"/>
    <n v="0"/>
    <n v="0"/>
    <n v="0"/>
    <n v="0"/>
    <n v="0"/>
    <n v="0"/>
    <n v="0"/>
    <n v="0"/>
  </r>
  <r>
    <x v="94"/>
    <s v="Zwolle, OV, NL"/>
    <n v="0"/>
    <n v="0"/>
    <n v="0"/>
    <n v="0"/>
    <n v="0"/>
    <n v="0"/>
    <n v="0"/>
    <n v="0"/>
  </r>
  <r>
    <x v="94"/>
    <s v="Zwolle, OV, NL"/>
    <n v="3048"/>
    <n v="0.1066"/>
    <n v="325"/>
    <n v="4"/>
    <n v="1.23E-2"/>
    <n v="0.06"/>
    <n v="4.76"/>
    <n v="19.04"/>
  </r>
  <r>
    <x v="95"/>
    <s v="Amersfoort, UT, NL"/>
    <n v="68"/>
    <n v="5.8799999999999998E-2"/>
    <n v="4"/>
    <n v="0"/>
    <n v="0"/>
    <n v="0"/>
    <n v="0"/>
    <n v="0"/>
  </r>
  <r>
    <x v="95"/>
    <s v="Rotterdam, ZH, NL"/>
    <n v="290"/>
    <n v="6.5500000000000003E-2"/>
    <n v="19"/>
    <n v="0"/>
    <n v="0"/>
    <n v="0"/>
    <n v="0"/>
    <n v="0"/>
  </r>
  <r>
    <x v="96"/>
    <s v="Utrecht, UT, NL"/>
    <n v="82"/>
    <n v="4.8800000000000003E-2"/>
    <n v="4"/>
    <n v="0"/>
    <n v="0"/>
    <n v="0"/>
    <n v="0"/>
    <n v="0"/>
  </r>
  <r>
    <x v="96"/>
    <s v="Utrecht, UT, NL"/>
    <n v="239"/>
    <n v="3.7699999999999997E-2"/>
    <n v="9"/>
    <n v="0"/>
    <n v="0"/>
    <n v="0"/>
    <n v="0"/>
    <n v="0"/>
  </r>
  <r>
    <x v="97"/>
    <s v="Amsterdam, NH, NL"/>
    <n v="3369"/>
    <n v="8.43E-2"/>
    <n v="284"/>
    <n v="28"/>
    <n v="9.8599999999999993E-2"/>
    <n v="0.82"/>
    <n v="8.35"/>
    <n v="233.72"/>
  </r>
  <r>
    <x v="97"/>
    <s v="Diemen, NH, NL"/>
    <n v="1605"/>
    <n v="0.1016"/>
    <n v="163"/>
    <n v="18"/>
    <n v="0.1104"/>
    <n v="4.09"/>
    <n v="37.020000000000003"/>
    <n v="666.4"/>
  </r>
  <r>
    <x v="97"/>
    <s v="Groningen, GR, NL"/>
    <n v="2253"/>
    <n v="7.2800000000000004E-2"/>
    <n v="164"/>
    <n v="8"/>
    <n v="4.8800000000000003E-2"/>
    <n v="0.82"/>
    <n v="16.8"/>
    <n v="134.4"/>
  </r>
  <r>
    <x v="97"/>
    <s v="Utrecht, UT, NL"/>
    <n v="1748"/>
    <n v="7.9500000000000001E-2"/>
    <n v="139"/>
    <n v="14"/>
    <n v="0.1007"/>
    <n v="1.29"/>
    <n v="12.8"/>
    <n v="179.2"/>
  </r>
  <r>
    <x v="98"/>
    <s v="Rotterdam, ZH, NL"/>
    <n v="247"/>
    <n v="7.6899999999999996E-2"/>
    <n v="19"/>
    <n v="2"/>
    <n v="0.1053"/>
    <n v="0.39"/>
    <n v="3.7"/>
    <n v="7.4"/>
  </r>
  <r>
    <x v="99"/>
    <s v="Amsterdam, NH, NL"/>
    <n v="1446"/>
    <n v="3.5999999999999997E-2"/>
    <n v="52"/>
    <n v="3"/>
    <n v="5.7700000000000001E-2"/>
    <n v="0.31"/>
    <n v="5.33"/>
    <n v="15.98"/>
  </r>
  <r>
    <x v="100"/>
    <s v="Amsterdam, NH, NL"/>
    <n v="834"/>
    <n v="4.0800000000000003E-2"/>
    <n v="34"/>
    <n v="2"/>
    <n v="5.8799999999999998E-2"/>
    <n v="0.32"/>
    <n v="5.37"/>
    <n v="10.73"/>
  </r>
  <r>
    <x v="100"/>
    <s v="Amsterdam, NH, NL"/>
    <n v="680"/>
    <n v="5.2900000000000003E-2"/>
    <n v="36"/>
    <n v="3"/>
    <n v="8.3299999999999999E-2"/>
    <n v="0.64"/>
    <n v="7.73"/>
    <n v="23.19"/>
  </r>
  <r>
    <x v="100"/>
    <s v="Amsterdam, NH, NL"/>
    <n v="1803"/>
    <n v="4.9399999999999999E-2"/>
    <n v="89"/>
    <n v="10"/>
    <n v="0.1124"/>
    <n v="1"/>
    <n v="8.8800000000000008"/>
    <n v="88.78"/>
  </r>
  <r>
    <x v="100"/>
    <s v="Den Haag, ZH, NL"/>
    <n v="1466"/>
    <n v="5.4600000000000003E-2"/>
    <n v="80"/>
    <n v="11"/>
    <n v="0.13750000000000001"/>
    <n v="1.01"/>
    <n v="7.37"/>
    <n v="81.11"/>
  </r>
  <r>
    <x v="100"/>
    <s v="Den Haag, ZH, NL"/>
    <n v="2883"/>
    <n v="8.1199999999999994E-2"/>
    <n v="234"/>
    <n v="17"/>
    <n v="7.2599999999999998E-2"/>
    <n v="0.35"/>
    <n v="4.8499999999999996"/>
    <n v="82.49"/>
  </r>
  <r>
    <x v="100"/>
    <s v="Roermond, LI, NL"/>
    <n v="1020"/>
    <n v="9.0200000000000002E-2"/>
    <n v="92"/>
    <n v="2"/>
    <n v="2.1700000000000001E-2"/>
    <n v="0.15"/>
    <n v="6.68"/>
    <n v="13.35"/>
  </r>
  <r>
    <x v="100"/>
    <s v="Roermond, LI, NL"/>
    <n v="14611"/>
    <n v="9.4200000000000006E-2"/>
    <n v="1377"/>
    <n v="68"/>
    <n v="4.9399999999999999E-2"/>
    <n v="0.32"/>
    <n v="6.51"/>
    <n v="442.6"/>
  </r>
  <r>
    <x v="100"/>
    <s v="Utrecht, UT, NL"/>
    <n v="585"/>
    <n v="6.1499999999999999E-2"/>
    <n v="36"/>
    <n v="5"/>
    <n v="0.1389"/>
    <n v="0.7"/>
    <n v="5.04"/>
    <n v="25.21"/>
  </r>
  <r>
    <x v="100"/>
    <s v="Utrecht, UT, NL"/>
    <n v="1362"/>
    <n v="7.4899999999999994E-2"/>
    <n v="102"/>
    <n v="10"/>
    <n v="9.8000000000000004E-2"/>
    <n v="0.67"/>
    <n v="6.8"/>
    <n v="68.03"/>
  </r>
  <r>
    <x v="100"/>
    <s v="Zwolle, OV, NL"/>
    <n v="1242"/>
    <n v="8.4500000000000006E-2"/>
    <n v="105"/>
    <n v="3"/>
    <n v="2.86E-2"/>
    <n v="0.14000000000000001"/>
    <n v="4.8899999999999997"/>
    <n v="14.68"/>
  </r>
  <r>
    <x v="100"/>
    <s v="Zwolle, OV, NL"/>
    <n v="18191"/>
    <n v="8.5300000000000001E-2"/>
    <n v="1552"/>
    <n v="45"/>
    <n v="2.9000000000000001E-2"/>
    <n v="0.2"/>
    <n v="6.93"/>
    <n v="311.75"/>
  </r>
  <r>
    <x v="101"/>
    <s v="Amsterdam, NH, NL"/>
    <n v="354"/>
    <n v="5.9299999999999999E-2"/>
    <n v="21"/>
    <n v="6"/>
    <n v="0.28570000000000001"/>
    <n v="0.81"/>
    <n v="2.83"/>
    <n v="16.98"/>
  </r>
  <r>
    <x v="101"/>
    <s v="Amsterdam, NH, NL"/>
    <n v="0"/>
    <n v="0"/>
    <n v="0"/>
    <n v="0"/>
    <n v="0"/>
    <n v="0"/>
    <n v="0"/>
    <n v="0"/>
  </r>
  <r>
    <x v="101"/>
    <s v="Amsterdam, NH, NL"/>
    <n v="0"/>
    <n v="0"/>
    <n v="0"/>
    <n v="0"/>
    <n v="0"/>
    <n v="0"/>
    <n v="0"/>
    <n v="0"/>
  </r>
  <r>
    <x v="101"/>
    <s v="Amsterdam, NH, NL"/>
    <n v="480"/>
    <n v="6.4600000000000005E-2"/>
    <n v="31"/>
    <n v="2"/>
    <n v="6.4500000000000002E-2"/>
    <n v="0.32"/>
    <n v="4.93"/>
    <n v="9.8699999999999992"/>
  </r>
  <r>
    <x v="101"/>
    <s v="Den Haag, ZH, NL"/>
    <n v="302"/>
    <n v="4.6399999999999997E-2"/>
    <n v="14"/>
    <n v="3"/>
    <n v="0.21429999999999999"/>
    <n v="0.85"/>
    <n v="3.95"/>
    <n v="11.86"/>
  </r>
  <r>
    <x v="101"/>
    <s v="Den Haag, ZH, NL"/>
    <n v="276"/>
    <n v="4.7100000000000003E-2"/>
    <n v="13"/>
    <n v="4"/>
    <n v="0.30769999999999997"/>
    <n v="1.22"/>
    <n v="3.98"/>
    <n v="15.9"/>
  </r>
  <r>
    <x v="101"/>
    <s v="Den Haag, ZH, NL"/>
    <n v="73"/>
    <n v="1.37E-2"/>
    <n v="1"/>
    <n v="1"/>
    <n v="1"/>
    <n v="10.71"/>
    <n v="10.71"/>
    <n v="10.71"/>
  </r>
  <r>
    <x v="101"/>
    <s v="Den Haag, ZH, NL"/>
    <n v="0"/>
    <n v="0"/>
    <n v="0"/>
    <n v="0"/>
    <n v="0"/>
    <n v="0"/>
    <n v="0"/>
    <n v="0"/>
  </r>
  <r>
    <x v="101"/>
    <s v="Den Haag, ZH, NL"/>
    <n v="0"/>
    <n v="0"/>
    <n v="0"/>
    <n v="0"/>
    <n v="0"/>
    <n v="0"/>
    <n v="0"/>
    <n v="0"/>
  </r>
  <r>
    <x v="101"/>
    <s v="Utrecht, UT, NL"/>
    <n v="0"/>
    <n v="0"/>
    <n v="0"/>
    <n v="0"/>
    <n v="0"/>
    <n v="0"/>
    <n v="0"/>
    <n v="0"/>
  </r>
  <r>
    <x v="101"/>
    <s v="Amsterdam, NH, NL"/>
    <n v="518"/>
    <n v="8.1100000000000005E-2"/>
    <n v="42"/>
    <n v="3"/>
    <n v="7.1400000000000005E-2"/>
    <n v="0.21"/>
    <n v="2.91"/>
    <n v="8.73"/>
  </r>
  <r>
    <x v="102"/>
    <s v="Amsterdam, NH, NL"/>
    <n v="128"/>
    <n v="5.4699999999999999E-2"/>
    <n v="7"/>
    <n v="1"/>
    <n v="0.1429"/>
    <n v="1.19"/>
    <n v="8.33"/>
    <n v="8.33"/>
  </r>
  <r>
    <x v="102"/>
    <s v="Amsterdam, NH, NL"/>
    <n v="236"/>
    <n v="2.9700000000000001E-2"/>
    <n v="7"/>
    <n v="0"/>
    <n v="0"/>
    <n v="0"/>
    <n v="0"/>
    <n v="0"/>
  </r>
  <r>
    <x v="103"/>
    <s v="Amsterdam, NH, NL"/>
    <n v="1"/>
    <n v="0"/>
    <n v="0"/>
    <n v="0"/>
    <n v="0"/>
    <n v="0"/>
    <n v="0"/>
    <n v="0"/>
  </r>
  <r>
    <x v="104"/>
    <s v="Amsterdam, NH, NL"/>
    <n v="2480"/>
    <n v="0.10440000000000001"/>
    <n v="259"/>
    <n v="26"/>
    <n v="0.1004"/>
    <n v="0.45"/>
    <n v="4.47"/>
    <n v="116.17"/>
  </r>
  <r>
    <x v="105"/>
    <s v="Amersfoort, UT, NL"/>
    <n v="308"/>
    <n v="6.4899999999999999E-2"/>
    <n v="2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D9F66-CF77-4676-A1DE-768143EDFACC}" name="Draaitabel3" cacheId="67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:I109" firstHeaderRow="0" firstDataRow="1" firstDataCol="1"/>
  <pivotFields count="10">
    <pivotField axis="axisRow" showAll="0" sortType="ascending">
      <items count="117">
        <item x="0"/>
        <item m="1" x="106"/>
        <item x="1"/>
        <item x="2"/>
        <item x="4"/>
        <item x="5"/>
        <item x="6"/>
        <item x="7"/>
        <item x="8"/>
        <item x="9"/>
        <item x="10"/>
        <item x="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107"/>
        <item m="1" x="108"/>
        <item x="50"/>
        <item m="1" x="10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114"/>
        <item m="1" x="115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10"/>
        <item m="1" x="111"/>
        <item x="88"/>
        <item m="1" x="112"/>
        <item x="89"/>
        <item x="90"/>
        <item x="91"/>
        <item x="92"/>
        <item x="93"/>
        <item m="1" x="11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8" showAll="0"/>
  </pivotFields>
  <rowFields count="1">
    <field x="0"/>
  </rowFields>
  <rowItems count="10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6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 van Impressions (sponsored)" fld="2" baseField="0" baseItem="0"/>
    <dataField name="Gemiddelde van Cost per click" fld="7" subtotal="average" baseField="0" baseItem="2"/>
    <dataField name="Gemiddelde van Cost per started application" fld="8" subtotal="average" baseField="0" baseItem="2"/>
    <dataField name="Gemiddelde van Click through rate (sponsored)" fld="3" subtotal="average" baseField="0" baseItem="0"/>
    <dataField name="Som van Clicks (sponsored)" fld="4" baseField="0" baseItem="0"/>
    <dataField name="Som van Started applications (sponsored)" fld="5" baseField="0" baseItem="0"/>
    <dataField name="Gemiddelde van Application start rate (sponsored)" fld="6" subtotal="average" baseField="0" baseItem="0"/>
    <dataField name="Som van Total cost" fld="9" baseField="0" baseItem="0" numFmtId="8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7B51B-D337-4467-862A-6E258D5FE5F9}" name="Draaitabel4" cacheId="67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2:C110" firstHeaderRow="1" firstDataRow="1" firstDataCol="1"/>
  <pivotFields count="1">
    <pivotField axis="axisRow" dataField="1" showAll="0" sortType="ascending">
      <items count="118">
        <item x="0"/>
        <item m="1" x="107"/>
        <item x="1"/>
        <item x="2"/>
        <item x="4"/>
        <item x="5"/>
        <item x="6"/>
        <item x="7"/>
        <item x="8"/>
        <item x="9"/>
        <item x="10"/>
        <item x="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108"/>
        <item m="1" x="109"/>
        <item x="50"/>
        <item m="1" x="11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111"/>
        <item m="1" x="112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113"/>
        <item m="1" x="114"/>
        <item x="88"/>
        <item m="1" x="115"/>
        <item x="89"/>
        <item x="90"/>
        <item x="91"/>
        <item x="92"/>
        <item x="93"/>
        <item m="1" x="116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 count="1">
    <field x="0"/>
  </rowFields>
  <rowItems count="10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6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Aantal van Job post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A0B64-EDA3-4214-A4CB-D8866D2B94BE}" name="Tabel2" displayName="Tabel2" ref="A1:N108" totalsRowCount="1" headerRowDxfId="13">
  <autoFilter ref="A1:N107" xr:uid="{A69A0B64-EDA3-4214-A4CB-D8866D2B94BE}">
    <filterColumn colId="0">
      <colorFilter dxfId="14"/>
    </filterColumn>
  </autoFilter>
  <sortState xmlns:xlrd2="http://schemas.microsoft.com/office/spreadsheetml/2017/richdata2" ref="A2:N42">
    <sortCondition ref="A1:A107"/>
  </sortState>
  <tableColumns count="14">
    <tableColumn id="1" xr3:uid="{F955AAE2-6E96-4A1E-8358-455DB5573E30}" name="Vacature" totalsRowLabel="Totaal"/>
    <tableColumn id="2" xr3:uid="{31352248-6763-48E7-B8A3-DEC55594E768}" name="Aantal vacatures" totalsRowFunction="sum" dataDxfId="12"/>
    <tableColumn id="3" xr3:uid="{E9BCEB92-F849-43D0-9215-6920B6686C2B}" name="Som van impressies ()" totalsRowFunction="sum"/>
    <tableColumn id="15" xr3:uid="{2225A148-3C7A-4622-8A52-45D7BBAF1AB6}" name="Som van Clicks ()" totalsRowFunction="sum"/>
    <tableColumn id="4" xr3:uid="{50A8AD89-CA48-4561-8C53-31B250EFF805}" name="Gemiddelde van Cost-per-click" totalsRowFunction="average" totalsRowDxfId="11"/>
    <tableColumn id="16" xr3:uid="{BE29CEF0-610D-4B06-A1E6-B0ECC3302544}" name="Gemiddelde van CTR" totalsRowFunction="average" dataDxfId="9" totalsRowDxfId="10"/>
    <tableColumn id="17" xr3:uid="{302D5046-0438-4A3F-BECE-8AA9957C2A1F}" name="Som van Gestarte sol." totalsRowFunction="sum" dataDxfId="8"/>
    <tableColumn id="5" xr3:uid="{17F0E2A5-1FAA-4C3D-88C5-9BE4F7B7784D}" name="Gemiddelde  € per start sol." totalsRowFunction="average" totalsRowDxfId="7"/>
    <tableColumn id="9" xr3:uid="{A5361188-C205-413E-973A-C4D88DB64EE6}" name="Gemiddelde van % Gestarte sol." totalsRowFunction="average" totalsRowDxfId="6"/>
    <tableColumn id="10" xr3:uid="{7C90B08B-7A9F-45C1-BC77-D124A00E7C30}" name="Som van Kosten (Totaal )" totalsRowFunction="sum" totalsRowDxfId="5"/>
    <tableColumn id="11" xr3:uid="{C5677953-9DD7-485D-A34B-7885C06077E4}" name="Conversies" totalsRowFunction="sum"/>
    <tableColumn id="12" xr3:uid="{32BD9D63-5875-46D6-B38A-10D897DB8DAB}" name="Conversie per vacature" totalsRowFunction="average" dataDxfId="3" totalsRowDxfId="4">
      <calculatedColumnFormula>Tabel2[[#This Row],[Conversies]]/Tabel2[[#This Row],[Aantal vacatures]]</calculatedColumnFormula>
    </tableColumn>
    <tableColumn id="13" xr3:uid="{33DC4251-F834-4787-8569-1C8D7F3B06F3}" name="CPA vacatures met soll." totalsRowFunction="average" totalsRowDxfId="2">
      <calculatedColumnFormula>Tabel2[[#This Row],[Som van Kosten (Totaal )]]/Tabel2[[#This Row],[Conversies]]</calculatedColumnFormula>
    </tableColumn>
    <tableColumn id="14" xr3:uid="{B0F5EBED-74CE-45E6-B8B6-C466A70F13FA}" name="CPA Totaal" totalsRowFunction="custom" dataDxfId="0" totalsRowDxfId="1">
      <totalsRowFormula>Tabel2[[#Totals],[Som van Kosten (Totaal )]]/Tabel2[[#Totals],[Conversies]]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38B2-2CA8-42C5-AB5A-CAF2AAD5CA55}">
  <dimension ref="A1:N112"/>
  <sheetViews>
    <sheetView tabSelected="1" zoomScale="70" zoomScaleNormal="70" workbookViewId="0">
      <selection activeCell="A4" sqref="A4"/>
    </sheetView>
  </sheetViews>
  <sheetFormatPr defaultRowHeight="15.6"/>
  <cols>
    <col min="1" max="1" width="39.75" bestFit="1" customWidth="1"/>
    <col min="2" max="2" width="17.25" bestFit="1" customWidth="1"/>
    <col min="3" max="3" width="21.25" bestFit="1" customWidth="1"/>
    <col min="4" max="4" width="16.875" bestFit="1" customWidth="1"/>
    <col min="5" max="5" width="29.375" style="4" bestFit="1" customWidth="1"/>
    <col min="6" max="6" width="20.375" style="4" bestFit="1" customWidth="1"/>
    <col min="7" max="7" width="21.5" style="4" customWidth="1"/>
    <col min="8" max="8" width="27.25" style="4" bestFit="1" customWidth="1"/>
    <col min="9" max="9" width="29.875" style="5" bestFit="1" customWidth="1"/>
    <col min="10" max="10" width="25" style="4" bestFit="1" customWidth="1"/>
    <col min="11" max="11" width="12.25" bestFit="1" customWidth="1"/>
    <col min="12" max="12" width="22.5" bestFit="1" customWidth="1"/>
    <col min="13" max="13" width="23.5" style="4" bestFit="1" customWidth="1"/>
    <col min="14" max="14" width="11.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7" t="s">
        <v>5</v>
      </c>
      <c r="G1" s="1" t="s">
        <v>6</v>
      </c>
      <c r="H1" s="11" t="s">
        <v>7</v>
      </c>
      <c r="I1" s="7" t="s">
        <v>8</v>
      </c>
      <c r="J1" s="11" t="s">
        <v>9</v>
      </c>
      <c r="K1" s="1" t="s">
        <v>10</v>
      </c>
      <c r="L1" s="1" t="s">
        <v>11</v>
      </c>
      <c r="M1" s="11" t="s">
        <v>12</v>
      </c>
      <c r="N1" s="1" t="s">
        <v>13</v>
      </c>
    </row>
    <row r="2" spans="1:14">
      <c r="A2" s="16" t="s">
        <v>14</v>
      </c>
      <c r="B2">
        <v>1</v>
      </c>
      <c r="C2">
        <v>4667</v>
      </c>
      <c r="D2">
        <v>466</v>
      </c>
      <c r="E2" s="4">
        <v>0.21</v>
      </c>
      <c r="F2" s="5">
        <v>9.9900000000000003E-2</v>
      </c>
      <c r="G2">
        <v>19</v>
      </c>
      <c r="H2" s="4">
        <v>5.18</v>
      </c>
      <c r="I2" s="5">
        <v>4.0800000000000003E-2</v>
      </c>
      <c r="J2" s="4">
        <v>98.4</v>
      </c>
      <c r="K2">
        <v>4</v>
      </c>
      <c r="L2" s="10">
        <f>Tabel2[[#This Row],[Conversies]]/Tabel2[[#This Row],[Aantal vacatures]]</f>
        <v>4</v>
      </c>
      <c r="M2" s="4">
        <f>Tabel2[[#This Row],[Som van Kosten (Totaal )]]/Tabel2[[#This Row],[Conversies]]</f>
        <v>24.6</v>
      </c>
      <c r="N2" s="4">
        <f>Tabel2[[#This Row],[Som van Kosten (Totaal )]]/Tabel2[[#This Row],[Conversies]]</f>
        <v>24.6</v>
      </c>
    </row>
    <row r="3" spans="1:14">
      <c r="A3" s="16" t="s">
        <v>15</v>
      </c>
      <c r="B3">
        <v>1</v>
      </c>
      <c r="C3">
        <v>668</v>
      </c>
      <c r="D3">
        <v>55</v>
      </c>
      <c r="E3" s="4">
        <v>0.61</v>
      </c>
      <c r="F3" s="5">
        <v>8.2299999999999998E-2</v>
      </c>
      <c r="G3">
        <v>4</v>
      </c>
      <c r="H3" s="4">
        <v>8.3699999999999992</v>
      </c>
      <c r="I3" s="5">
        <v>7.2700000000000001E-2</v>
      </c>
      <c r="J3" s="4">
        <v>33.49</v>
      </c>
      <c r="K3">
        <v>1</v>
      </c>
      <c r="L3" s="10">
        <f>Tabel2[[#This Row],[Conversies]]/Tabel2[[#This Row],[Aantal vacatures]]</f>
        <v>1</v>
      </c>
      <c r="M3" s="4">
        <f>Tabel2[[#This Row],[Som van Kosten (Totaal )]]/Tabel2[[#This Row],[Conversies]]</f>
        <v>33.49</v>
      </c>
      <c r="N3" s="4">
        <f>Tabel2[[#This Row],[Som van Kosten (Totaal )]]/Tabel2[[#This Row],[Conversies]]</f>
        <v>33.49</v>
      </c>
    </row>
    <row r="4" spans="1:14">
      <c r="A4" s="16" t="s">
        <v>16</v>
      </c>
      <c r="B4">
        <v>2</v>
      </c>
      <c r="C4">
        <v>497</v>
      </c>
      <c r="D4">
        <v>25</v>
      </c>
      <c r="E4" s="4">
        <v>0.62</v>
      </c>
      <c r="F4" s="5">
        <v>2.5149999999999999E-2</v>
      </c>
      <c r="G4">
        <v>4</v>
      </c>
      <c r="H4" s="4">
        <v>3.86</v>
      </c>
      <c r="I4" s="5">
        <v>0.08</v>
      </c>
      <c r="J4" s="4">
        <v>30.88</v>
      </c>
      <c r="K4">
        <v>2</v>
      </c>
      <c r="L4" s="10">
        <f>Tabel2[[#This Row],[Conversies]]/Tabel2[[#This Row],[Aantal vacatures]]</f>
        <v>1</v>
      </c>
      <c r="M4" s="4">
        <f>Tabel2[[#This Row],[Som van Kosten (Totaal )]]/Tabel2[[#This Row],[Conversies]]</f>
        <v>15.44</v>
      </c>
      <c r="N4" s="4">
        <f>Tabel2[[#This Row],[Som van Kosten (Totaal )]]/Tabel2[[#This Row],[Conversies]]</f>
        <v>15.44</v>
      </c>
    </row>
    <row r="5" spans="1:14">
      <c r="A5" s="16" t="s">
        <v>17</v>
      </c>
      <c r="B5">
        <v>4</v>
      </c>
      <c r="C5">
        <v>6974</v>
      </c>
      <c r="D5">
        <v>516</v>
      </c>
      <c r="E5" s="4">
        <v>0.33999999999999997</v>
      </c>
      <c r="F5" s="5">
        <v>7.4299999999999991E-2</v>
      </c>
      <c r="G5">
        <v>22</v>
      </c>
      <c r="H5" s="4">
        <v>7.2800000000000011</v>
      </c>
      <c r="I5" s="5">
        <v>4.5825000000000005E-2</v>
      </c>
      <c r="J5" s="4">
        <v>182.52</v>
      </c>
      <c r="K5">
        <v>5</v>
      </c>
      <c r="L5" s="10">
        <f>Tabel2[[#This Row],[Conversies]]/Tabel2[[#This Row],[Aantal vacatures]]</f>
        <v>1.25</v>
      </c>
      <c r="M5" s="4">
        <f>Tabel2[[#This Row],[Som van Kosten (Totaal )]]/Tabel2[[#This Row],[Conversies]]</f>
        <v>36.504000000000005</v>
      </c>
      <c r="N5" s="4">
        <f>Tabel2[[#This Row],[Som van Kosten (Totaal )]]/Tabel2[[#This Row],[Conversies]]</f>
        <v>36.504000000000005</v>
      </c>
    </row>
    <row r="6" spans="1:14">
      <c r="A6" s="16" t="s">
        <v>18</v>
      </c>
      <c r="B6">
        <v>1</v>
      </c>
      <c r="C6">
        <v>80</v>
      </c>
      <c r="D6">
        <v>8</v>
      </c>
      <c r="E6" s="4">
        <v>0.21</v>
      </c>
      <c r="F6" s="5">
        <v>0.1</v>
      </c>
      <c r="G6">
        <v>1</v>
      </c>
      <c r="H6" s="4">
        <v>1.7</v>
      </c>
      <c r="I6" s="5">
        <v>0.125</v>
      </c>
      <c r="J6" s="4">
        <v>1.7</v>
      </c>
      <c r="K6">
        <v>1</v>
      </c>
      <c r="L6" s="10">
        <f>Tabel2[[#This Row],[Conversies]]/Tabel2[[#This Row],[Aantal vacatures]]</f>
        <v>1</v>
      </c>
      <c r="M6" s="4">
        <f>Tabel2[[#This Row],[Som van Kosten (Totaal )]]/Tabel2[[#This Row],[Conversies]]</f>
        <v>1.7</v>
      </c>
      <c r="N6" s="4">
        <f>Tabel2[[#This Row],[Som van Kosten (Totaal )]]/Tabel2[[#This Row],[Conversies]]</f>
        <v>1.7</v>
      </c>
    </row>
    <row r="7" spans="1:14">
      <c r="A7" s="16" t="s">
        <v>19</v>
      </c>
      <c r="B7">
        <v>4</v>
      </c>
      <c r="C7">
        <v>13810</v>
      </c>
      <c r="D7">
        <v>1204</v>
      </c>
      <c r="E7" s="4">
        <v>0.67249999999999999</v>
      </c>
      <c r="F7" s="5">
        <v>9.0074999999999988E-2</v>
      </c>
      <c r="G7">
        <v>116</v>
      </c>
      <c r="H7" s="4">
        <v>7.02</v>
      </c>
      <c r="I7" s="5">
        <v>9.8449999999999996E-2</v>
      </c>
      <c r="J7" s="4">
        <v>896.75</v>
      </c>
      <c r="K7">
        <v>19</v>
      </c>
      <c r="L7" s="10">
        <f>Tabel2[[#This Row],[Conversies]]/Tabel2[[#This Row],[Aantal vacatures]]</f>
        <v>4.75</v>
      </c>
      <c r="M7" s="4">
        <f>Tabel2[[#This Row],[Som van Kosten (Totaal )]]/Tabel2[[#This Row],[Conversies]]</f>
        <v>47.19736842105263</v>
      </c>
      <c r="N7" s="4">
        <f>Tabel2[[#This Row],[Som van Kosten (Totaal )]]/Tabel2[[#This Row],[Conversies]]</f>
        <v>47.19736842105263</v>
      </c>
    </row>
    <row r="8" spans="1:14">
      <c r="A8" s="16" t="s">
        <v>20</v>
      </c>
      <c r="B8">
        <v>2</v>
      </c>
      <c r="C8">
        <v>2086</v>
      </c>
      <c r="D8">
        <v>134</v>
      </c>
      <c r="E8" s="4">
        <v>0.64500000000000002</v>
      </c>
      <c r="F8" s="5">
        <v>6.9449999999999998E-2</v>
      </c>
      <c r="G8">
        <v>11</v>
      </c>
      <c r="H8" s="4">
        <v>7.2650000000000006</v>
      </c>
      <c r="I8" s="5">
        <v>9.5250000000000001E-2</v>
      </c>
      <c r="J8" s="4">
        <v>85.31</v>
      </c>
      <c r="K8">
        <v>5</v>
      </c>
      <c r="L8" s="10">
        <f>Tabel2[[#This Row],[Conversies]]/Tabel2[[#This Row],[Aantal vacatures]]</f>
        <v>2.5</v>
      </c>
      <c r="M8" s="4">
        <f>Tabel2[[#This Row],[Som van Kosten (Totaal )]]/Tabel2[[#This Row],[Conversies]]</f>
        <v>17.062000000000001</v>
      </c>
      <c r="N8" s="4">
        <f>Tabel2[[#This Row],[Som van Kosten (Totaal )]]/Tabel2[[#This Row],[Conversies]]</f>
        <v>17.062000000000001</v>
      </c>
    </row>
    <row r="9" spans="1:14">
      <c r="A9" s="16" t="s">
        <v>21</v>
      </c>
      <c r="B9">
        <v>3</v>
      </c>
      <c r="C9">
        <v>5335</v>
      </c>
      <c r="D9">
        <v>526</v>
      </c>
      <c r="E9" s="4">
        <v>0.45333333333333331</v>
      </c>
      <c r="F9" s="5">
        <v>0.10593333333333332</v>
      </c>
      <c r="G9">
        <v>42</v>
      </c>
      <c r="H9" s="4">
        <v>7.0233333333333334</v>
      </c>
      <c r="I9" s="5">
        <v>7.6666666666666661E-2</v>
      </c>
      <c r="J9" s="4">
        <v>260.40999999999997</v>
      </c>
      <c r="K9">
        <v>3</v>
      </c>
      <c r="L9" s="10">
        <f>Tabel2[[#This Row],[Conversies]]/Tabel2[[#This Row],[Aantal vacatures]]</f>
        <v>1</v>
      </c>
      <c r="M9" s="4">
        <f>Tabel2[[#This Row],[Som van Kosten (Totaal )]]/Tabel2[[#This Row],[Conversies]]</f>
        <v>86.803333333333327</v>
      </c>
      <c r="N9" s="4">
        <f>Tabel2[[#This Row],[Som van Kosten (Totaal )]]/Tabel2[[#This Row],[Conversies]]</f>
        <v>86.803333333333327</v>
      </c>
    </row>
    <row r="10" spans="1:14">
      <c r="A10" s="16" t="s">
        <v>22</v>
      </c>
      <c r="B10">
        <v>19</v>
      </c>
      <c r="C10">
        <v>12873</v>
      </c>
      <c r="D10">
        <v>1039</v>
      </c>
      <c r="E10" s="4">
        <v>0.40578947368421053</v>
      </c>
      <c r="F10" s="5">
        <v>6.5126315789473685E-2</v>
      </c>
      <c r="G10">
        <v>87</v>
      </c>
      <c r="H10" s="4">
        <v>4.8805263157894743</v>
      </c>
      <c r="I10" s="5">
        <v>6.308421052631577E-2</v>
      </c>
      <c r="J10" s="4">
        <v>674.86999999999989</v>
      </c>
      <c r="K10">
        <v>18</v>
      </c>
      <c r="L10" s="10">
        <f>Tabel2[[#This Row],[Conversies]]/Tabel2[[#This Row],[Aantal vacatures]]</f>
        <v>0.94736842105263153</v>
      </c>
      <c r="M10" s="4">
        <f>Tabel2[[#This Row],[Som van Kosten (Totaal )]]/Tabel2[[#This Row],[Conversies]]</f>
        <v>37.492777777777775</v>
      </c>
      <c r="N10" s="4">
        <f>Tabel2[[#This Row],[Som van Kosten (Totaal )]]/Tabel2[[#This Row],[Conversies]]</f>
        <v>37.492777777777775</v>
      </c>
    </row>
    <row r="11" spans="1:14">
      <c r="A11" s="16" t="s">
        <v>23</v>
      </c>
      <c r="B11">
        <v>3</v>
      </c>
      <c r="C11">
        <v>2080</v>
      </c>
      <c r="D11">
        <v>145</v>
      </c>
      <c r="E11" s="4">
        <v>0.58333333333333337</v>
      </c>
      <c r="F11" s="5">
        <v>9.1700000000000004E-2</v>
      </c>
      <c r="G11">
        <v>17</v>
      </c>
      <c r="H11" s="4">
        <v>3.8466666666666662</v>
      </c>
      <c r="I11" s="5">
        <v>0.13783333333333334</v>
      </c>
      <c r="J11" s="4">
        <v>52.37</v>
      </c>
      <c r="K11">
        <v>5</v>
      </c>
      <c r="L11" s="10">
        <f>Tabel2[[#This Row],[Conversies]]/Tabel2[[#This Row],[Aantal vacatures]]</f>
        <v>1.6666666666666667</v>
      </c>
      <c r="M11" s="4">
        <f>Tabel2[[#This Row],[Som van Kosten (Totaal )]]/Tabel2[[#This Row],[Conversies]]</f>
        <v>10.474</v>
      </c>
      <c r="N11" s="4">
        <f>Tabel2[[#This Row],[Som van Kosten (Totaal )]]/Tabel2[[#This Row],[Conversies]]</f>
        <v>10.474</v>
      </c>
    </row>
    <row r="12" spans="1:14">
      <c r="A12" s="16" t="s">
        <v>24</v>
      </c>
      <c r="B12">
        <v>2</v>
      </c>
      <c r="C12">
        <v>693</v>
      </c>
      <c r="D12">
        <v>50</v>
      </c>
      <c r="E12" s="4">
        <v>0.21</v>
      </c>
      <c r="F12" s="5">
        <v>7.0800000000000002E-2</v>
      </c>
      <c r="G12">
        <v>4</v>
      </c>
      <c r="H12" s="4">
        <v>1.95</v>
      </c>
      <c r="I12" s="5">
        <v>5.4050000000000001E-2</v>
      </c>
      <c r="J12" s="4">
        <v>15.6</v>
      </c>
      <c r="K12">
        <v>2</v>
      </c>
      <c r="L12" s="10">
        <f>Tabel2[[#This Row],[Conversies]]/Tabel2[[#This Row],[Aantal vacatures]]</f>
        <v>1</v>
      </c>
      <c r="M12" s="4">
        <f>Tabel2[[#This Row],[Som van Kosten (Totaal )]]/Tabel2[[#This Row],[Conversies]]</f>
        <v>7.8</v>
      </c>
      <c r="N12" s="4">
        <f>Tabel2[[#This Row],[Som van Kosten (Totaal )]]/Tabel2[[#This Row],[Conversies]]</f>
        <v>7.8</v>
      </c>
    </row>
    <row r="13" spans="1:14">
      <c r="A13" s="16" t="s">
        <v>25</v>
      </c>
      <c r="B13">
        <v>6</v>
      </c>
      <c r="C13">
        <v>2760</v>
      </c>
      <c r="D13">
        <v>290</v>
      </c>
      <c r="E13" s="4">
        <v>1.1316666666666666</v>
      </c>
      <c r="F13" s="5">
        <v>0.10295</v>
      </c>
      <c r="G13">
        <v>24</v>
      </c>
      <c r="H13" s="4">
        <v>10.693333333333333</v>
      </c>
      <c r="I13" s="5">
        <v>0.10418333333333334</v>
      </c>
      <c r="J13" s="4">
        <v>212</v>
      </c>
      <c r="K13">
        <v>7</v>
      </c>
      <c r="L13" s="10">
        <f>Tabel2[[#This Row],[Conversies]]/Tabel2[[#This Row],[Aantal vacatures]]</f>
        <v>1.1666666666666667</v>
      </c>
      <c r="M13" s="4">
        <f>Tabel2[[#This Row],[Som van Kosten (Totaal )]]/Tabel2[[#This Row],[Conversies]]</f>
        <v>30.285714285714285</v>
      </c>
      <c r="N13" s="4">
        <f>Tabel2[[#This Row],[Som van Kosten (Totaal )]]/Tabel2[[#This Row],[Conversies]]</f>
        <v>30.285714285714285</v>
      </c>
    </row>
    <row r="14" spans="1:14">
      <c r="A14" s="16" t="s">
        <v>26</v>
      </c>
      <c r="B14">
        <v>8</v>
      </c>
      <c r="C14">
        <v>6939</v>
      </c>
      <c r="D14">
        <v>497</v>
      </c>
      <c r="E14" s="4">
        <v>0.36375000000000002</v>
      </c>
      <c r="F14" s="5">
        <v>6.75375E-2</v>
      </c>
      <c r="G14">
        <v>30</v>
      </c>
      <c r="H14" s="4">
        <v>5.8112500000000002</v>
      </c>
      <c r="I14" s="5">
        <v>6.1062499999999999E-2</v>
      </c>
      <c r="J14" s="4">
        <v>203.89999999999998</v>
      </c>
      <c r="K14">
        <v>6</v>
      </c>
      <c r="L14" s="10">
        <f>Tabel2[[#This Row],[Conversies]]/Tabel2[[#This Row],[Aantal vacatures]]</f>
        <v>0.75</v>
      </c>
      <c r="M14" s="4">
        <f>Tabel2[[#This Row],[Som van Kosten (Totaal )]]/Tabel2[[#This Row],[Conversies]]</f>
        <v>33.983333333333327</v>
      </c>
      <c r="N14" s="4">
        <f>Tabel2[[#This Row],[Som van Kosten (Totaal )]]/Tabel2[[#This Row],[Conversies]]</f>
        <v>33.983333333333327</v>
      </c>
    </row>
    <row r="15" spans="1:14">
      <c r="A15" s="16" t="s">
        <v>27</v>
      </c>
      <c r="B15">
        <v>6</v>
      </c>
      <c r="C15">
        <v>2114</v>
      </c>
      <c r="D15">
        <v>146</v>
      </c>
      <c r="E15" s="4">
        <v>0.40333333333333332</v>
      </c>
      <c r="F15" s="5">
        <v>6.4533333333333331E-2</v>
      </c>
      <c r="G15">
        <v>11</v>
      </c>
      <c r="H15" s="4">
        <v>5.3850000000000007</v>
      </c>
      <c r="I15" s="5">
        <v>7.9450000000000007E-2</v>
      </c>
      <c r="J15" s="4">
        <v>92.580000000000013</v>
      </c>
      <c r="K15">
        <v>5</v>
      </c>
      <c r="L15" s="10">
        <f>Tabel2[[#This Row],[Conversies]]/Tabel2[[#This Row],[Aantal vacatures]]</f>
        <v>0.83333333333333337</v>
      </c>
      <c r="M15" s="4">
        <f>Tabel2[[#This Row],[Som van Kosten (Totaal )]]/Tabel2[[#This Row],[Conversies]]</f>
        <v>18.516000000000002</v>
      </c>
      <c r="N15" s="4">
        <f>Tabel2[[#This Row],[Som van Kosten (Totaal )]]/Tabel2[[#This Row],[Conversies]]</f>
        <v>18.516000000000002</v>
      </c>
    </row>
    <row r="16" spans="1:14">
      <c r="A16" s="16" t="s">
        <v>28</v>
      </c>
      <c r="B16">
        <v>16</v>
      </c>
      <c r="C16">
        <v>11946</v>
      </c>
      <c r="D16">
        <v>730</v>
      </c>
      <c r="E16" s="4">
        <v>0.46499999999999997</v>
      </c>
      <c r="F16" s="5">
        <v>5.1375000000000004E-2</v>
      </c>
      <c r="G16">
        <v>63</v>
      </c>
      <c r="H16" s="4">
        <v>6.1</v>
      </c>
      <c r="I16" s="5">
        <v>6.2806250000000008E-2</v>
      </c>
      <c r="J16" s="4">
        <v>448.50999999999993</v>
      </c>
      <c r="K16">
        <v>17</v>
      </c>
      <c r="L16" s="10">
        <f>Tabel2[[#This Row],[Conversies]]/Tabel2[[#This Row],[Aantal vacatures]]</f>
        <v>1.0625</v>
      </c>
      <c r="M16" s="4">
        <f>Tabel2[[#This Row],[Som van Kosten (Totaal )]]/Tabel2[[#This Row],[Conversies]]</f>
        <v>26.382941176470585</v>
      </c>
      <c r="N16" s="4">
        <f>Tabel2[[#This Row],[Som van Kosten (Totaal )]]/Tabel2[[#This Row],[Conversies]]</f>
        <v>26.382941176470585</v>
      </c>
    </row>
    <row r="17" spans="1:14">
      <c r="A17" s="16" t="s">
        <v>29</v>
      </c>
      <c r="B17">
        <v>6</v>
      </c>
      <c r="C17">
        <v>3787</v>
      </c>
      <c r="D17">
        <v>286</v>
      </c>
      <c r="E17" s="4">
        <v>0.67333333333333334</v>
      </c>
      <c r="F17" s="5">
        <v>7.6833333333333323E-2</v>
      </c>
      <c r="G17">
        <v>20</v>
      </c>
      <c r="H17" s="4">
        <v>9.5416666666666679</v>
      </c>
      <c r="I17" s="5">
        <v>7.4966666666666668E-2</v>
      </c>
      <c r="J17" s="4">
        <v>200.59000000000003</v>
      </c>
      <c r="K17">
        <v>5</v>
      </c>
      <c r="L17" s="10">
        <f>Tabel2[[#This Row],[Conversies]]/Tabel2[[#This Row],[Aantal vacatures]]</f>
        <v>0.83333333333333337</v>
      </c>
      <c r="M17" s="4">
        <f>Tabel2[[#This Row],[Som van Kosten (Totaal )]]/Tabel2[[#This Row],[Conversies]]</f>
        <v>40.118000000000009</v>
      </c>
      <c r="N17" s="4">
        <f>Tabel2[[#This Row],[Som van Kosten (Totaal )]]/Tabel2[[#This Row],[Conversies]]</f>
        <v>40.118000000000009</v>
      </c>
    </row>
    <row r="18" spans="1:14">
      <c r="A18" s="16" t="s">
        <v>30</v>
      </c>
      <c r="B18">
        <v>4</v>
      </c>
      <c r="C18">
        <v>3977</v>
      </c>
      <c r="D18">
        <v>174</v>
      </c>
      <c r="E18" s="4">
        <v>0.22500000000000001</v>
      </c>
      <c r="F18" s="5">
        <v>4.48E-2</v>
      </c>
      <c r="G18">
        <v>15</v>
      </c>
      <c r="H18" s="4">
        <v>3.33</v>
      </c>
      <c r="I18" s="5">
        <v>9.1375000000000012E-2</v>
      </c>
      <c r="J18" s="4">
        <v>40.11</v>
      </c>
      <c r="K18">
        <v>6</v>
      </c>
      <c r="L18" s="10">
        <f>Tabel2[[#This Row],[Conversies]]/Tabel2[[#This Row],[Aantal vacatures]]</f>
        <v>1.5</v>
      </c>
      <c r="M18" s="4">
        <f>Tabel2[[#This Row],[Som van Kosten (Totaal )]]/Tabel2[[#This Row],[Conversies]]</f>
        <v>6.6849999999999996</v>
      </c>
      <c r="N18" s="4">
        <f>Tabel2[[#This Row],[Som van Kosten (Totaal )]]/Tabel2[[#This Row],[Conversies]]</f>
        <v>6.6849999999999996</v>
      </c>
    </row>
    <row r="19" spans="1:14">
      <c r="A19" s="16" t="s">
        <v>31</v>
      </c>
      <c r="B19">
        <v>1</v>
      </c>
      <c r="C19">
        <v>286</v>
      </c>
      <c r="D19">
        <v>25</v>
      </c>
      <c r="E19" s="4">
        <v>1.43</v>
      </c>
      <c r="F19" s="5">
        <v>8.7400000000000005E-2</v>
      </c>
      <c r="G19">
        <v>10</v>
      </c>
      <c r="H19" s="4">
        <v>3.58</v>
      </c>
      <c r="I19" s="5">
        <v>0.4</v>
      </c>
      <c r="J19" s="4">
        <v>35.75</v>
      </c>
      <c r="K19">
        <v>2</v>
      </c>
      <c r="L19" s="10">
        <f>Tabel2[[#This Row],[Conversies]]/Tabel2[[#This Row],[Aantal vacatures]]</f>
        <v>2</v>
      </c>
      <c r="M19" s="4">
        <f>Tabel2[[#This Row],[Som van Kosten (Totaal )]]/Tabel2[[#This Row],[Conversies]]</f>
        <v>17.875</v>
      </c>
      <c r="N19" s="4">
        <f>Tabel2[[#This Row],[Som van Kosten (Totaal )]]/Tabel2[[#This Row],[Conversies]]</f>
        <v>17.875</v>
      </c>
    </row>
    <row r="20" spans="1:14">
      <c r="A20" s="16" t="s">
        <v>32</v>
      </c>
      <c r="B20">
        <v>3</v>
      </c>
      <c r="C20">
        <v>7846</v>
      </c>
      <c r="D20">
        <v>748</v>
      </c>
      <c r="E20" s="4">
        <v>0.62333333333333341</v>
      </c>
      <c r="F20" s="5">
        <v>9.4899999999999998E-2</v>
      </c>
      <c r="G20">
        <v>56</v>
      </c>
      <c r="H20" s="4">
        <v>7.9266666666666667</v>
      </c>
      <c r="I20" s="5">
        <v>7.3933333333333337E-2</v>
      </c>
      <c r="J20" s="4">
        <v>506.95</v>
      </c>
      <c r="K20">
        <v>14</v>
      </c>
      <c r="L20" s="10">
        <f>Tabel2[[#This Row],[Conversies]]/Tabel2[[#This Row],[Aantal vacatures]]</f>
        <v>4.666666666666667</v>
      </c>
      <c r="M20" s="4">
        <f>Tabel2[[#This Row],[Som van Kosten (Totaal )]]/Tabel2[[#This Row],[Conversies]]</f>
        <v>36.210714285714282</v>
      </c>
      <c r="N20" s="4">
        <f>Tabel2[[#This Row],[Som van Kosten (Totaal )]]/Tabel2[[#This Row],[Conversies]]</f>
        <v>36.210714285714282</v>
      </c>
    </row>
    <row r="21" spans="1:14">
      <c r="A21" s="16" t="s">
        <v>33</v>
      </c>
      <c r="B21">
        <v>4</v>
      </c>
      <c r="C21">
        <v>13191</v>
      </c>
      <c r="D21">
        <v>1388</v>
      </c>
      <c r="E21" s="4">
        <v>0.13250000000000001</v>
      </c>
      <c r="F21" s="5">
        <v>8.6925000000000002E-2</v>
      </c>
      <c r="G21">
        <v>45</v>
      </c>
      <c r="H21" s="4">
        <v>5.2575000000000003</v>
      </c>
      <c r="I21" s="5">
        <v>2.0449999999999999E-2</v>
      </c>
      <c r="J21" s="4">
        <v>287.09000000000003</v>
      </c>
      <c r="K21">
        <v>5</v>
      </c>
      <c r="L21" s="10">
        <f>Tabel2[[#This Row],[Conversies]]/Tabel2[[#This Row],[Aantal vacatures]]</f>
        <v>1.25</v>
      </c>
      <c r="M21" s="4">
        <f>Tabel2[[#This Row],[Som van Kosten (Totaal )]]/Tabel2[[#This Row],[Conversies]]</f>
        <v>57.418000000000006</v>
      </c>
      <c r="N21" s="4">
        <f>Tabel2[[#This Row],[Som van Kosten (Totaal )]]/Tabel2[[#This Row],[Conversies]]</f>
        <v>57.418000000000006</v>
      </c>
    </row>
    <row r="22" spans="1:14" hidden="1">
      <c r="A22" s="3" t="s">
        <v>34</v>
      </c>
      <c r="B22">
        <v>17</v>
      </c>
      <c r="C22">
        <v>6095</v>
      </c>
      <c r="D22">
        <v>276</v>
      </c>
      <c r="E22" s="4">
        <v>1.0658823529411765</v>
      </c>
      <c r="F22" s="5">
        <v>4.9247058823529408E-2</v>
      </c>
      <c r="G22">
        <v>18</v>
      </c>
      <c r="H22" s="4">
        <v>5.9035294117647066</v>
      </c>
      <c r="I22" s="5">
        <v>7.3405882352941182E-2</v>
      </c>
      <c r="J22" s="4">
        <v>189.3</v>
      </c>
      <c r="K22">
        <v>4</v>
      </c>
      <c r="L22" s="10">
        <f>Tabel2[[#This Row],[Conversies]]/Tabel2[[#This Row],[Aantal vacatures]]</f>
        <v>0.23529411764705882</v>
      </c>
      <c r="M22" s="4">
        <f>Tabel2[[#This Row],[Som van Kosten (Totaal )]]/Tabel2[[#This Row],[Conversies]]</f>
        <v>47.325000000000003</v>
      </c>
      <c r="N22" s="4">
        <f>Tabel2[[#This Row],[Som van Kosten (Totaal )]]/Tabel2[[#This Row],[Conversies]]</f>
        <v>47.325000000000003</v>
      </c>
    </row>
    <row r="23" spans="1:14">
      <c r="A23" s="16" t="s">
        <v>35</v>
      </c>
      <c r="B23">
        <v>1</v>
      </c>
      <c r="C23">
        <v>719</v>
      </c>
      <c r="D23">
        <v>18</v>
      </c>
      <c r="E23" s="4">
        <v>0.47</v>
      </c>
      <c r="F23" s="5">
        <v>2.5000000000000001E-2</v>
      </c>
      <c r="G23">
        <v>1</v>
      </c>
      <c r="H23" s="4">
        <v>8.39</v>
      </c>
      <c r="I23" s="5">
        <v>5.5599999999999997E-2</v>
      </c>
      <c r="J23" s="4">
        <v>8.39</v>
      </c>
      <c r="K23">
        <v>1</v>
      </c>
      <c r="L23" s="10">
        <f>Tabel2[[#This Row],[Conversies]]/Tabel2[[#This Row],[Aantal vacatures]]</f>
        <v>1</v>
      </c>
      <c r="M23" s="4">
        <f>Tabel2[[#This Row],[Som van Kosten (Totaal )]]/Tabel2[[#This Row],[Conversies]]</f>
        <v>8.39</v>
      </c>
      <c r="N23" s="4">
        <f>Tabel2[[#This Row],[Som van Kosten (Totaal )]]/Tabel2[[#This Row],[Conversies]]</f>
        <v>8.39</v>
      </c>
    </row>
    <row r="24" spans="1:14" hidden="1">
      <c r="A24" s="3" t="s">
        <v>36</v>
      </c>
      <c r="B24">
        <v>4</v>
      </c>
      <c r="C24">
        <v>3804</v>
      </c>
      <c r="D24">
        <v>208</v>
      </c>
      <c r="E24" s="4">
        <v>0.31000000000000005</v>
      </c>
      <c r="F24" s="5">
        <v>5.8599999999999999E-2</v>
      </c>
      <c r="G24">
        <v>9</v>
      </c>
      <c r="H24" s="4">
        <v>6.3324999999999996</v>
      </c>
      <c r="I24" s="5">
        <v>3.4950000000000002E-2</v>
      </c>
      <c r="J24" s="4">
        <v>88.06</v>
      </c>
      <c r="K24">
        <v>3</v>
      </c>
      <c r="L24" s="10">
        <f>Tabel2[[#This Row],[Conversies]]/Tabel2[[#This Row],[Aantal vacatures]]</f>
        <v>0.75</v>
      </c>
      <c r="M24" s="4">
        <f>Tabel2[[#This Row],[Som van Kosten (Totaal )]]/Tabel2[[#This Row],[Conversies]]</f>
        <v>29.353333333333335</v>
      </c>
      <c r="N24" s="4">
        <f>Tabel2[[#This Row],[Som van Kosten (Totaal )]]/Tabel2[[#This Row],[Conversies]]</f>
        <v>29.353333333333335</v>
      </c>
    </row>
    <row r="25" spans="1:14" hidden="1">
      <c r="A25" s="3" t="s">
        <v>37</v>
      </c>
      <c r="B25">
        <v>10</v>
      </c>
      <c r="C25">
        <v>2686</v>
      </c>
      <c r="D25">
        <v>135</v>
      </c>
      <c r="E25" s="4">
        <v>0.53</v>
      </c>
      <c r="F25" s="5">
        <v>3.7069999999999999E-2</v>
      </c>
      <c r="G25">
        <v>8</v>
      </c>
      <c r="H25" s="4">
        <v>6.3050000000000006</v>
      </c>
      <c r="I25" s="5">
        <v>7.077E-2</v>
      </c>
      <c r="J25" s="4">
        <v>90.580000000000013</v>
      </c>
      <c r="K25">
        <v>3</v>
      </c>
      <c r="L25" s="10">
        <f>Tabel2[[#This Row],[Conversies]]/Tabel2[[#This Row],[Aantal vacatures]]</f>
        <v>0.3</v>
      </c>
      <c r="M25" s="4">
        <f>Tabel2[[#This Row],[Som van Kosten (Totaal )]]/Tabel2[[#This Row],[Conversies]]</f>
        <v>30.193333333333339</v>
      </c>
      <c r="N25" s="4">
        <f>Tabel2[[#This Row],[Som van Kosten (Totaal )]]/Tabel2[[#This Row],[Conversies]]</f>
        <v>30.193333333333339</v>
      </c>
    </row>
    <row r="26" spans="1:14" hidden="1">
      <c r="A26" s="3" t="s">
        <v>38</v>
      </c>
      <c r="B26">
        <v>16</v>
      </c>
      <c r="C26">
        <v>4153</v>
      </c>
      <c r="D26">
        <v>235</v>
      </c>
      <c r="E26" s="4">
        <v>0.62187500000000007</v>
      </c>
      <c r="F26" s="5">
        <v>2.9624999999999995E-2</v>
      </c>
      <c r="G26">
        <v>20</v>
      </c>
      <c r="H26" s="4">
        <v>5.1462500000000002</v>
      </c>
      <c r="I26" s="5">
        <v>4.4687499999999998E-2</v>
      </c>
      <c r="J26" s="4">
        <v>186.94</v>
      </c>
      <c r="K26">
        <v>3</v>
      </c>
      <c r="L26" s="10">
        <f>Tabel2[[#This Row],[Conversies]]/Tabel2[[#This Row],[Aantal vacatures]]</f>
        <v>0.1875</v>
      </c>
      <c r="M26" s="4">
        <f>Tabel2[[#This Row],[Som van Kosten (Totaal )]]/Tabel2[[#This Row],[Conversies]]</f>
        <v>62.313333333333333</v>
      </c>
      <c r="N26" s="4">
        <f>Tabel2[[#This Row],[Som van Kosten (Totaal )]]/Tabel2[[#This Row],[Conversies]]</f>
        <v>62.313333333333333</v>
      </c>
    </row>
    <row r="27" spans="1:14" hidden="1">
      <c r="A27" s="3" t="s">
        <v>39</v>
      </c>
      <c r="B27">
        <v>16</v>
      </c>
      <c r="C27">
        <v>7855</v>
      </c>
      <c r="D27">
        <v>346</v>
      </c>
      <c r="E27" s="4">
        <v>0.17187499999999997</v>
      </c>
      <c r="F27" s="5">
        <v>3.60375E-2</v>
      </c>
      <c r="G27">
        <v>18</v>
      </c>
      <c r="H27" s="4">
        <v>2.2056249999999999</v>
      </c>
      <c r="I27" s="5">
        <v>2.8818749999999997E-2</v>
      </c>
      <c r="J27" s="4">
        <v>118.68</v>
      </c>
      <c r="K27">
        <v>3</v>
      </c>
      <c r="L27" s="10">
        <f>Tabel2[[#This Row],[Conversies]]/Tabel2[[#This Row],[Aantal vacatures]]</f>
        <v>0.1875</v>
      </c>
      <c r="M27" s="4">
        <f>Tabel2[[#This Row],[Som van Kosten (Totaal )]]/Tabel2[[#This Row],[Conversies]]</f>
        <v>39.56</v>
      </c>
      <c r="N27" s="4">
        <f>Tabel2[[#This Row],[Som van Kosten (Totaal )]]/Tabel2[[#This Row],[Conversies]]</f>
        <v>39.56</v>
      </c>
    </row>
    <row r="28" spans="1:14">
      <c r="A28" s="16" t="s">
        <v>40</v>
      </c>
      <c r="B28">
        <v>20</v>
      </c>
      <c r="C28">
        <v>13759</v>
      </c>
      <c r="D28">
        <v>754</v>
      </c>
      <c r="E28" s="4">
        <v>0.81149999999999989</v>
      </c>
      <c r="F28" s="5">
        <v>4.3084999999999998E-2</v>
      </c>
      <c r="G28">
        <v>74</v>
      </c>
      <c r="H28" s="4">
        <v>7.2840000000000007</v>
      </c>
      <c r="I28" s="5">
        <v>8.7745000000000004E-2</v>
      </c>
      <c r="J28" s="4">
        <v>537.98</v>
      </c>
      <c r="K28">
        <v>9</v>
      </c>
      <c r="L28" s="10">
        <f>Tabel2[[#This Row],[Conversies]]/Tabel2[[#This Row],[Aantal vacatures]]</f>
        <v>0.45</v>
      </c>
      <c r="M28" s="4">
        <f>Tabel2[[#This Row],[Som van Kosten (Totaal )]]/Tabel2[[#This Row],[Conversies]]</f>
        <v>59.775555555555556</v>
      </c>
      <c r="N28" s="4">
        <f>Tabel2[[#This Row],[Som van Kosten (Totaal )]]/Tabel2[[#This Row],[Conversies]]</f>
        <v>59.775555555555556</v>
      </c>
    </row>
    <row r="29" spans="1:14">
      <c r="A29" s="16" t="s">
        <v>41</v>
      </c>
      <c r="B29">
        <v>1</v>
      </c>
      <c r="C29">
        <v>288</v>
      </c>
      <c r="D29">
        <v>12</v>
      </c>
      <c r="E29" s="4">
        <v>1.25</v>
      </c>
      <c r="F29" s="5">
        <v>4.1700000000000001E-2</v>
      </c>
      <c r="G29">
        <v>3</v>
      </c>
      <c r="H29" s="4">
        <v>5.01</v>
      </c>
      <c r="I29" s="5">
        <v>0.25</v>
      </c>
      <c r="J29" s="4">
        <v>15.02</v>
      </c>
      <c r="K29">
        <v>2</v>
      </c>
      <c r="L29" s="10">
        <f>Tabel2[[#This Row],[Conversies]]/Tabel2[[#This Row],[Aantal vacatures]]</f>
        <v>2</v>
      </c>
      <c r="M29" s="4">
        <f>Tabel2[[#This Row],[Som van Kosten (Totaal )]]/Tabel2[[#This Row],[Conversies]]</f>
        <v>7.51</v>
      </c>
      <c r="N29" s="4">
        <f>Tabel2[[#This Row],[Som van Kosten (Totaal )]]/Tabel2[[#This Row],[Conversies]]</f>
        <v>7.51</v>
      </c>
    </row>
    <row r="30" spans="1:14">
      <c r="A30" s="16" t="s">
        <v>42</v>
      </c>
      <c r="B30">
        <v>10</v>
      </c>
      <c r="C30">
        <v>13293</v>
      </c>
      <c r="D30">
        <v>1338</v>
      </c>
      <c r="E30" s="4">
        <v>0.35300000000000004</v>
      </c>
      <c r="F30" s="5">
        <v>9.8980000000000012E-2</v>
      </c>
      <c r="G30">
        <v>59</v>
      </c>
      <c r="H30" s="4">
        <v>7.2360000000000015</v>
      </c>
      <c r="I30" s="5">
        <v>4.7769999999999993E-2</v>
      </c>
      <c r="J30" s="4">
        <v>433.00000000000011</v>
      </c>
      <c r="K30">
        <v>6</v>
      </c>
      <c r="L30" s="10">
        <f>Tabel2[[#This Row],[Conversies]]/Tabel2[[#This Row],[Aantal vacatures]]</f>
        <v>0.6</v>
      </c>
      <c r="M30" s="4">
        <f>Tabel2[[#This Row],[Som van Kosten (Totaal )]]/Tabel2[[#This Row],[Conversies]]</f>
        <v>72.166666666666686</v>
      </c>
      <c r="N30" s="4">
        <f>Tabel2[[#This Row],[Som van Kosten (Totaal )]]/Tabel2[[#This Row],[Conversies]]</f>
        <v>72.166666666666686</v>
      </c>
    </row>
    <row r="31" spans="1:14">
      <c r="A31" s="16" t="s">
        <v>43</v>
      </c>
      <c r="B31">
        <v>9</v>
      </c>
      <c r="C31">
        <v>4216</v>
      </c>
      <c r="D31">
        <v>201</v>
      </c>
      <c r="E31" s="4">
        <v>0.6</v>
      </c>
      <c r="F31" s="5">
        <v>4.9033333333333338E-2</v>
      </c>
      <c r="G31">
        <v>11</v>
      </c>
      <c r="H31" s="4">
        <v>4.6366666666666667</v>
      </c>
      <c r="I31" s="5">
        <v>8.8455555555555551E-2</v>
      </c>
      <c r="J31" s="4">
        <v>71.83</v>
      </c>
      <c r="K31">
        <v>4</v>
      </c>
      <c r="L31" s="10">
        <f>Tabel2[[#This Row],[Conversies]]/Tabel2[[#This Row],[Aantal vacatures]]</f>
        <v>0.44444444444444442</v>
      </c>
      <c r="M31" s="4">
        <f>Tabel2[[#This Row],[Som van Kosten (Totaal )]]/Tabel2[[#This Row],[Conversies]]</f>
        <v>17.9575</v>
      </c>
      <c r="N31" s="4">
        <f>Tabel2[[#This Row],[Som van Kosten (Totaal )]]/Tabel2[[#This Row],[Conversies]]</f>
        <v>17.9575</v>
      </c>
    </row>
    <row r="32" spans="1:14">
      <c r="A32" s="16" t="s">
        <v>44</v>
      </c>
      <c r="B32">
        <v>12</v>
      </c>
      <c r="C32">
        <v>11117</v>
      </c>
      <c r="D32">
        <v>1108</v>
      </c>
      <c r="E32" s="4">
        <v>0.17999999999999997</v>
      </c>
      <c r="F32" s="5">
        <v>5.371666666666667E-2</v>
      </c>
      <c r="G32">
        <v>46</v>
      </c>
      <c r="H32" s="4">
        <v>5.0283333333333333</v>
      </c>
      <c r="I32" s="5">
        <v>2.4058333333333331E-2</v>
      </c>
      <c r="J32" s="4">
        <v>318.8</v>
      </c>
      <c r="K32">
        <v>5</v>
      </c>
      <c r="L32" s="10">
        <f>Tabel2[[#This Row],[Conversies]]/Tabel2[[#This Row],[Aantal vacatures]]</f>
        <v>0.41666666666666669</v>
      </c>
      <c r="M32" s="4">
        <f>Tabel2[[#This Row],[Som van Kosten (Totaal )]]/Tabel2[[#This Row],[Conversies]]</f>
        <v>63.760000000000005</v>
      </c>
      <c r="N32" s="4">
        <f>Tabel2[[#This Row],[Som van Kosten (Totaal )]]/Tabel2[[#This Row],[Conversies]]</f>
        <v>63.760000000000005</v>
      </c>
    </row>
    <row r="33" spans="1:14" hidden="1">
      <c r="A33" s="3" t="s">
        <v>45</v>
      </c>
      <c r="B33">
        <v>3</v>
      </c>
      <c r="C33">
        <v>3597</v>
      </c>
      <c r="D33">
        <v>217</v>
      </c>
      <c r="E33" s="4">
        <v>0.36333333333333329</v>
      </c>
      <c r="F33" s="5">
        <v>6.1666666666666668E-2</v>
      </c>
      <c r="G33">
        <v>11</v>
      </c>
      <c r="H33" s="4">
        <v>6.253333333333333</v>
      </c>
      <c r="I33" s="5">
        <v>5.9433333333333338E-2</v>
      </c>
      <c r="J33" s="4">
        <v>63.129999999999995</v>
      </c>
      <c r="K33">
        <v>2</v>
      </c>
      <c r="L33" s="10">
        <f>Tabel2[[#This Row],[Conversies]]/Tabel2[[#This Row],[Aantal vacatures]]</f>
        <v>0.66666666666666663</v>
      </c>
      <c r="M33" s="4">
        <f>Tabel2[[#This Row],[Som van Kosten (Totaal )]]/Tabel2[[#This Row],[Conversies]]</f>
        <v>31.564999999999998</v>
      </c>
      <c r="N33" s="4">
        <f>Tabel2[[#This Row],[Som van Kosten (Totaal )]]/Tabel2[[#This Row],[Conversies]]</f>
        <v>31.564999999999998</v>
      </c>
    </row>
    <row r="34" spans="1:14" hidden="1">
      <c r="A34" s="3" t="s">
        <v>46</v>
      </c>
      <c r="B34">
        <v>4</v>
      </c>
      <c r="C34">
        <v>4758</v>
      </c>
      <c r="D34">
        <v>250</v>
      </c>
      <c r="E34" s="4">
        <v>0.16500000000000001</v>
      </c>
      <c r="F34" s="5">
        <v>5.4099999999999995E-2</v>
      </c>
      <c r="G34">
        <v>6</v>
      </c>
      <c r="H34" s="4">
        <v>6.5</v>
      </c>
      <c r="I34" s="5">
        <v>2.0250000000000001E-2</v>
      </c>
      <c r="J34" s="4">
        <v>50.849999999999994</v>
      </c>
      <c r="K34">
        <v>2</v>
      </c>
      <c r="L34" s="10">
        <f>Tabel2[[#This Row],[Conversies]]/Tabel2[[#This Row],[Aantal vacatures]]</f>
        <v>0.5</v>
      </c>
      <c r="M34" s="4">
        <f>Tabel2[[#This Row],[Som van Kosten (Totaal )]]/Tabel2[[#This Row],[Conversies]]</f>
        <v>25.424999999999997</v>
      </c>
      <c r="N34" s="4">
        <f>Tabel2[[#This Row],[Som van Kosten (Totaal )]]/Tabel2[[#This Row],[Conversies]]</f>
        <v>25.424999999999997</v>
      </c>
    </row>
    <row r="35" spans="1:14" hidden="1">
      <c r="A35" s="3" t="s">
        <v>47</v>
      </c>
      <c r="B35">
        <v>4</v>
      </c>
      <c r="C35">
        <v>3154</v>
      </c>
      <c r="D35">
        <v>155</v>
      </c>
      <c r="E35" s="4">
        <v>0.16</v>
      </c>
      <c r="F35" s="5">
        <v>4.6124999999999999E-2</v>
      </c>
      <c r="G35">
        <v>9</v>
      </c>
      <c r="H35" s="4">
        <v>2.5975000000000001</v>
      </c>
      <c r="I35" s="5">
        <v>3.1824999999999999E-2</v>
      </c>
      <c r="J35" s="4">
        <v>46.14</v>
      </c>
      <c r="K35">
        <v>2</v>
      </c>
      <c r="L35" s="10">
        <f>Tabel2[[#This Row],[Conversies]]/Tabel2[[#This Row],[Aantal vacatures]]</f>
        <v>0.5</v>
      </c>
      <c r="M35" s="4">
        <f>Tabel2[[#This Row],[Som van Kosten (Totaal )]]/Tabel2[[#This Row],[Conversies]]</f>
        <v>23.07</v>
      </c>
      <c r="N35" s="4">
        <f>Tabel2[[#This Row],[Som van Kosten (Totaal )]]/Tabel2[[#This Row],[Conversies]]</f>
        <v>23.07</v>
      </c>
    </row>
    <row r="36" spans="1:14" hidden="1">
      <c r="A36" s="3" t="s">
        <v>48</v>
      </c>
      <c r="B36">
        <v>6</v>
      </c>
      <c r="C36">
        <v>398</v>
      </c>
      <c r="D36">
        <v>28</v>
      </c>
      <c r="E36" s="4">
        <v>1.125</v>
      </c>
      <c r="F36" s="5">
        <v>7.8149999999999997E-2</v>
      </c>
      <c r="G36">
        <v>3</v>
      </c>
      <c r="H36" s="4">
        <v>4.0066666666666668</v>
      </c>
      <c r="I36" s="5">
        <v>8.928333333333334E-2</v>
      </c>
      <c r="J36" s="4">
        <v>44.839999999999996</v>
      </c>
      <c r="K36">
        <v>2</v>
      </c>
      <c r="L36" s="10">
        <f>Tabel2[[#This Row],[Conversies]]/Tabel2[[#This Row],[Aantal vacatures]]</f>
        <v>0.33333333333333331</v>
      </c>
      <c r="M36" s="4">
        <f>Tabel2[[#This Row],[Som van Kosten (Totaal )]]/Tabel2[[#This Row],[Conversies]]</f>
        <v>22.419999999999998</v>
      </c>
      <c r="N36" s="4">
        <f>Tabel2[[#This Row],[Som van Kosten (Totaal )]]/Tabel2[[#This Row],[Conversies]]</f>
        <v>22.419999999999998</v>
      </c>
    </row>
    <row r="37" spans="1:14" hidden="1">
      <c r="A37" s="3" t="s">
        <v>49</v>
      </c>
      <c r="B37">
        <v>6</v>
      </c>
      <c r="C37">
        <v>2115</v>
      </c>
      <c r="D37">
        <v>80</v>
      </c>
      <c r="E37" s="4">
        <v>0.4916666666666667</v>
      </c>
      <c r="F37" s="5">
        <v>3.719999999999999E-2</v>
      </c>
      <c r="G37">
        <v>8</v>
      </c>
      <c r="H37" s="4">
        <v>3.8133333333333339</v>
      </c>
      <c r="I37" s="5">
        <v>8.1500000000000003E-2</v>
      </c>
      <c r="J37" s="4">
        <v>58.62</v>
      </c>
      <c r="K37">
        <v>2</v>
      </c>
      <c r="L37" s="10">
        <f>Tabel2[[#This Row],[Conversies]]/Tabel2[[#This Row],[Aantal vacatures]]</f>
        <v>0.33333333333333331</v>
      </c>
      <c r="M37" s="4">
        <f>Tabel2[[#This Row],[Som van Kosten (Totaal )]]/Tabel2[[#This Row],[Conversies]]</f>
        <v>29.31</v>
      </c>
      <c r="N37" s="4">
        <f>Tabel2[[#This Row],[Som van Kosten (Totaal )]]/Tabel2[[#This Row],[Conversies]]</f>
        <v>29.31</v>
      </c>
    </row>
    <row r="38" spans="1:14" hidden="1">
      <c r="A38" s="3" t="s">
        <v>50</v>
      </c>
      <c r="B38">
        <v>9</v>
      </c>
      <c r="C38">
        <v>1995</v>
      </c>
      <c r="D38">
        <v>141</v>
      </c>
      <c r="E38" s="4">
        <v>0.60111111111111115</v>
      </c>
      <c r="F38" s="5">
        <v>7.3844444444444435E-2</v>
      </c>
      <c r="G38">
        <v>12</v>
      </c>
      <c r="H38" s="4">
        <v>5.3177777777777777</v>
      </c>
      <c r="I38" s="5">
        <v>6.9888888888888889E-2</v>
      </c>
      <c r="J38" s="4">
        <v>101.44999999999999</v>
      </c>
      <c r="K38">
        <v>2</v>
      </c>
      <c r="L38" s="10">
        <f>Tabel2[[#This Row],[Conversies]]/Tabel2[[#This Row],[Aantal vacatures]]</f>
        <v>0.22222222222222221</v>
      </c>
      <c r="M38" s="4">
        <f>Tabel2[[#This Row],[Som van Kosten (Totaal )]]/Tabel2[[#This Row],[Conversies]]</f>
        <v>50.724999999999994</v>
      </c>
      <c r="N38" s="4">
        <f>Tabel2[[#This Row],[Som van Kosten (Totaal )]]/Tabel2[[#This Row],[Conversies]]</f>
        <v>50.724999999999994</v>
      </c>
    </row>
    <row r="39" spans="1:14" hidden="1">
      <c r="A39" s="3" t="s">
        <v>51</v>
      </c>
      <c r="B39">
        <v>11</v>
      </c>
      <c r="C39">
        <v>2003</v>
      </c>
      <c r="D39">
        <v>122</v>
      </c>
      <c r="E39" s="4">
        <v>1.2836363636363637</v>
      </c>
      <c r="F39" s="5">
        <v>2.8381818181818185E-2</v>
      </c>
      <c r="G39">
        <v>19</v>
      </c>
      <c r="H39" s="4">
        <v>2.6645454545454546</v>
      </c>
      <c r="I39" s="5">
        <v>0.17669090909090907</v>
      </c>
      <c r="J39" s="4">
        <v>74.05</v>
      </c>
      <c r="K39">
        <v>2</v>
      </c>
      <c r="L39" s="10">
        <f>Tabel2[[#This Row],[Conversies]]/Tabel2[[#This Row],[Aantal vacatures]]</f>
        <v>0.18181818181818182</v>
      </c>
      <c r="M39" s="4">
        <f>Tabel2[[#This Row],[Som van Kosten (Totaal )]]/Tabel2[[#This Row],[Conversies]]</f>
        <v>37.024999999999999</v>
      </c>
      <c r="N39" s="4">
        <f>Tabel2[[#This Row],[Som van Kosten (Totaal )]]/Tabel2[[#This Row],[Conversies]]</f>
        <v>37.024999999999999</v>
      </c>
    </row>
    <row r="40" spans="1:14">
      <c r="A40" s="16" t="s">
        <v>52</v>
      </c>
      <c r="B40">
        <v>4</v>
      </c>
      <c r="C40">
        <v>8975</v>
      </c>
      <c r="D40">
        <v>750</v>
      </c>
      <c r="E40" s="4">
        <v>1.7550000000000001</v>
      </c>
      <c r="F40" s="5">
        <v>8.4550000000000014E-2</v>
      </c>
      <c r="G40">
        <v>68</v>
      </c>
      <c r="H40" s="4">
        <v>18.7425</v>
      </c>
      <c r="I40" s="5">
        <v>8.9624999999999996E-2</v>
      </c>
      <c r="J40" s="4">
        <v>1213.72</v>
      </c>
      <c r="K40">
        <v>13</v>
      </c>
      <c r="L40" s="10">
        <f>Tabel2[[#This Row],[Conversies]]/Tabel2[[#This Row],[Aantal vacatures]]</f>
        <v>3.25</v>
      </c>
      <c r="M40" s="4">
        <f>Tabel2[[#This Row],[Som van Kosten (Totaal )]]/Tabel2[[#This Row],[Conversies]]</f>
        <v>93.363076923076932</v>
      </c>
      <c r="N40" s="4">
        <f>Tabel2[[#This Row],[Som van Kosten (Totaal )]]/Tabel2[[#This Row],[Conversies]]</f>
        <v>93.363076923076932</v>
      </c>
    </row>
    <row r="41" spans="1:14">
      <c r="A41" s="16" t="s">
        <v>53</v>
      </c>
      <c r="B41">
        <v>11</v>
      </c>
      <c r="C41">
        <v>44677</v>
      </c>
      <c r="D41">
        <v>3737</v>
      </c>
      <c r="E41" s="4">
        <v>0.49999999999999994</v>
      </c>
      <c r="F41" s="5">
        <v>6.9954545454545464E-2</v>
      </c>
      <c r="G41">
        <v>176</v>
      </c>
      <c r="H41" s="4">
        <v>6.4590909090909072</v>
      </c>
      <c r="I41" s="5">
        <v>7.5472727272727275E-2</v>
      </c>
      <c r="J41" s="4">
        <v>1161.92</v>
      </c>
      <c r="K41">
        <v>11</v>
      </c>
      <c r="L41" s="10">
        <f>Tabel2[[#This Row],[Conversies]]/Tabel2[[#This Row],[Aantal vacatures]]</f>
        <v>1</v>
      </c>
      <c r="M41" s="4">
        <f>Tabel2[[#This Row],[Som van Kosten (Totaal )]]/Tabel2[[#This Row],[Conversies]]</f>
        <v>105.62909090909092</v>
      </c>
      <c r="N41" s="4">
        <f>Tabel2[[#This Row],[Som van Kosten (Totaal )]]/Tabel2[[#This Row],[Conversies]]</f>
        <v>105.62909090909092</v>
      </c>
    </row>
    <row r="42" spans="1:14">
      <c r="A42" s="16" t="s">
        <v>54</v>
      </c>
      <c r="B42">
        <v>1</v>
      </c>
      <c r="C42">
        <v>2480</v>
      </c>
      <c r="D42">
        <v>259</v>
      </c>
      <c r="E42" s="4">
        <v>0.45</v>
      </c>
      <c r="F42" s="5">
        <v>0.10440000000000001</v>
      </c>
      <c r="G42">
        <v>26</v>
      </c>
      <c r="H42" s="4">
        <v>4.47</v>
      </c>
      <c r="I42" s="5">
        <v>0.1004</v>
      </c>
      <c r="J42" s="4">
        <v>116.17</v>
      </c>
      <c r="K42">
        <v>2</v>
      </c>
      <c r="L42" s="10">
        <f>Tabel2[[#This Row],[Conversies]]/Tabel2[[#This Row],[Aantal vacatures]]</f>
        <v>2</v>
      </c>
      <c r="M42" s="4">
        <f>Tabel2[[#This Row],[Som van Kosten (Totaal )]]/Tabel2[[#This Row],[Conversies]]</f>
        <v>58.085000000000001</v>
      </c>
      <c r="N42" s="4">
        <f>Tabel2[[#This Row],[Som van Kosten (Totaal )]]/Tabel2[[#This Row],[Conversies]]</f>
        <v>58.085000000000001</v>
      </c>
    </row>
    <row r="43" spans="1:14" hidden="1">
      <c r="A43" s="3" t="s">
        <v>55</v>
      </c>
      <c r="B43">
        <v>1</v>
      </c>
      <c r="C43">
        <v>1461</v>
      </c>
      <c r="D43">
        <v>69</v>
      </c>
      <c r="E43" s="4">
        <v>0.69</v>
      </c>
      <c r="F43" s="5">
        <v>4.7199999999999999E-2</v>
      </c>
      <c r="G43">
        <v>7</v>
      </c>
      <c r="H43" s="4">
        <v>6.8</v>
      </c>
      <c r="I43" s="5">
        <v>0.1014</v>
      </c>
      <c r="J43" s="4">
        <v>47.6</v>
      </c>
      <c r="K43">
        <v>1</v>
      </c>
      <c r="L43" s="10">
        <f>Tabel2[[#This Row],[Conversies]]/Tabel2[[#This Row],[Aantal vacatures]]</f>
        <v>1</v>
      </c>
      <c r="M43" s="4">
        <f>Tabel2[[#This Row],[Som van Kosten (Totaal )]]/Tabel2[[#This Row],[Conversies]]</f>
        <v>47.6</v>
      </c>
      <c r="N43" s="4">
        <f>Tabel2[[#This Row],[Som van Kosten (Totaal )]]/Tabel2[[#This Row],[Conversies]]</f>
        <v>47.6</v>
      </c>
    </row>
    <row r="44" spans="1:14" hidden="1">
      <c r="A44" s="3" t="s">
        <v>56</v>
      </c>
      <c r="B44">
        <v>1</v>
      </c>
      <c r="C44">
        <v>247</v>
      </c>
      <c r="D44">
        <v>19</v>
      </c>
      <c r="E44" s="4">
        <v>0.39</v>
      </c>
      <c r="F44" s="5">
        <v>7.6899999999999996E-2</v>
      </c>
      <c r="G44">
        <v>2</v>
      </c>
      <c r="H44" s="4">
        <v>3.7</v>
      </c>
      <c r="I44" s="5">
        <v>0.1053</v>
      </c>
      <c r="J44" s="4">
        <v>7.4</v>
      </c>
      <c r="K44">
        <v>1</v>
      </c>
      <c r="L44" s="10">
        <f>Tabel2[[#This Row],[Conversies]]/Tabel2[[#This Row],[Aantal vacatures]]</f>
        <v>1</v>
      </c>
      <c r="M44" s="4">
        <f>Tabel2[[#This Row],[Som van Kosten (Totaal )]]/Tabel2[[#This Row],[Conversies]]</f>
        <v>7.4</v>
      </c>
      <c r="N44" s="4">
        <f>Tabel2[[#This Row],[Som van Kosten (Totaal )]]/Tabel2[[#This Row],[Conversies]]</f>
        <v>7.4</v>
      </c>
    </row>
    <row r="45" spans="1:14" hidden="1">
      <c r="A45" s="3" t="s">
        <v>57</v>
      </c>
      <c r="B45">
        <v>2</v>
      </c>
      <c r="C45">
        <v>2195</v>
      </c>
      <c r="D45">
        <v>140</v>
      </c>
      <c r="E45" s="4">
        <v>0.73</v>
      </c>
      <c r="F45" s="5">
        <v>7.4099999999999999E-2</v>
      </c>
      <c r="G45">
        <v>11</v>
      </c>
      <c r="H45" s="4">
        <v>8.9949999999999992</v>
      </c>
      <c r="I45" s="5">
        <v>8.6900000000000005E-2</v>
      </c>
      <c r="J45" s="4">
        <v>97.11</v>
      </c>
      <c r="K45">
        <v>1</v>
      </c>
      <c r="L45" s="10">
        <f>Tabel2[[#This Row],[Conversies]]/Tabel2[[#This Row],[Aantal vacatures]]</f>
        <v>0.5</v>
      </c>
      <c r="M45" s="4">
        <f>Tabel2[[#This Row],[Som van Kosten (Totaal )]]/Tabel2[[#This Row],[Conversies]]</f>
        <v>97.11</v>
      </c>
      <c r="N45" s="4">
        <f>Tabel2[[#This Row],[Som van Kosten (Totaal )]]/Tabel2[[#This Row],[Conversies]]</f>
        <v>97.11</v>
      </c>
    </row>
    <row r="46" spans="1:14" hidden="1">
      <c r="A46" s="3" t="s">
        <v>58</v>
      </c>
      <c r="B46">
        <v>2</v>
      </c>
      <c r="C46">
        <v>1207</v>
      </c>
      <c r="D46">
        <v>57</v>
      </c>
      <c r="E46" s="4">
        <v>0.37</v>
      </c>
      <c r="F46" s="5">
        <v>4.5649999999999996E-2</v>
      </c>
      <c r="G46">
        <v>2</v>
      </c>
      <c r="H46" s="4">
        <v>7.2549999999999999</v>
      </c>
      <c r="I46" s="5">
        <v>2.5649999999999999E-2</v>
      </c>
      <c r="J46" s="4">
        <v>29.02</v>
      </c>
      <c r="K46">
        <v>1</v>
      </c>
      <c r="L46" s="10">
        <f>Tabel2[[#This Row],[Conversies]]/Tabel2[[#This Row],[Aantal vacatures]]</f>
        <v>0.5</v>
      </c>
      <c r="M46" s="4">
        <f>Tabel2[[#This Row],[Som van Kosten (Totaal )]]/Tabel2[[#This Row],[Conversies]]</f>
        <v>29.02</v>
      </c>
      <c r="N46" s="4">
        <f>Tabel2[[#This Row],[Som van Kosten (Totaal )]]/Tabel2[[#This Row],[Conversies]]</f>
        <v>29.02</v>
      </c>
    </row>
    <row r="47" spans="1:14" hidden="1">
      <c r="A47" s="3" t="s">
        <v>59</v>
      </c>
      <c r="B47">
        <v>2</v>
      </c>
      <c r="C47">
        <v>5401</v>
      </c>
      <c r="D47">
        <v>378</v>
      </c>
      <c r="E47" s="4">
        <v>0.42499999999999999</v>
      </c>
      <c r="F47" s="5">
        <v>7.1599999999999997E-2</v>
      </c>
      <c r="G47">
        <v>14</v>
      </c>
      <c r="H47" s="4">
        <v>7.7350000000000003</v>
      </c>
      <c r="I47" s="5">
        <v>5.3150000000000003E-2</v>
      </c>
      <c r="J47" s="4">
        <v>104.35</v>
      </c>
      <c r="K47">
        <v>1</v>
      </c>
      <c r="L47" s="10">
        <f>Tabel2[[#This Row],[Conversies]]/Tabel2[[#This Row],[Aantal vacatures]]</f>
        <v>0.5</v>
      </c>
      <c r="M47" s="4">
        <f>Tabel2[[#This Row],[Som van Kosten (Totaal )]]/Tabel2[[#This Row],[Conversies]]</f>
        <v>104.35</v>
      </c>
      <c r="N47" s="4">
        <f>Tabel2[[#This Row],[Som van Kosten (Totaal )]]/Tabel2[[#This Row],[Conversies]]</f>
        <v>104.35</v>
      </c>
    </row>
    <row r="48" spans="1:14" hidden="1">
      <c r="A48" s="3" t="s">
        <v>60</v>
      </c>
      <c r="B48">
        <v>3</v>
      </c>
      <c r="C48">
        <v>1867</v>
      </c>
      <c r="D48">
        <v>101</v>
      </c>
      <c r="E48" s="4">
        <v>9.0000000000000011E-2</v>
      </c>
      <c r="F48" s="5">
        <v>1.8033333333333335E-2</v>
      </c>
      <c r="G48">
        <v>8</v>
      </c>
      <c r="H48" s="4">
        <v>1.1399999999999999</v>
      </c>
      <c r="I48" s="5">
        <v>2.6400000000000003E-2</v>
      </c>
      <c r="J48" s="4">
        <v>27.33</v>
      </c>
      <c r="K48">
        <v>1</v>
      </c>
      <c r="L48" s="10">
        <f>Tabel2[[#This Row],[Conversies]]/Tabel2[[#This Row],[Aantal vacatures]]</f>
        <v>0.33333333333333331</v>
      </c>
      <c r="M48" s="4">
        <f>Tabel2[[#This Row],[Som van Kosten (Totaal )]]/Tabel2[[#This Row],[Conversies]]</f>
        <v>27.33</v>
      </c>
      <c r="N48" s="4">
        <f>Tabel2[[#This Row],[Som van Kosten (Totaal )]]/Tabel2[[#This Row],[Conversies]]</f>
        <v>27.33</v>
      </c>
    </row>
    <row r="49" spans="1:14" hidden="1">
      <c r="A49" s="3" t="s">
        <v>61</v>
      </c>
      <c r="B49">
        <v>4</v>
      </c>
      <c r="C49">
        <v>1091</v>
      </c>
      <c r="D49">
        <v>45</v>
      </c>
      <c r="E49" s="4">
        <v>0.53249999999999997</v>
      </c>
      <c r="F49" s="5">
        <v>3.3225000000000005E-2</v>
      </c>
      <c r="G49">
        <v>2</v>
      </c>
      <c r="H49" s="4">
        <v>5.2249999999999996</v>
      </c>
      <c r="I49" s="5">
        <v>4.3799999999999999E-2</v>
      </c>
      <c r="J49" s="4">
        <v>20.9</v>
      </c>
      <c r="K49">
        <v>1</v>
      </c>
      <c r="L49" s="10">
        <f>Tabel2[[#This Row],[Conversies]]/Tabel2[[#This Row],[Aantal vacatures]]</f>
        <v>0.25</v>
      </c>
      <c r="M49" s="4">
        <f>Tabel2[[#This Row],[Som van Kosten (Totaal )]]/Tabel2[[#This Row],[Conversies]]</f>
        <v>20.9</v>
      </c>
      <c r="N49" s="4">
        <f>Tabel2[[#This Row],[Som van Kosten (Totaal )]]/Tabel2[[#This Row],[Conversies]]</f>
        <v>20.9</v>
      </c>
    </row>
    <row r="50" spans="1:14" hidden="1">
      <c r="A50" s="3" t="s">
        <v>62</v>
      </c>
      <c r="B50">
        <v>4</v>
      </c>
      <c r="C50">
        <v>5288</v>
      </c>
      <c r="D50">
        <v>313</v>
      </c>
      <c r="E50" s="4">
        <v>0.3725</v>
      </c>
      <c r="F50" s="5">
        <v>5.5274999999999998E-2</v>
      </c>
      <c r="G50">
        <v>19</v>
      </c>
      <c r="H50" s="4">
        <v>6.35</v>
      </c>
      <c r="I50" s="5">
        <v>5.8624999999999997E-2</v>
      </c>
      <c r="J50" s="4">
        <v>123.26000000000002</v>
      </c>
      <c r="K50">
        <v>1</v>
      </c>
      <c r="L50" s="10">
        <f>Tabel2[[#This Row],[Conversies]]/Tabel2[[#This Row],[Aantal vacatures]]</f>
        <v>0.25</v>
      </c>
      <c r="M50" s="4">
        <f>Tabel2[[#This Row],[Som van Kosten (Totaal )]]/Tabel2[[#This Row],[Conversies]]</f>
        <v>123.26000000000002</v>
      </c>
      <c r="N50" s="4">
        <f>Tabel2[[#This Row],[Som van Kosten (Totaal )]]/Tabel2[[#This Row],[Conversies]]</f>
        <v>123.26000000000002</v>
      </c>
    </row>
    <row r="51" spans="1:14" hidden="1">
      <c r="A51" s="3" t="s">
        <v>63</v>
      </c>
      <c r="B51">
        <v>4</v>
      </c>
      <c r="C51">
        <v>1040</v>
      </c>
      <c r="D51">
        <v>38</v>
      </c>
      <c r="E51" s="4">
        <v>0.52749999999999997</v>
      </c>
      <c r="F51" s="5">
        <v>3.7449999999999997E-2</v>
      </c>
      <c r="G51">
        <v>5</v>
      </c>
      <c r="H51" s="4">
        <v>3.5125000000000002</v>
      </c>
      <c r="I51" s="5">
        <v>7.6149999999999995E-2</v>
      </c>
      <c r="J51" s="4">
        <v>38.96</v>
      </c>
      <c r="K51">
        <v>1</v>
      </c>
      <c r="L51" s="10">
        <f>Tabel2[[#This Row],[Conversies]]/Tabel2[[#This Row],[Aantal vacatures]]</f>
        <v>0.25</v>
      </c>
      <c r="M51" s="4">
        <f>Tabel2[[#This Row],[Som van Kosten (Totaal )]]/Tabel2[[#This Row],[Conversies]]</f>
        <v>38.96</v>
      </c>
      <c r="N51" s="4">
        <f>Tabel2[[#This Row],[Som van Kosten (Totaal )]]/Tabel2[[#This Row],[Conversies]]</f>
        <v>38.96</v>
      </c>
    </row>
    <row r="52" spans="1:14" hidden="1">
      <c r="A52" s="3" t="s">
        <v>64</v>
      </c>
      <c r="B52">
        <v>6</v>
      </c>
      <c r="C52">
        <v>1466</v>
      </c>
      <c r="D52">
        <v>63</v>
      </c>
      <c r="E52" s="4">
        <v>0.13500000000000001</v>
      </c>
      <c r="F52" s="5">
        <v>4.328333333333334E-2</v>
      </c>
      <c r="G52">
        <v>2</v>
      </c>
      <c r="H52" s="4">
        <v>1.5366666666666668</v>
      </c>
      <c r="I52" s="5">
        <v>3.1949999999999999E-2</v>
      </c>
      <c r="J52" s="4">
        <v>9.2200000000000006</v>
      </c>
      <c r="K52">
        <v>1</v>
      </c>
      <c r="L52" s="10">
        <f>Tabel2[[#This Row],[Conversies]]/Tabel2[[#This Row],[Aantal vacatures]]</f>
        <v>0.16666666666666666</v>
      </c>
      <c r="M52" s="4">
        <f>Tabel2[[#This Row],[Som van Kosten (Totaal )]]/Tabel2[[#This Row],[Conversies]]</f>
        <v>9.2200000000000006</v>
      </c>
      <c r="N52" s="4">
        <f>Tabel2[[#This Row],[Som van Kosten (Totaal )]]/Tabel2[[#This Row],[Conversies]]</f>
        <v>9.2200000000000006</v>
      </c>
    </row>
    <row r="53" spans="1:14" hidden="1">
      <c r="A53" s="3" t="s">
        <v>65</v>
      </c>
      <c r="B53">
        <v>7</v>
      </c>
      <c r="C53">
        <v>11529</v>
      </c>
      <c r="D53">
        <v>402</v>
      </c>
      <c r="E53" s="4">
        <v>0.33142857142857141</v>
      </c>
      <c r="F53" s="5">
        <v>2.4542857142857144E-2</v>
      </c>
      <c r="G53">
        <v>28</v>
      </c>
      <c r="H53" s="4">
        <v>6.3285714285714292</v>
      </c>
      <c r="I53" s="5">
        <v>4.2642857142857142E-2</v>
      </c>
      <c r="J53" s="4">
        <v>175.24</v>
      </c>
      <c r="K53">
        <v>1</v>
      </c>
      <c r="L53" s="10">
        <f>Tabel2[[#This Row],[Conversies]]/Tabel2[[#This Row],[Aantal vacatures]]</f>
        <v>0.14285714285714285</v>
      </c>
      <c r="M53" s="4">
        <f>Tabel2[[#This Row],[Som van Kosten (Totaal )]]/Tabel2[[#This Row],[Conversies]]</f>
        <v>175.24</v>
      </c>
      <c r="N53" s="4">
        <f>Tabel2[[#This Row],[Som van Kosten (Totaal )]]/Tabel2[[#This Row],[Conversies]]</f>
        <v>175.24</v>
      </c>
    </row>
    <row r="54" spans="1:14" hidden="1">
      <c r="A54" s="3" t="s">
        <v>66</v>
      </c>
      <c r="B54">
        <v>7</v>
      </c>
      <c r="C54">
        <v>1556</v>
      </c>
      <c r="D54">
        <v>91</v>
      </c>
      <c r="E54" s="4">
        <v>0.98285714285714287</v>
      </c>
      <c r="F54" s="5">
        <v>5.4171428571428572E-2</v>
      </c>
      <c r="G54">
        <v>8</v>
      </c>
      <c r="H54" s="4">
        <v>7.1385714285714288</v>
      </c>
      <c r="I54" s="5">
        <v>8.6571428571428563E-2</v>
      </c>
      <c r="J54" s="4">
        <v>63.48</v>
      </c>
      <c r="K54">
        <v>1</v>
      </c>
      <c r="L54" s="10">
        <f>Tabel2[[#This Row],[Conversies]]/Tabel2[[#This Row],[Aantal vacatures]]</f>
        <v>0.14285714285714285</v>
      </c>
      <c r="M54" s="4">
        <f>Tabel2[[#This Row],[Som van Kosten (Totaal )]]/Tabel2[[#This Row],[Conversies]]</f>
        <v>63.48</v>
      </c>
      <c r="N54" s="4">
        <f>Tabel2[[#This Row],[Som van Kosten (Totaal )]]/Tabel2[[#This Row],[Conversies]]</f>
        <v>63.48</v>
      </c>
    </row>
    <row r="55" spans="1:14" hidden="1">
      <c r="A55" s="3" t="s">
        <v>67</v>
      </c>
      <c r="B55">
        <v>11</v>
      </c>
      <c r="C55">
        <v>10746</v>
      </c>
      <c r="D55">
        <v>478</v>
      </c>
      <c r="E55" s="4">
        <v>1.0254545454545454</v>
      </c>
      <c r="F55" s="5">
        <v>3.9463636363636367E-2</v>
      </c>
      <c r="G55">
        <v>33</v>
      </c>
      <c r="H55" s="4">
        <v>6.2472727272727271</v>
      </c>
      <c r="I55" s="5">
        <v>0.14426363636363637</v>
      </c>
      <c r="J55" s="4">
        <v>269.75</v>
      </c>
      <c r="K55">
        <v>1</v>
      </c>
      <c r="L55" s="10">
        <f>Tabel2[[#This Row],[Conversies]]/Tabel2[[#This Row],[Aantal vacatures]]</f>
        <v>9.0909090909090912E-2</v>
      </c>
      <c r="M55" s="4">
        <f>Tabel2[[#This Row],[Som van Kosten (Totaal )]]/Tabel2[[#This Row],[Conversies]]</f>
        <v>269.75</v>
      </c>
      <c r="N55" s="4">
        <f>Tabel2[[#This Row],[Som van Kosten (Totaal )]]/Tabel2[[#This Row],[Conversies]]</f>
        <v>269.75</v>
      </c>
    </row>
    <row r="56" spans="1:14" hidden="1">
      <c r="A56" s="3" t="s">
        <v>68</v>
      </c>
      <c r="B56">
        <v>1</v>
      </c>
      <c r="C56">
        <v>140</v>
      </c>
      <c r="D56">
        <v>10</v>
      </c>
      <c r="E56" s="4">
        <v>0</v>
      </c>
      <c r="F56" s="5">
        <v>7.1400000000000005E-2</v>
      </c>
      <c r="G56">
        <v>0</v>
      </c>
      <c r="H56" s="4">
        <v>0</v>
      </c>
      <c r="I56" s="5">
        <v>0</v>
      </c>
      <c r="J56" s="4">
        <v>0</v>
      </c>
      <c r="K56">
        <v>0</v>
      </c>
      <c r="L56" s="10">
        <f>Tabel2[[#This Row],[Conversies]]/Tabel2[[#This Row],[Aantal vacatures]]</f>
        <v>0</v>
      </c>
      <c r="M56" s="4">
        <v>0</v>
      </c>
      <c r="N56" s="4">
        <f>Tabel2[[#This Row],[Som van Kosten (Totaal )]]</f>
        <v>0</v>
      </c>
    </row>
    <row r="57" spans="1:14" hidden="1">
      <c r="A57" s="3" t="s">
        <v>69</v>
      </c>
      <c r="B57">
        <v>1</v>
      </c>
      <c r="C57">
        <v>313</v>
      </c>
      <c r="D57">
        <v>8</v>
      </c>
      <c r="E57" s="4">
        <v>0</v>
      </c>
      <c r="F57" s="5">
        <v>2.5600000000000001E-2</v>
      </c>
      <c r="G57">
        <v>0</v>
      </c>
      <c r="H57" s="4">
        <v>0</v>
      </c>
      <c r="I57" s="5">
        <v>0</v>
      </c>
      <c r="J57" s="4">
        <v>0</v>
      </c>
      <c r="K57">
        <v>0</v>
      </c>
      <c r="L57" s="10">
        <f>Tabel2[[#This Row],[Conversies]]/Tabel2[[#This Row],[Aantal vacatures]]</f>
        <v>0</v>
      </c>
      <c r="M57" s="4">
        <v>0</v>
      </c>
      <c r="N57" s="4">
        <f>Tabel2[[#This Row],[Som van Kosten (Totaal )]]</f>
        <v>0</v>
      </c>
    </row>
    <row r="58" spans="1:14" hidden="1">
      <c r="A58" s="3" t="s">
        <v>70</v>
      </c>
      <c r="B58">
        <v>13</v>
      </c>
      <c r="C58">
        <v>16475</v>
      </c>
      <c r="D58">
        <v>1005</v>
      </c>
      <c r="E58" s="4">
        <v>0.22230769230769232</v>
      </c>
      <c r="F58" s="5">
        <v>3.9753846153846153E-2</v>
      </c>
      <c r="G58">
        <v>56</v>
      </c>
      <c r="H58" s="4">
        <v>3.3223076923076929</v>
      </c>
      <c r="I58" s="5">
        <v>4.3015384615384608E-2</v>
      </c>
      <c r="J58" s="4">
        <v>316.57</v>
      </c>
      <c r="K58">
        <v>0</v>
      </c>
      <c r="L58" s="10">
        <f>Tabel2[[#This Row],[Conversies]]/Tabel2[[#This Row],[Aantal vacatures]]</f>
        <v>0</v>
      </c>
      <c r="M58" s="4">
        <v>0</v>
      </c>
      <c r="N58" s="4">
        <f>Tabel2[[#This Row],[Som van Kosten (Totaal )]]</f>
        <v>316.57</v>
      </c>
    </row>
    <row r="59" spans="1:14" hidden="1">
      <c r="A59" s="3" t="s">
        <v>71</v>
      </c>
      <c r="B59">
        <v>1</v>
      </c>
      <c r="C59">
        <v>375</v>
      </c>
      <c r="D59">
        <v>10</v>
      </c>
      <c r="E59" s="4">
        <v>0</v>
      </c>
      <c r="F59" s="5">
        <v>2.6700000000000002E-2</v>
      </c>
      <c r="G59">
        <v>0</v>
      </c>
      <c r="H59" s="4">
        <v>0</v>
      </c>
      <c r="I59" s="5">
        <v>0</v>
      </c>
      <c r="J59" s="4">
        <v>0</v>
      </c>
      <c r="K59">
        <v>0</v>
      </c>
      <c r="L59" s="10">
        <f>Tabel2[[#This Row],[Conversies]]/Tabel2[[#This Row],[Aantal vacatures]]</f>
        <v>0</v>
      </c>
      <c r="M59" s="4">
        <v>0</v>
      </c>
      <c r="N59" s="4">
        <f>Tabel2[[#This Row],[Som van Kosten (Totaal )]]</f>
        <v>0</v>
      </c>
    </row>
    <row r="60" spans="1:14" hidden="1">
      <c r="A60" s="3" t="s">
        <v>72</v>
      </c>
      <c r="B60">
        <v>1</v>
      </c>
      <c r="C60">
        <v>150</v>
      </c>
      <c r="D60">
        <v>2</v>
      </c>
      <c r="E60" s="4">
        <v>0</v>
      </c>
      <c r="F60" s="5">
        <v>1.3299999999999999E-2</v>
      </c>
      <c r="G60">
        <v>0</v>
      </c>
      <c r="H60" s="4">
        <v>0</v>
      </c>
      <c r="I60" s="5">
        <v>0</v>
      </c>
      <c r="J60" s="4">
        <v>0</v>
      </c>
      <c r="K60">
        <v>0</v>
      </c>
      <c r="L60" s="10">
        <f>Tabel2[[#This Row],[Conversies]]/Tabel2[[#This Row],[Aantal vacatures]]</f>
        <v>0</v>
      </c>
      <c r="M60" s="4">
        <v>0</v>
      </c>
      <c r="N60" s="4">
        <f>Tabel2[[#This Row],[Som van Kosten (Totaal )]]</f>
        <v>0</v>
      </c>
    </row>
    <row r="61" spans="1:14" hidden="1">
      <c r="A61" s="3" t="s">
        <v>73</v>
      </c>
      <c r="B61">
        <v>1</v>
      </c>
      <c r="C61">
        <v>88</v>
      </c>
      <c r="D61">
        <v>10</v>
      </c>
      <c r="E61" s="4">
        <v>0</v>
      </c>
      <c r="F61" s="5">
        <v>0.11360000000000001</v>
      </c>
      <c r="G61">
        <v>0</v>
      </c>
      <c r="H61" s="4">
        <v>0</v>
      </c>
      <c r="I61" s="5">
        <v>0</v>
      </c>
      <c r="J61" s="4">
        <v>0</v>
      </c>
      <c r="K61">
        <v>0</v>
      </c>
      <c r="L61" s="10">
        <f>Tabel2[[#This Row],[Conversies]]/Tabel2[[#This Row],[Aantal vacatures]]</f>
        <v>0</v>
      </c>
      <c r="M61" s="4">
        <v>0</v>
      </c>
      <c r="N61" s="4">
        <f>Tabel2[[#This Row],[Som van Kosten (Totaal )]]</f>
        <v>0</v>
      </c>
    </row>
    <row r="62" spans="1:14" hidden="1">
      <c r="A62" s="3" t="s">
        <v>74</v>
      </c>
      <c r="B62">
        <v>1</v>
      </c>
      <c r="C62">
        <v>1138</v>
      </c>
      <c r="D62">
        <v>65</v>
      </c>
      <c r="E62" s="4">
        <v>0.35</v>
      </c>
      <c r="F62" s="5">
        <v>5.7099999999999998E-2</v>
      </c>
      <c r="G62">
        <v>3</v>
      </c>
      <c r="H62" s="4">
        <v>7.64</v>
      </c>
      <c r="I62" s="5">
        <v>4.6199999999999998E-2</v>
      </c>
      <c r="J62" s="4">
        <v>22.92</v>
      </c>
      <c r="K62">
        <v>0</v>
      </c>
      <c r="L62" s="10">
        <f>Tabel2[[#This Row],[Conversies]]/Tabel2[[#This Row],[Aantal vacatures]]</f>
        <v>0</v>
      </c>
      <c r="M62" s="4">
        <v>0</v>
      </c>
      <c r="N62" s="4">
        <f>Tabel2[[#This Row],[Som van Kosten (Totaal )]]</f>
        <v>22.92</v>
      </c>
    </row>
    <row r="63" spans="1:14" hidden="1">
      <c r="A63" s="3" t="s">
        <v>75</v>
      </c>
      <c r="B63">
        <v>1</v>
      </c>
      <c r="C63">
        <v>378</v>
      </c>
      <c r="D63">
        <v>18</v>
      </c>
      <c r="E63" s="4">
        <v>0.43</v>
      </c>
      <c r="F63" s="5">
        <v>4.7600000000000003E-2</v>
      </c>
      <c r="G63">
        <v>2</v>
      </c>
      <c r="H63" s="4">
        <v>3.84</v>
      </c>
      <c r="I63" s="5">
        <v>0.1111</v>
      </c>
      <c r="J63" s="4">
        <v>7.68</v>
      </c>
      <c r="K63">
        <v>0</v>
      </c>
      <c r="L63" s="10">
        <f>Tabel2[[#This Row],[Conversies]]/Tabel2[[#This Row],[Aantal vacatures]]</f>
        <v>0</v>
      </c>
      <c r="M63" s="4">
        <v>0</v>
      </c>
      <c r="N63" s="4">
        <f>Tabel2[[#This Row],[Som van Kosten (Totaal )]]</f>
        <v>7.68</v>
      </c>
    </row>
    <row r="64" spans="1:14" hidden="1">
      <c r="A64" s="3" t="s">
        <v>76</v>
      </c>
      <c r="B64">
        <v>1</v>
      </c>
      <c r="C64">
        <v>960</v>
      </c>
      <c r="D64">
        <v>67</v>
      </c>
      <c r="E64" s="4">
        <v>0.43</v>
      </c>
      <c r="F64" s="5">
        <v>6.9800000000000001E-2</v>
      </c>
      <c r="G64">
        <v>2</v>
      </c>
      <c r="H64" s="4">
        <v>14.47</v>
      </c>
      <c r="I64" s="5">
        <v>2.9899999999999999E-2</v>
      </c>
      <c r="J64" s="4">
        <v>28.94</v>
      </c>
      <c r="K64">
        <v>0</v>
      </c>
      <c r="L64" s="10">
        <f>Tabel2[[#This Row],[Conversies]]/Tabel2[[#This Row],[Aantal vacatures]]</f>
        <v>0</v>
      </c>
      <c r="M64" s="4">
        <v>0</v>
      </c>
      <c r="N64" s="4">
        <f>Tabel2[[#This Row],[Som van Kosten (Totaal )]]</f>
        <v>28.94</v>
      </c>
    </row>
    <row r="65" spans="1:14" hidden="1">
      <c r="A65" s="3" t="s">
        <v>77</v>
      </c>
      <c r="B65">
        <v>1</v>
      </c>
      <c r="C65">
        <v>82</v>
      </c>
      <c r="D65">
        <v>0</v>
      </c>
      <c r="E65" s="4">
        <v>0</v>
      </c>
      <c r="F65" s="5">
        <v>0</v>
      </c>
      <c r="G65">
        <v>0</v>
      </c>
      <c r="H65" s="4">
        <v>0</v>
      </c>
      <c r="I65" s="5">
        <v>0</v>
      </c>
      <c r="J65" s="4">
        <v>0</v>
      </c>
      <c r="K65">
        <v>0</v>
      </c>
      <c r="L65" s="10">
        <f>Tabel2[[#This Row],[Conversies]]/Tabel2[[#This Row],[Aantal vacatures]]</f>
        <v>0</v>
      </c>
      <c r="M65" s="4">
        <v>0</v>
      </c>
      <c r="N65" s="4">
        <f>Tabel2[[#This Row],[Som van Kosten (Totaal )]]</f>
        <v>0</v>
      </c>
    </row>
    <row r="66" spans="1:14" hidden="1">
      <c r="A66" s="3" t="s">
        <v>78</v>
      </c>
      <c r="B66">
        <v>1</v>
      </c>
      <c r="C66">
        <v>231</v>
      </c>
      <c r="D66">
        <v>17</v>
      </c>
      <c r="E66" s="4">
        <v>0.87</v>
      </c>
      <c r="F66" s="5">
        <v>7.3599999999999999E-2</v>
      </c>
      <c r="G66">
        <v>2</v>
      </c>
      <c r="H66" s="4">
        <v>7.44</v>
      </c>
      <c r="I66" s="5">
        <v>0.1176</v>
      </c>
      <c r="J66" s="4">
        <v>14.87</v>
      </c>
      <c r="K66">
        <v>0</v>
      </c>
      <c r="L66" s="10">
        <f>Tabel2[[#This Row],[Conversies]]/Tabel2[[#This Row],[Aantal vacatures]]</f>
        <v>0</v>
      </c>
      <c r="M66" s="4">
        <v>0</v>
      </c>
      <c r="N66" s="4">
        <f>Tabel2[[#This Row],[Som van Kosten (Totaal )]]</f>
        <v>14.87</v>
      </c>
    </row>
    <row r="67" spans="1:14" hidden="1">
      <c r="A67" s="3" t="s">
        <v>79</v>
      </c>
      <c r="B67">
        <v>1</v>
      </c>
      <c r="C67">
        <v>429</v>
      </c>
      <c r="D67">
        <v>24</v>
      </c>
      <c r="E67" s="4">
        <v>0.74</v>
      </c>
      <c r="F67" s="5">
        <v>5.5899999999999998E-2</v>
      </c>
      <c r="G67">
        <v>4</v>
      </c>
      <c r="H67" s="4">
        <v>4.46</v>
      </c>
      <c r="I67" s="5">
        <v>0.16669999999999999</v>
      </c>
      <c r="J67" s="4">
        <v>17.82</v>
      </c>
      <c r="K67">
        <v>0</v>
      </c>
      <c r="L67" s="10">
        <f>Tabel2[[#This Row],[Conversies]]/Tabel2[[#This Row],[Aantal vacatures]]</f>
        <v>0</v>
      </c>
      <c r="M67" s="4">
        <v>0</v>
      </c>
      <c r="N67" s="4">
        <f>Tabel2[[#This Row],[Som van Kosten (Totaal )]]</f>
        <v>17.82</v>
      </c>
    </row>
    <row r="68" spans="1:14" hidden="1">
      <c r="A68" s="3" t="s">
        <v>80</v>
      </c>
      <c r="B68">
        <v>1</v>
      </c>
      <c r="C68">
        <v>266</v>
      </c>
      <c r="D68">
        <v>10</v>
      </c>
      <c r="E68" s="4">
        <v>0.42</v>
      </c>
      <c r="F68" s="5">
        <v>3.7600000000000001E-2</v>
      </c>
      <c r="G68">
        <v>1</v>
      </c>
      <c r="H68" s="4">
        <v>4.21</v>
      </c>
      <c r="I68" s="5">
        <v>0.1</v>
      </c>
      <c r="J68" s="4">
        <v>4.21</v>
      </c>
      <c r="K68">
        <v>0</v>
      </c>
      <c r="L68" s="10">
        <f>Tabel2[[#This Row],[Conversies]]/Tabel2[[#This Row],[Aantal vacatures]]</f>
        <v>0</v>
      </c>
      <c r="M68" s="4">
        <v>0</v>
      </c>
      <c r="N68" s="4">
        <f>Tabel2[[#This Row],[Som van Kosten (Totaal )]]</f>
        <v>4.21</v>
      </c>
    </row>
    <row r="69" spans="1:14" hidden="1">
      <c r="A69" s="3" t="s">
        <v>81</v>
      </c>
      <c r="B69">
        <v>4</v>
      </c>
      <c r="C69">
        <v>12374</v>
      </c>
      <c r="D69">
        <v>722</v>
      </c>
      <c r="E69" s="4">
        <v>0.53749999999999998</v>
      </c>
      <c r="F69" s="5">
        <v>6.1249999999999999E-2</v>
      </c>
      <c r="G69">
        <v>60</v>
      </c>
      <c r="H69" s="4">
        <v>5.5650000000000004</v>
      </c>
      <c r="I69" s="5">
        <v>9.6225000000000005E-2</v>
      </c>
      <c r="J69" s="4">
        <v>329.41999999999996</v>
      </c>
      <c r="K69">
        <v>0</v>
      </c>
      <c r="L69" s="10">
        <f>Tabel2[[#This Row],[Conversies]]/Tabel2[[#This Row],[Aantal vacatures]]</f>
        <v>0</v>
      </c>
      <c r="M69" s="4">
        <v>0</v>
      </c>
      <c r="N69" s="4">
        <f>Tabel2[[#This Row],[Som van Kosten (Totaal )]]</f>
        <v>329.41999999999996</v>
      </c>
    </row>
    <row r="70" spans="1:14" hidden="1">
      <c r="A70" s="3" t="s">
        <v>82</v>
      </c>
      <c r="B70">
        <v>2</v>
      </c>
      <c r="C70">
        <v>1024</v>
      </c>
      <c r="D70">
        <v>33</v>
      </c>
      <c r="E70" s="4">
        <v>0.86499999999999999</v>
      </c>
      <c r="F70" s="5">
        <v>3.6299999999999999E-2</v>
      </c>
      <c r="G70">
        <v>3</v>
      </c>
      <c r="H70" s="4">
        <v>6.04</v>
      </c>
      <c r="I70" s="5">
        <v>7.145E-2</v>
      </c>
      <c r="J70" s="4">
        <v>36.229999999999997</v>
      </c>
      <c r="K70">
        <v>0</v>
      </c>
      <c r="L70" s="10">
        <f>Tabel2[[#This Row],[Conversies]]/Tabel2[[#This Row],[Aantal vacatures]]</f>
        <v>0</v>
      </c>
      <c r="M70" s="4">
        <v>0</v>
      </c>
      <c r="N70" s="4">
        <f>Tabel2[[#This Row],[Som van Kosten (Totaal )]]</f>
        <v>36.229999999999997</v>
      </c>
    </row>
    <row r="71" spans="1:14" hidden="1">
      <c r="A71" s="3" t="s">
        <v>83</v>
      </c>
      <c r="B71">
        <v>1</v>
      </c>
      <c r="C71">
        <v>655</v>
      </c>
      <c r="D71">
        <v>43</v>
      </c>
      <c r="E71" s="4">
        <v>1.37</v>
      </c>
      <c r="F71" s="5">
        <v>6.5600000000000006E-2</v>
      </c>
      <c r="G71">
        <v>5</v>
      </c>
      <c r="H71" s="4">
        <v>11.79</v>
      </c>
      <c r="I71" s="5">
        <v>0.1163</v>
      </c>
      <c r="J71" s="4">
        <v>58.94</v>
      </c>
      <c r="K71">
        <v>0</v>
      </c>
      <c r="L71" s="10">
        <f>Tabel2[[#This Row],[Conversies]]/Tabel2[[#This Row],[Aantal vacatures]]</f>
        <v>0</v>
      </c>
      <c r="M71" s="4">
        <v>0</v>
      </c>
      <c r="N71" s="4">
        <f>Tabel2[[#This Row],[Som van Kosten (Totaal )]]</f>
        <v>58.94</v>
      </c>
    </row>
    <row r="72" spans="1:14" hidden="1">
      <c r="A72" s="3" t="s">
        <v>84</v>
      </c>
      <c r="B72">
        <v>8</v>
      </c>
      <c r="C72">
        <v>7058</v>
      </c>
      <c r="D72">
        <v>380</v>
      </c>
      <c r="E72" s="4">
        <v>0.38624999999999998</v>
      </c>
      <c r="F72" s="5">
        <v>5.3862500000000001E-2</v>
      </c>
      <c r="G72">
        <v>24</v>
      </c>
      <c r="H72" s="4">
        <v>5.4275000000000002</v>
      </c>
      <c r="I72" s="5">
        <v>7.2787500000000005E-2</v>
      </c>
      <c r="J72" s="4">
        <v>130.97999999999999</v>
      </c>
      <c r="K72">
        <v>0</v>
      </c>
      <c r="L72" s="10">
        <f>Tabel2[[#This Row],[Conversies]]/Tabel2[[#This Row],[Aantal vacatures]]</f>
        <v>0</v>
      </c>
      <c r="M72" s="4">
        <v>0</v>
      </c>
      <c r="N72" s="4">
        <f>Tabel2[[#This Row],[Som van Kosten (Totaal )]]</f>
        <v>130.97999999999999</v>
      </c>
    </row>
    <row r="73" spans="1:14" hidden="1">
      <c r="A73" s="3" t="s">
        <v>85</v>
      </c>
      <c r="B73">
        <v>9</v>
      </c>
      <c r="C73">
        <v>6016</v>
      </c>
      <c r="D73">
        <v>337</v>
      </c>
      <c r="E73" s="4">
        <v>0.39333333333333337</v>
      </c>
      <c r="F73" s="5">
        <v>5.8577777777777777E-2</v>
      </c>
      <c r="G73">
        <v>26</v>
      </c>
      <c r="H73" s="4">
        <v>4.6988888888888889</v>
      </c>
      <c r="I73" s="5">
        <v>8.2333333333333328E-2</v>
      </c>
      <c r="J73" s="4">
        <v>125.39</v>
      </c>
      <c r="K73">
        <v>0</v>
      </c>
      <c r="L73" s="10">
        <f>Tabel2[[#This Row],[Conversies]]/Tabel2[[#This Row],[Aantal vacatures]]</f>
        <v>0</v>
      </c>
      <c r="M73" s="4">
        <v>0</v>
      </c>
      <c r="N73" s="4">
        <f>Tabel2[[#This Row],[Som van Kosten (Totaal )]]</f>
        <v>125.39</v>
      </c>
    </row>
    <row r="74" spans="1:14" hidden="1">
      <c r="A74" s="3" t="s">
        <v>86</v>
      </c>
      <c r="B74">
        <v>1</v>
      </c>
      <c r="C74">
        <v>0</v>
      </c>
      <c r="D74">
        <v>0</v>
      </c>
      <c r="E74" s="4">
        <v>0</v>
      </c>
      <c r="F74" s="5">
        <v>0</v>
      </c>
      <c r="G74">
        <v>0</v>
      </c>
      <c r="H74" s="4">
        <v>0</v>
      </c>
      <c r="I74" s="5">
        <v>0</v>
      </c>
      <c r="J74" s="4">
        <v>0</v>
      </c>
      <c r="K74">
        <v>0</v>
      </c>
      <c r="L74" s="10">
        <f>Tabel2[[#This Row],[Conversies]]/Tabel2[[#This Row],[Aantal vacatures]]</f>
        <v>0</v>
      </c>
      <c r="M74" s="4">
        <v>0</v>
      </c>
      <c r="N74" s="4">
        <f>Tabel2[[#This Row],[Som van Kosten (Totaal )]]</f>
        <v>0</v>
      </c>
    </row>
    <row r="75" spans="1:14" hidden="1">
      <c r="A75" s="3" t="s">
        <v>87</v>
      </c>
      <c r="B75">
        <v>2</v>
      </c>
      <c r="C75">
        <v>131</v>
      </c>
      <c r="D75">
        <v>3</v>
      </c>
      <c r="E75" s="4">
        <v>0</v>
      </c>
      <c r="F75" s="5">
        <v>2.2600000000000002E-2</v>
      </c>
      <c r="G75">
        <v>0</v>
      </c>
      <c r="H75" s="4">
        <v>0</v>
      </c>
      <c r="I75" s="5">
        <v>0</v>
      </c>
      <c r="J75" s="4">
        <v>0</v>
      </c>
      <c r="K75">
        <v>0</v>
      </c>
      <c r="L75" s="10">
        <f>Tabel2[[#This Row],[Conversies]]/Tabel2[[#This Row],[Aantal vacatures]]</f>
        <v>0</v>
      </c>
      <c r="M75" s="4">
        <v>0</v>
      </c>
      <c r="N75" s="4">
        <f>Tabel2[[#This Row],[Som van Kosten (Totaal )]]</f>
        <v>0</v>
      </c>
    </row>
    <row r="76" spans="1:14" hidden="1">
      <c r="A76" s="3" t="s">
        <v>88</v>
      </c>
      <c r="B76">
        <v>2</v>
      </c>
      <c r="C76">
        <v>1145</v>
      </c>
      <c r="D76">
        <v>40</v>
      </c>
      <c r="E76" s="4">
        <v>0.17</v>
      </c>
      <c r="F76" s="5">
        <v>3.6949999999999997E-2</v>
      </c>
      <c r="G76">
        <v>2</v>
      </c>
      <c r="H76" s="4">
        <v>1.5449999999999999</v>
      </c>
      <c r="I76" s="5">
        <v>5.5550000000000002E-2</v>
      </c>
      <c r="J76" s="4">
        <v>6.18</v>
      </c>
      <c r="K76">
        <v>0</v>
      </c>
      <c r="L76" s="10">
        <f>Tabel2[[#This Row],[Conversies]]/Tabel2[[#This Row],[Aantal vacatures]]</f>
        <v>0</v>
      </c>
      <c r="M76" s="4">
        <v>0</v>
      </c>
      <c r="N76" s="4">
        <f>Tabel2[[#This Row],[Som van Kosten (Totaal )]]</f>
        <v>6.18</v>
      </c>
    </row>
    <row r="77" spans="1:14" hidden="1">
      <c r="A77" s="3" t="s">
        <v>89</v>
      </c>
      <c r="B77">
        <v>2</v>
      </c>
      <c r="C77">
        <v>3965</v>
      </c>
      <c r="D77">
        <v>269</v>
      </c>
      <c r="E77" s="4">
        <v>0.42499999999999999</v>
      </c>
      <c r="F77" s="5">
        <v>6.5950000000000009E-2</v>
      </c>
      <c r="G77">
        <v>19</v>
      </c>
      <c r="H77" s="4">
        <v>6.5050000000000008</v>
      </c>
      <c r="I77" s="5">
        <v>6.7000000000000004E-2</v>
      </c>
      <c r="J77" s="4">
        <v>113.33000000000001</v>
      </c>
      <c r="K77">
        <v>0</v>
      </c>
      <c r="L77" s="10">
        <f>Tabel2[[#This Row],[Conversies]]/Tabel2[[#This Row],[Aantal vacatures]]</f>
        <v>0</v>
      </c>
      <c r="M77" s="4">
        <v>0</v>
      </c>
      <c r="N77" s="4">
        <f>Tabel2[[#This Row],[Som van Kosten (Totaal )]]</f>
        <v>113.33000000000001</v>
      </c>
    </row>
    <row r="78" spans="1:14" hidden="1">
      <c r="A78" s="3" t="s">
        <v>90</v>
      </c>
      <c r="B78">
        <v>1</v>
      </c>
      <c r="C78">
        <v>300</v>
      </c>
      <c r="D78">
        <v>15</v>
      </c>
      <c r="E78" s="4">
        <v>0.51</v>
      </c>
      <c r="F78" s="5">
        <v>0.05</v>
      </c>
      <c r="G78">
        <v>1</v>
      </c>
      <c r="H78" s="4">
        <v>7.69</v>
      </c>
      <c r="I78" s="5">
        <v>6.6699999999999995E-2</v>
      </c>
      <c r="J78" s="4">
        <v>7.69</v>
      </c>
      <c r="K78">
        <v>0</v>
      </c>
      <c r="L78" s="10">
        <f>Tabel2[[#This Row],[Conversies]]/Tabel2[[#This Row],[Aantal vacatures]]</f>
        <v>0</v>
      </c>
      <c r="M78" s="4">
        <v>0</v>
      </c>
      <c r="N78" s="4">
        <f>Tabel2[[#This Row],[Som van Kosten (Totaal )]]</f>
        <v>7.69</v>
      </c>
    </row>
    <row r="79" spans="1:14" hidden="1">
      <c r="A79" s="3" t="s">
        <v>91</v>
      </c>
      <c r="B79">
        <v>1</v>
      </c>
      <c r="C79">
        <v>234</v>
      </c>
      <c r="D79">
        <v>6</v>
      </c>
      <c r="E79" s="4">
        <v>0</v>
      </c>
      <c r="F79" s="5">
        <v>2.5600000000000001E-2</v>
      </c>
      <c r="G79">
        <v>0</v>
      </c>
      <c r="H79" s="4">
        <v>0</v>
      </c>
      <c r="I79" s="5">
        <v>0</v>
      </c>
      <c r="J79" s="4">
        <v>0</v>
      </c>
      <c r="K79">
        <v>0</v>
      </c>
      <c r="L79" s="10">
        <f>Tabel2[[#This Row],[Conversies]]/Tabel2[[#This Row],[Aantal vacatures]]</f>
        <v>0</v>
      </c>
      <c r="M79" s="4">
        <v>0</v>
      </c>
      <c r="N79" s="4">
        <f>Tabel2[[#This Row],[Som van Kosten (Totaal )]]</f>
        <v>0</v>
      </c>
    </row>
    <row r="80" spans="1:14" hidden="1">
      <c r="A80" s="3" t="s">
        <v>92</v>
      </c>
      <c r="B80">
        <v>1</v>
      </c>
      <c r="C80">
        <v>435</v>
      </c>
      <c r="D80">
        <v>39</v>
      </c>
      <c r="E80" s="4">
        <v>0</v>
      </c>
      <c r="F80" s="5">
        <v>8.9700000000000002E-2</v>
      </c>
      <c r="G80">
        <v>0</v>
      </c>
      <c r="H80" s="4">
        <v>0</v>
      </c>
      <c r="I80" s="5">
        <v>0</v>
      </c>
      <c r="J80" s="4">
        <v>0</v>
      </c>
      <c r="K80">
        <v>0</v>
      </c>
      <c r="L80" s="10">
        <f>Tabel2[[#This Row],[Conversies]]/Tabel2[[#This Row],[Aantal vacatures]]</f>
        <v>0</v>
      </c>
      <c r="M80" s="4">
        <v>0</v>
      </c>
      <c r="N80" s="4">
        <f>Tabel2[[#This Row],[Som van Kosten (Totaal )]]</f>
        <v>0</v>
      </c>
    </row>
    <row r="81" spans="1:14" hidden="1">
      <c r="A81" s="3" t="s">
        <v>93</v>
      </c>
      <c r="B81">
        <v>4</v>
      </c>
      <c r="C81">
        <v>4732</v>
      </c>
      <c r="D81">
        <v>170</v>
      </c>
      <c r="E81" s="4">
        <v>0.33500000000000002</v>
      </c>
      <c r="F81" s="5">
        <v>2.64E-2</v>
      </c>
      <c r="G81">
        <v>10</v>
      </c>
      <c r="H81" s="4">
        <v>5.3825000000000003</v>
      </c>
      <c r="I81" s="5">
        <v>4.7174999999999995E-2</v>
      </c>
      <c r="J81" s="4">
        <v>79.25</v>
      </c>
      <c r="K81">
        <v>0</v>
      </c>
      <c r="L81" s="10">
        <f>Tabel2[[#This Row],[Conversies]]/Tabel2[[#This Row],[Aantal vacatures]]</f>
        <v>0</v>
      </c>
      <c r="M81" s="4">
        <v>0</v>
      </c>
      <c r="N81" s="4">
        <f>Tabel2[[#This Row],[Som van Kosten (Totaal )]]</f>
        <v>79.25</v>
      </c>
    </row>
    <row r="82" spans="1:14" hidden="1">
      <c r="A82" s="3" t="s">
        <v>94</v>
      </c>
      <c r="B82">
        <v>1</v>
      </c>
      <c r="C82">
        <v>1062</v>
      </c>
      <c r="D82">
        <v>72</v>
      </c>
      <c r="E82" s="4">
        <v>0.61</v>
      </c>
      <c r="F82" s="5">
        <v>6.7799999999999999E-2</v>
      </c>
      <c r="G82">
        <v>9</v>
      </c>
      <c r="H82" s="4">
        <v>4.9000000000000004</v>
      </c>
      <c r="I82" s="5">
        <v>0.125</v>
      </c>
      <c r="J82" s="4">
        <v>44.12</v>
      </c>
      <c r="K82">
        <v>0</v>
      </c>
      <c r="L82" s="10">
        <f>Tabel2[[#This Row],[Conversies]]/Tabel2[[#This Row],[Aantal vacatures]]</f>
        <v>0</v>
      </c>
      <c r="M82" s="4">
        <v>0</v>
      </c>
      <c r="N82" s="4">
        <f>Tabel2[[#This Row],[Som van Kosten (Totaal )]]</f>
        <v>44.12</v>
      </c>
    </row>
    <row r="83" spans="1:14" hidden="1">
      <c r="A83" s="3" t="s">
        <v>95</v>
      </c>
      <c r="B83">
        <v>5</v>
      </c>
      <c r="C83">
        <v>1377</v>
      </c>
      <c r="D83">
        <v>46</v>
      </c>
      <c r="E83" s="4">
        <v>0.316</v>
      </c>
      <c r="F83" s="5">
        <v>2.596E-2</v>
      </c>
      <c r="G83">
        <v>2</v>
      </c>
      <c r="H83" s="4">
        <v>3.024</v>
      </c>
      <c r="I83" s="5">
        <v>3.5520000000000003E-2</v>
      </c>
      <c r="J83" s="4">
        <v>15.120000000000001</v>
      </c>
      <c r="K83">
        <v>0</v>
      </c>
      <c r="L83" s="10">
        <f>Tabel2[[#This Row],[Conversies]]/Tabel2[[#This Row],[Aantal vacatures]]</f>
        <v>0</v>
      </c>
      <c r="M83" s="4">
        <v>0</v>
      </c>
      <c r="N83" s="4">
        <f>Tabel2[[#This Row],[Som van Kosten (Totaal )]]</f>
        <v>15.120000000000001</v>
      </c>
    </row>
    <row r="84" spans="1:14" hidden="1">
      <c r="A84" s="3" t="s">
        <v>96</v>
      </c>
      <c r="B84">
        <v>6</v>
      </c>
      <c r="C84">
        <v>459</v>
      </c>
      <c r="D84">
        <v>21</v>
      </c>
      <c r="E84" s="4">
        <v>0.36833333333333335</v>
      </c>
      <c r="F84" s="5">
        <v>5.1666666666666673E-2</v>
      </c>
      <c r="G84">
        <v>1</v>
      </c>
      <c r="H84" s="4">
        <v>1.47</v>
      </c>
      <c r="I84" s="5">
        <v>4.1666666666666664E-2</v>
      </c>
      <c r="J84" s="4">
        <v>8.82</v>
      </c>
      <c r="K84">
        <v>0</v>
      </c>
      <c r="L84" s="10">
        <f>Tabel2[[#This Row],[Conversies]]/Tabel2[[#This Row],[Aantal vacatures]]</f>
        <v>0</v>
      </c>
      <c r="M84" s="4">
        <v>0</v>
      </c>
      <c r="N84" s="4">
        <f>Tabel2[[#This Row],[Som van Kosten (Totaal )]]</f>
        <v>8.82</v>
      </c>
    </row>
    <row r="85" spans="1:14" hidden="1">
      <c r="A85" s="3" t="s">
        <v>97</v>
      </c>
      <c r="B85">
        <v>1</v>
      </c>
      <c r="C85">
        <v>37</v>
      </c>
      <c r="D85">
        <v>1</v>
      </c>
      <c r="E85" s="4">
        <v>0</v>
      </c>
      <c r="F85" s="5">
        <v>2.7E-2</v>
      </c>
      <c r="G85">
        <v>0</v>
      </c>
      <c r="H85" s="4">
        <v>0</v>
      </c>
      <c r="I85" s="5">
        <v>0</v>
      </c>
      <c r="J85" s="4">
        <v>0</v>
      </c>
      <c r="K85">
        <v>0</v>
      </c>
      <c r="L85" s="10">
        <f>Tabel2[[#This Row],[Conversies]]/Tabel2[[#This Row],[Aantal vacatures]]</f>
        <v>0</v>
      </c>
      <c r="M85" s="4">
        <v>0</v>
      </c>
      <c r="N85" s="4">
        <f>Tabel2[[#This Row],[Som van Kosten (Totaal )]]</f>
        <v>0</v>
      </c>
    </row>
    <row r="86" spans="1:14" hidden="1">
      <c r="A86" s="3" t="s">
        <v>98</v>
      </c>
      <c r="B86">
        <v>2</v>
      </c>
      <c r="C86">
        <v>643</v>
      </c>
      <c r="D86">
        <v>23</v>
      </c>
      <c r="E86" s="4">
        <v>0</v>
      </c>
      <c r="F86" s="5">
        <v>3.4849999999999999E-2</v>
      </c>
      <c r="G86">
        <v>0</v>
      </c>
      <c r="H86" s="4">
        <v>0</v>
      </c>
      <c r="I86" s="5">
        <v>0</v>
      </c>
      <c r="J86" s="4">
        <v>0</v>
      </c>
      <c r="K86">
        <v>0</v>
      </c>
      <c r="L86" s="10">
        <f>Tabel2[[#This Row],[Conversies]]/Tabel2[[#This Row],[Aantal vacatures]]</f>
        <v>0</v>
      </c>
      <c r="M86" s="4">
        <v>0</v>
      </c>
      <c r="N86" s="4">
        <f>Tabel2[[#This Row],[Som van Kosten (Totaal )]]</f>
        <v>0</v>
      </c>
    </row>
    <row r="87" spans="1:14" hidden="1">
      <c r="A87" s="3" t="s">
        <v>99</v>
      </c>
      <c r="B87">
        <v>4</v>
      </c>
      <c r="C87">
        <v>771</v>
      </c>
      <c r="D87">
        <v>27</v>
      </c>
      <c r="E87" s="4">
        <v>0.06</v>
      </c>
      <c r="F87" s="5">
        <v>3.6225E-2</v>
      </c>
      <c r="G87">
        <v>1</v>
      </c>
      <c r="H87" s="4">
        <v>1.3325</v>
      </c>
      <c r="I87" s="5">
        <v>1.1375E-2</v>
      </c>
      <c r="J87" s="4">
        <v>5.33</v>
      </c>
      <c r="K87">
        <v>0</v>
      </c>
      <c r="L87" s="10">
        <f>Tabel2[[#This Row],[Conversies]]/Tabel2[[#This Row],[Aantal vacatures]]</f>
        <v>0</v>
      </c>
      <c r="M87" s="4">
        <v>0</v>
      </c>
      <c r="N87" s="4">
        <f>Tabel2[[#This Row],[Som van Kosten (Totaal )]]</f>
        <v>5.33</v>
      </c>
    </row>
    <row r="88" spans="1:14" hidden="1">
      <c r="A88" s="3" t="s">
        <v>100</v>
      </c>
      <c r="B88">
        <v>1</v>
      </c>
      <c r="C88">
        <v>2</v>
      </c>
      <c r="D88">
        <v>0</v>
      </c>
      <c r="E88" s="4">
        <v>0</v>
      </c>
      <c r="F88" s="5">
        <v>0</v>
      </c>
      <c r="G88">
        <v>0</v>
      </c>
      <c r="H88" s="4">
        <v>0</v>
      </c>
      <c r="I88" s="5">
        <v>0</v>
      </c>
      <c r="J88" s="4">
        <v>0</v>
      </c>
      <c r="K88">
        <v>0</v>
      </c>
      <c r="L88" s="10">
        <f>Tabel2[[#This Row],[Conversies]]/Tabel2[[#This Row],[Aantal vacatures]]</f>
        <v>0</v>
      </c>
      <c r="M88" s="4">
        <v>0</v>
      </c>
      <c r="N88" s="4">
        <f>Tabel2[[#This Row],[Som van Kosten (Totaal )]]</f>
        <v>0</v>
      </c>
    </row>
    <row r="89" spans="1:14" hidden="1">
      <c r="A89" s="3" t="s">
        <v>101</v>
      </c>
      <c r="B89">
        <v>2</v>
      </c>
      <c r="C89">
        <v>1116</v>
      </c>
      <c r="D89">
        <v>25</v>
      </c>
      <c r="E89" s="4">
        <v>2.6100000000000003</v>
      </c>
      <c r="F89" s="5">
        <v>1.7399999999999999E-2</v>
      </c>
      <c r="G89">
        <v>4</v>
      </c>
      <c r="H89" s="4">
        <v>7.28</v>
      </c>
      <c r="I89" s="5">
        <v>0.31519999999999998</v>
      </c>
      <c r="J89" s="4">
        <v>25.740000000000002</v>
      </c>
      <c r="K89">
        <v>0</v>
      </c>
      <c r="L89" s="10">
        <f>Tabel2[[#This Row],[Conversies]]/Tabel2[[#This Row],[Aantal vacatures]]</f>
        <v>0</v>
      </c>
      <c r="M89" s="4">
        <v>0</v>
      </c>
      <c r="N89" s="4">
        <f>Tabel2[[#This Row],[Som van Kosten (Totaal )]]</f>
        <v>25.740000000000002</v>
      </c>
    </row>
    <row r="90" spans="1:14" hidden="1">
      <c r="A90" s="3" t="s">
        <v>102</v>
      </c>
      <c r="B90">
        <v>3</v>
      </c>
      <c r="C90">
        <v>2696</v>
      </c>
      <c r="D90">
        <v>111</v>
      </c>
      <c r="E90" s="4">
        <v>0.69666666666666666</v>
      </c>
      <c r="F90" s="5">
        <v>2.6033333333333335E-2</v>
      </c>
      <c r="G90">
        <v>13</v>
      </c>
      <c r="H90" s="4">
        <v>5.7733333333333334</v>
      </c>
      <c r="I90" s="5">
        <v>8.0266666666666667E-2</v>
      </c>
      <c r="J90" s="4">
        <v>106.75</v>
      </c>
      <c r="K90">
        <v>0</v>
      </c>
      <c r="L90" s="10">
        <f>Tabel2[[#This Row],[Conversies]]/Tabel2[[#This Row],[Aantal vacatures]]</f>
        <v>0</v>
      </c>
      <c r="M90" s="4">
        <v>0</v>
      </c>
      <c r="N90" s="4">
        <f>Tabel2[[#This Row],[Som van Kosten (Totaal )]]</f>
        <v>106.75</v>
      </c>
    </row>
    <row r="91" spans="1:14" hidden="1">
      <c r="A91" s="3" t="s">
        <v>103</v>
      </c>
      <c r="B91">
        <v>1</v>
      </c>
      <c r="C91">
        <v>740</v>
      </c>
      <c r="D91">
        <v>49</v>
      </c>
      <c r="E91" s="4">
        <v>0.52</v>
      </c>
      <c r="F91" s="5">
        <v>6.6199999999999995E-2</v>
      </c>
      <c r="G91">
        <v>3</v>
      </c>
      <c r="H91" s="4">
        <v>8.44</v>
      </c>
      <c r="I91" s="5">
        <v>6.1199999999999997E-2</v>
      </c>
      <c r="J91" s="4">
        <v>25.32</v>
      </c>
      <c r="K91">
        <v>0</v>
      </c>
      <c r="L91" s="10">
        <f>Tabel2[[#This Row],[Conversies]]/Tabel2[[#This Row],[Aantal vacatures]]</f>
        <v>0</v>
      </c>
      <c r="M91" s="4">
        <v>0</v>
      </c>
      <c r="N91" s="4">
        <f>Tabel2[[#This Row],[Som van Kosten (Totaal )]]</f>
        <v>25.32</v>
      </c>
    </row>
    <row r="92" spans="1:14" hidden="1">
      <c r="A92" s="3" t="s">
        <v>104</v>
      </c>
      <c r="B92">
        <v>1</v>
      </c>
      <c r="C92">
        <v>0</v>
      </c>
      <c r="D92">
        <v>0</v>
      </c>
      <c r="E92" s="4">
        <v>0</v>
      </c>
      <c r="F92" s="5">
        <v>0</v>
      </c>
      <c r="G92">
        <v>0</v>
      </c>
      <c r="H92" s="4">
        <v>0</v>
      </c>
      <c r="I92" s="5">
        <v>0</v>
      </c>
      <c r="J92" s="4">
        <v>0</v>
      </c>
      <c r="K92">
        <v>0</v>
      </c>
      <c r="L92" s="10">
        <f>Tabel2[[#This Row],[Conversies]]/Tabel2[[#This Row],[Aantal vacatures]]</f>
        <v>0</v>
      </c>
      <c r="M92" s="4">
        <v>0</v>
      </c>
      <c r="N92" s="4">
        <f>Tabel2[[#This Row],[Som van Kosten (Totaal )]]</f>
        <v>0</v>
      </c>
    </row>
    <row r="93" spans="1:14" hidden="1">
      <c r="A93" s="3" t="s">
        <v>105</v>
      </c>
      <c r="B93">
        <v>1</v>
      </c>
      <c r="C93">
        <v>307</v>
      </c>
      <c r="D93">
        <v>15</v>
      </c>
      <c r="E93" s="4">
        <v>0</v>
      </c>
      <c r="F93" s="5">
        <v>4.8899999999999999E-2</v>
      </c>
      <c r="G93">
        <v>0</v>
      </c>
      <c r="H93" s="4">
        <v>0</v>
      </c>
      <c r="I93" s="5">
        <v>0</v>
      </c>
      <c r="J93" s="4">
        <v>0</v>
      </c>
      <c r="K93">
        <v>0</v>
      </c>
      <c r="L93" s="10">
        <f>Tabel2[[#This Row],[Conversies]]/Tabel2[[#This Row],[Aantal vacatures]]</f>
        <v>0</v>
      </c>
      <c r="M93" s="4">
        <v>0</v>
      </c>
      <c r="N93" s="4">
        <f>Tabel2[[#This Row],[Som van Kosten (Totaal )]]</f>
        <v>0</v>
      </c>
    </row>
    <row r="94" spans="1:14" hidden="1">
      <c r="A94" s="3" t="s">
        <v>106</v>
      </c>
      <c r="B94">
        <v>2</v>
      </c>
      <c r="C94">
        <v>470</v>
      </c>
      <c r="D94">
        <v>20</v>
      </c>
      <c r="E94" s="4">
        <v>0.45</v>
      </c>
      <c r="F94" s="5">
        <v>5.1150000000000001E-2</v>
      </c>
      <c r="G94">
        <v>1</v>
      </c>
      <c r="H94" s="4">
        <v>5.84</v>
      </c>
      <c r="I94" s="5">
        <v>3.8449999999999998E-2</v>
      </c>
      <c r="J94" s="4">
        <v>11.68</v>
      </c>
      <c r="K94">
        <v>0</v>
      </c>
      <c r="L94" s="10">
        <f>Tabel2[[#This Row],[Conversies]]/Tabel2[[#This Row],[Aantal vacatures]]</f>
        <v>0</v>
      </c>
      <c r="M94" s="4">
        <v>0</v>
      </c>
      <c r="N94" s="4">
        <f>Tabel2[[#This Row],[Som van Kosten (Totaal )]]</f>
        <v>11.68</v>
      </c>
    </row>
    <row r="95" spans="1:14" hidden="1">
      <c r="A95" s="3" t="s">
        <v>107</v>
      </c>
      <c r="B95">
        <v>4</v>
      </c>
      <c r="C95">
        <v>1575</v>
      </c>
      <c r="D95">
        <v>33</v>
      </c>
      <c r="E95" s="4">
        <v>0.26</v>
      </c>
      <c r="F95" s="5">
        <v>1.9749999999999997E-2</v>
      </c>
      <c r="G95">
        <v>2</v>
      </c>
      <c r="H95" s="4">
        <v>0.91</v>
      </c>
      <c r="I95" s="5">
        <v>7.1425000000000002E-2</v>
      </c>
      <c r="J95" s="4">
        <v>7.28</v>
      </c>
      <c r="K95">
        <v>0</v>
      </c>
      <c r="L95" s="10">
        <f>Tabel2[[#This Row],[Conversies]]/Tabel2[[#This Row],[Aantal vacatures]]</f>
        <v>0</v>
      </c>
      <c r="M95" s="4">
        <v>0</v>
      </c>
      <c r="N95" s="4">
        <f>Tabel2[[#This Row],[Som van Kosten (Totaal )]]</f>
        <v>7.28</v>
      </c>
    </row>
    <row r="96" spans="1:14" hidden="1">
      <c r="A96" s="3" t="s">
        <v>108</v>
      </c>
      <c r="B96">
        <v>6</v>
      </c>
      <c r="C96">
        <v>774</v>
      </c>
      <c r="D96">
        <v>33</v>
      </c>
      <c r="E96" s="4">
        <v>0.32666666666666666</v>
      </c>
      <c r="F96" s="5">
        <v>3.7399999999999996E-2</v>
      </c>
      <c r="G96">
        <v>1</v>
      </c>
      <c r="H96" s="4">
        <v>0.97833333333333339</v>
      </c>
      <c r="I96" s="5">
        <v>5.5549999999999995E-2</v>
      </c>
      <c r="J96" s="4">
        <v>5.87</v>
      </c>
      <c r="K96">
        <v>0</v>
      </c>
      <c r="L96" s="10">
        <f>Tabel2[[#This Row],[Conversies]]/Tabel2[[#This Row],[Aantal vacatures]]</f>
        <v>0</v>
      </c>
      <c r="M96" s="4">
        <v>0</v>
      </c>
      <c r="N96" s="4">
        <f>Tabel2[[#This Row],[Som van Kosten (Totaal )]]</f>
        <v>5.87</v>
      </c>
    </row>
    <row r="97" spans="1:14" hidden="1">
      <c r="A97" s="3" t="s">
        <v>109</v>
      </c>
      <c r="B97">
        <v>2</v>
      </c>
      <c r="C97">
        <v>763</v>
      </c>
      <c r="D97">
        <v>33</v>
      </c>
      <c r="E97" s="4">
        <v>0.81</v>
      </c>
      <c r="F97" s="5">
        <v>4.5999999999999999E-2</v>
      </c>
      <c r="G97">
        <v>3</v>
      </c>
      <c r="H97" s="4">
        <v>5.4</v>
      </c>
      <c r="I97" s="5">
        <v>7.4999999999999997E-2</v>
      </c>
      <c r="J97" s="4">
        <v>32.4</v>
      </c>
      <c r="K97">
        <v>0</v>
      </c>
      <c r="L97" s="10">
        <f>Tabel2[[#This Row],[Conversies]]/Tabel2[[#This Row],[Aantal vacatures]]</f>
        <v>0</v>
      </c>
      <c r="M97" s="4">
        <v>0</v>
      </c>
      <c r="N97" s="4">
        <f>Tabel2[[#This Row],[Som van Kosten (Totaal )]]</f>
        <v>32.4</v>
      </c>
    </row>
    <row r="98" spans="1:14" hidden="1">
      <c r="A98" s="3" t="s">
        <v>110</v>
      </c>
      <c r="B98">
        <v>1</v>
      </c>
      <c r="C98">
        <v>546</v>
      </c>
      <c r="D98">
        <v>23</v>
      </c>
      <c r="E98" s="4">
        <v>0.66</v>
      </c>
      <c r="F98" s="5">
        <v>4.2099999999999999E-2</v>
      </c>
      <c r="G98">
        <v>3</v>
      </c>
      <c r="H98" s="4">
        <v>5.09</v>
      </c>
      <c r="I98" s="5">
        <v>0.13039999999999999</v>
      </c>
      <c r="J98" s="4">
        <v>15.28</v>
      </c>
      <c r="K98">
        <v>0</v>
      </c>
      <c r="L98" s="10">
        <f>Tabel2[[#This Row],[Conversies]]/Tabel2[[#This Row],[Aantal vacatures]]</f>
        <v>0</v>
      </c>
      <c r="M98" s="4">
        <v>0</v>
      </c>
      <c r="N98" s="4">
        <f>Tabel2[[#This Row],[Som van Kosten (Totaal )]]</f>
        <v>15.28</v>
      </c>
    </row>
    <row r="99" spans="1:14" hidden="1">
      <c r="A99" s="3" t="s">
        <v>111</v>
      </c>
      <c r="B99">
        <v>2</v>
      </c>
      <c r="C99">
        <v>169</v>
      </c>
      <c r="D99">
        <v>5</v>
      </c>
      <c r="E99" s="4">
        <v>1.06</v>
      </c>
      <c r="F99" s="5">
        <v>2.7650000000000001E-2</v>
      </c>
      <c r="G99">
        <v>1</v>
      </c>
      <c r="H99" s="4">
        <v>4.24</v>
      </c>
      <c r="I99" s="5">
        <v>0.125</v>
      </c>
      <c r="J99" s="4">
        <v>8.48</v>
      </c>
      <c r="K99">
        <v>0</v>
      </c>
      <c r="L99" s="10">
        <f>Tabel2[[#This Row],[Conversies]]/Tabel2[[#This Row],[Aantal vacatures]]</f>
        <v>0</v>
      </c>
      <c r="M99" s="4">
        <v>0</v>
      </c>
      <c r="N99" s="4">
        <f>Tabel2[[#This Row],[Som van Kosten (Totaal )]]</f>
        <v>8.48</v>
      </c>
    </row>
    <row r="100" spans="1:14" hidden="1">
      <c r="A100" s="3" t="s">
        <v>112</v>
      </c>
      <c r="B100">
        <v>3</v>
      </c>
      <c r="C100">
        <v>397</v>
      </c>
      <c r="D100">
        <v>17</v>
      </c>
      <c r="E100" s="4">
        <v>0</v>
      </c>
      <c r="F100" s="5">
        <v>4.006666666666666E-2</v>
      </c>
      <c r="G100">
        <v>0</v>
      </c>
      <c r="H100" s="4">
        <v>0</v>
      </c>
      <c r="I100" s="5">
        <v>0</v>
      </c>
      <c r="J100" s="4">
        <v>0</v>
      </c>
      <c r="K100">
        <v>0</v>
      </c>
      <c r="L100" s="10">
        <f>Tabel2[[#This Row],[Conversies]]/Tabel2[[#This Row],[Aantal vacatures]]</f>
        <v>0</v>
      </c>
      <c r="M100" s="4">
        <v>0</v>
      </c>
      <c r="N100" s="4">
        <f>Tabel2[[#This Row],[Som van Kosten (Totaal )]]</f>
        <v>0</v>
      </c>
    </row>
    <row r="101" spans="1:14" hidden="1">
      <c r="A101" s="3" t="s">
        <v>113</v>
      </c>
      <c r="B101">
        <v>4</v>
      </c>
      <c r="C101">
        <v>1594</v>
      </c>
      <c r="D101">
        <v>80</v>
      </c>
      <c r="E101" s="4">
        <v>0.6825</v>
      </c>
      <c r="F101" s="5">
        <v>5.9274999999999994E-2</v>
      </c>
      <c r="G101">
        <v>4</v>
      </c>
      <c r="H101" s="4">
        <v>10.3925</v>
      </c>
      <c r="I101" s="5">
        <v>6.2975000000000003E-2</v>
      </c>
      <c r="J101" s="4">
        <v>41.57</v>
      </c>
      <c r="K101">
        <v>0</v>
      </c>
      <c r="L101" s="10">
        <f>Tabel2[[#This Row],[Conversies]]/Tabel2[[#This Row],[Aantal vacatures]]</f>
        <v>0</v>
      </c>
      <c r="M101" s="4">
        <v>0</v>
      </c>
      <c r="N101" s="4">
        <f>Tabel2[[#This Row],[Som van Kosten (Totaal )]]</f>
        <v>41.57</v>
      </c>
    </row>
    <row r="102" spans="1:14" hidden="1">
      <c r="A102" s="3" t="s">
        <v>114</v>
      </c>
      <c r="B102">
        <v>2</v>
      </c>
      <c r="C102">
        <v>358</v>
      </c>
      <c r="D102">
        <v>23</v>
      </c>
      <c r="E102" s="4">
        <v>0</v>
      </c>
      <c r="F102" s="5">
        <v>6.2149999999999997E-2</v>
      </c>
      <c r="G102">
        <v>0</v>
      </c>
      <c r="H102" s="4">
        <v>0</v>
      </c>
      <c r="I102" s="5">
        <v>0</v>
      </c>
      <c r="J102" s="4">
        <v>0</v>
      </c>
      <c r="K102">
        <v>0</v>
      </c>
      <c r="L102" s="10">
        <f>Tabel2[[#This Row],[Conversies]]/Tabel2[[#This Row],[Aantal vacatures]]</f>
        <v>0</v>
      </c>
      <c r="M102" s="4">
        <v>0</v>
      </c>
      <c r="N102" s="4">
        <f>Tabel2[[#This Row],[Som van Kosten (Totaal )]]</f>
        <v>0</v>
      </c>
    </row>
    <row r="103" spans="1:14" hidden="1">
      <c r="A103" s="3" t="s">
        <v>115</v>
      </c>
      <c r="B103">
        <v>2</v>
      </c>
      <c r="C103">
        <v>321</v>
      </c>
      <c r="D103">
        <v>13</v>
      </c>
      <c r="E103" s="4">
        <v>0</v>
      </c>
      <c r="F103" s="5">
        <v>4.3249999999999997E-2</v>
      </c>
      <c r="G103">
        <v>0</v>
      </c>
      <c r="H103" s="4">
        <v>0</v>
      </c>
      <c r="I103" s="5">
        <v>0</v>
      </c>
      <c r="J103" s="4">
        <v>0</v>
      </c>
      <c r="K103">
        <v>0</v>
      </c>
      <c r="L103" s="10">
        <f>Tabel2[[#This Row],[Conversies]]/Tabel2[[#This Row],[Aantal vacatures]]</f>
        <v>0</v>
      </c>
      <c r="M103" s="4">
        <v>0</v>
      </c>
      <c r="N103" s="4">
        <f>Tabel2[[#This Row],[Som van Kosten (Totaal )]]</f>
        <v>0</v>
      </c>
    </row>
    <row r="104" spans="1:14" hidden="1">
      <c r="A104" s="3" t="s">
        <v>116</v>
      </c>
      <c r="B104">
        <v>1</v>
      </c>
      <c r="C104">
        <v>1446</v>
      </c>
      <c r="D104">
        <v>52</v>
      </c>
      <c r="E104" s="4">
        <v>0.31</v>
      </c>
      <c r="F104" s="5">
        <v>3.5999999999999997E-2</v>
      </c>
      <c r="G104">
        <v>3</v>
      </c>
      <c r="H104" s="4">
        <v>5.33</v>
      </c>
      <c r="I104" s="5">
        <v>5.7700000000000001E-2</v>
      </c>
      <c r="J104" s="4">
        <v>15.98</v>
      </c>
      <c r="K104">
        <v>0</v>
      </c>
      <c r="L104" s="10">
        <f>Tabel2[[#This Row],[Conversies]]/Tabel2[[#This Row],[Aantal vacatures]]</f>
        <v>0</v>
      </c>
      <c r="M104" s="4">
        <v>0</v>
      </c>
      <c r="N104" s="4">
        <f>Tabel2[[#This Row],[Som van Kosten (Totaal )]]</f>
        <v>15.98</v>
      </c>
    </row>
    <row r="105" spans="1:14" hidden="1">
      <c r="A105" s="3" t="s">
        <v>117</v>
      </c>
      <c r="B105">
        <v>2</v>
      </c>
      <c r="C105">
        <v>364</v>
      </c>
      <c r="D105">
        <v>14</v>
      </c>
      <c r="E105" s="4">
        <v>0.59499999999999997</v>
      </c>
      <c r="F105" s="5">
        <v>4.2200000000000001E-2</v>
      </c>
      <c r="G105">
        <v>1</v>
      </c>
      <c r="H105" s="4">
        <v>4.165</v>
      </c>
      <c r="I105" s="5">
        <v>7.145E-2</v>
      </c>
      <c r="J105" s="4">
        <v>8.33</v>
      </c>
      <c r="K105">
        <v>0</v>
      </c>
      <c r="L105" s="10">
        <f>Tabel2[[#This Row],[Conversies]]/Tabel2[[#This Row],[Aantal vacatures]]</f>
        <v>0</v>
      </c>
      <c r="M105" s="4">
        <v>0</v>
      </c>
      <c r="N105" s="4">
        <f>Tabel2[[#This Row],[Som van Kosten (Totaal )]]</f>
        <v>8.33</v>
      </c>
    </row>
    <row r="106" spans="1:14" hidden="1">
      <c r="A106" s="3" t="s">
        <v>118</v>
      </c>
      <c r="B106">
        <v>1</v>
      </c>
      <c r="C106">
        <v>1</v>
      </c>
      <c r="D106">
        <v>0</v>
      </c>
      <c r="E106" s="4">
        <v>0</v>
      </c>
      <c r="F106" s="5">
        <v>0</v>
      </c>
      <c r="G106">
        <v>0</v>
      </c>
      <c r="H106" s="4">
        <v>0</v>
      </c>
      <c r="I106" s="5">
        <v>0</v>
      </c>
      <c r="J106" s="4">
        <v>0</v>
      </c>
      <c r="K106">
        <v>0</v>
      </c>
      <c r="L106" s="10">
        <f>Tabel2[[#This Row],[Conversies]]/Tabel2[[#This Row],[Aantal vacatures]]</f>
        <v>0</v>
      </c>
      <c r="M106" s="4">
        <v>0</v>
      </c>
      <c r="N106" s="4">
        <f>Tabel2[[#This Row],[Som van Kosten (Totaal )]]</f>
        <v>0</v>
      </c>
    </row>
    <row r="107" spans="1:14" hidden="1">
      <c r="A107" s="3" t="s">
        <v>119</v>
      </c>
      <c r="B107">
        <v>1</v>
      </c>
      <c r="C107">
        <v>308</v>
      </c>
      <c r="D107">
        <v>20</v>
      </c>
      <c r="E107" s="4">
        <v>0</v>
      </c>
      <c r="F107" s="5">
        <v>6.4899999999999999E-2</v>
      </c>
      <c r="G107">
        <v>0</v>
      </c>
      <c r="H107" s="4">
        <v>0</v>
      </c>
      <c r="I107" s="5">
        <v>0</v>
      </c>
      <c r="J107" s="4">
        <v>0</v>
      </c>
      <c r="K107">
        <v>0</v>
      </c>
      <c r="L107" s="10">
        <f>Tabel2[[#This Row],[Conversies]]/Tabel2[[#This Row],[Aantal vacatures]]</f>
        <v>0</v>
      </c>
      <c r="M107" s="4">
        <v>0</v>
      </c>
      <c r="N107" s="4">
        <f>Tabel2[[#This Row],[Som van Kosten (Totaal )]]</f>
        <v>0</v>
      </c>
    </row>
    <row r="108" spans="1:14">
      <c r="A108" t="s">
        <v>120</v>
      </c>
      <c r="B108">
        <f>SUBTOTAL(109,Tabel2[Aantal vacatures])</f>
        <v>165</v>
      </c>
      <c r="C108">
        <f>SUBTOTAL(109,Tabel2[Som van impressies ()])</f>
        <v>202133</v>
      </c>
      <c r="D108">
        <f>SUBTOTAL(109,Tabel2[Som van Clicks ()])</f>
        <v>16629</v>
      </c>
      <c r="E108" s="15">
        <f>SUBTOTAL(101,Tabel2[Gemiddelde van Cost-per-click])</f>
        <v>0.57853009679370837</v>
      </c>
      <c r="F108" s="12">
        <f>SUBTOTAL(101,Tabel2[Gemiddelde van CTR])</f>
        <v>7.3186495215311009E-2</v>
      </c>
      <c r="G108">
        <f>SUBTOTAL(109,Tabel2[Som van Gestarte sol.])</f>
        <v>1065</v>
      </c>
      <c r="H108" s="15">
        <f>SUBTOTAL(101,Tabel2[Gemiddelde  € per start sol.])</f>
        <v>6.3192253066050705</v>
      </c>
      <c r="I108" s="12">
        <f>SUBTOTAL(101,Tabel2[Gemiddelde van % Gestarte sol.])</f>
        <v>9.2310790000733292E-2</v>
      </c>
      <c r="J108" s="15">
        <f>SUBTOTAL(109,Tabel2[Som van Kosten (Totaal )])</f>
        <v>8236.61</v>
      </c>
      <c r="K108">
        <f>SUBTOTAL(109,Tabel2[Conversies])</f>
        <v>185</v>
      </c>
      <c r="L108" s="10">
        <f>SUBTOTAL(101,Tabel2[Conversie per vacature])</f>
        <v>1.5633671103044968</v>
      </c>
      <c r="M108" s="15">
        <f>SUBTOTAL(101,Tabel2[CPA vacatures met soll.])</f>
        <v>36.98879560923401</v>
      </c>
      <c r="N108" s="15">
        <f>Tabel2[[#Totals],[Som van Kosten (Totaal )]]/Tabel2[[#Totals],[Conversies]]</f>
        <v>44.522216216216222</v>
      </c>
    </row>
    <row r="112" spans="1:14">
      <c r="K112" s="15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opLeftCell="A202" zoomScale="90" zoomScaleNormal="90" workbookViewId="0">
      <selection activeCell="D223" sqref="D223"/>
    </sheetView>
  </sheetViews>
  <sheetFormatPr defaultRowHeight="15.6"/>
  <cols>
    <col min="1" max="1" width="39.75" bestFit="1" customWidth="1"/>
    <col min="2" max="2" width="17" bestFit="1" customWidth="1"/>
    <col min="3" max="3" width="24.125" bestFit="1" customWidth="1"/>
    <col min="4" max="4" width="28.875" style="5" bestFit="1" customWidth="1"/>
    <col min="5" max="5" width="18.375" bestFit="1" customWidth="1"/>
    <col min="6" max="6" width="30.875" bestFit="1" customWidth="1"/>
    <col min="7" max="7" width="31.75" style="6" bestFit="1" customWidth="1"/>
    <col min="8" max="8" width="14" style="14" bestFit="1" customWidth="1"/>
    <col min="9" max="9" width="26.5" style="14" bestFit="1" customWidth="1"/>
    <col min="10" max="10" width="11.375" style="14" bestFit="1" customWidth="1"/>
  </cols>
  <sheetData>
    <row r="1" spans="1:10">
      <c r="A1" s="1" t="s">
        <v>121</v>
      </c>
      <c r="B1" s="1" t="s">
        <v>122</v>
      </c>
      <c r="C1" s="1" t="s">
        <v>123</v>
      </c>
      <c r="D1" s="7" t="s">
        <v>124</v>
      </c>
      <c r="E1" s="1" t="s">
        <v>125</v>
      </c>
      <c r="F1" s="1" t="s">
        <v>126</v>
      </c>
      <c r="G1" s="8" t="s">
        <v>127</v>
      </c>
      <c r="H1" s="13" t="s">
        <v>128</v>
      </c>
      <c r="I1" s="13" t="s">
        <v>129</v>
      </c>
      <c r="J1" s="13" t="s">
        <v>130</v>
      </c>
    </row>
    <row r="2" spans="1:10">
      <c r="A2" t="s">
        <v>61</v>
      </c>
      <c r="B2" t="s">
        <v>131</v>
      </c>
      <c r="C2">
        <v>630</v>
      </c>
      <c r="D2" s="5">
        <v>4.9200000000000001E-2</v>
      </c>
      <c r="E2">
        <v>31</v>
      </c>
      <c r="F2">
        <v>1</v>
      </c>
      <c r="G2" s="6">
        <v>3.2300000000000002E-2</v>
      </c>
      <c r="H2" s="14">
        <v>0.25</v>
      </c>
      <c r="I2" s="14">
        <v>7.75</v>
      </c>
      <c r="J2" s="14">
        <v>7.75</v>
      </c>
    </row>
    <row r="3" spans="1:10">
      <c r="A3" t="s">
        <v>61</v>
      </c>
      <c r="B3" t="s">
        <v>131</v>
      </c>
      <c r="C3">
        <v>230</v>
      </c>
      <c r="D3" s="5">
        <v>2.6100000000000002E-2</v>
      </c>
      <c r="E3">
        <v>6</v>
      </c>
      <c r="F3">
        <v>0</v>
      </c>
      <c r="G3" s="6">
        <v>0</v>
      </c>
      <c r="H3" s="14">
        <v>0</v>
      </c>
      <c r="I3" s="14">
        <v>0</v>
      </c>
      <c r="J3" s="14">
        <v>0</v>
      </c>
    </row>
    <row r="4" spans="1:10">
      <c r="A4" t="s">
        <v>68</v>
      </c>
      <c r="B4" t="s">
        <v>132</v>
      </c>
      <c r="C4">
        <v>140</v>
      </c>
      <c r="D4" s="5">
        <v>7.1400000000000005E-2</v>
      </c>
      <c r="E4">
        <v>10</v>
      </c>
      <c r="F4">
        <v>0</v>
      </c>
      <c r="G4" s="6">
        <v>0</v>
      </c>
      <c r="H4" s="14">
        <v>0</v>
      </c>
      <c r="I4" s="14">
        <v>0</v>
      </c>
      <c r="J4" s="14">
        <v>0</v>
      </c>
    </row>
    <row r="5" spans="1:10">
      <c r="A5" t="s">
        <v>34</v>
      </c>
      <c r="B5" t="s">
        <v>133</v>
      </c>
      <c r="C5">
        <v>256</v>
      </c>
      <c r="D5" s="5">
        <v>5.0799999999999998E-2</v>
      </c>
      <c r="E5">
        <v>13</v>
      </c>
      <c r="F5">
        <v>2</v>
      </c>
      <c r="G5" s="6">
        <v>0.15379999999999999</v>
      </c>
      <c r="H5" s="14">
        <v>1.1000000000000001</v>
      </c>
      <c r="I5" s="14">
        <v>7.13</v>
      </c>
      <c r="J5" s="14">
        <v>14.25</v>
      </c>
    </row>
    <row r="6" spans="1:10">
      <c r="A6" t="s">
        <v>34</v>
      </c>
      <c r="B6" t="s">
        <v>133</v>
      </c>
      <c r="C6">
        <v>356</v>
      </c>
      <c r="D6" s="5">
        <v>4.4900000000000002E-2</v>
      </c>
      <c r="E6">
        <v>16</v>
      </c>
      <c r="F6">
        <v>0</v>
      </c>
      <c r="G6" s="6">
        <v>0</v>
      </c>
      <c r="H6" s="14">
        <v>0</v>
      </c>
      <c r="I6" s="14">
        <v>0</v>
      </c>
      <c r="J6" s="14">
        <v>0</v>
      </c>
    </row>
    <row r="7" spans="1:10">
      <c r="A7" t="s">
        <v>34</v>
      </c>
      <c r="B7" t="s">
        <v>133</v>
      </c>
      <c r="C7">
        <v>337</v>
      </c>
      <c r="D7" s="5">
        <v>4.1500000000000002E-2</v>
      </c>
      <c r="E7">
        <v>14</v>
      </c>
      <c r="F7">
        <v>0</v>
      </c>
      <c r="G7" s="6">
        <v>0</v>
      </c>
      <c r="H7" s="14">
        <v>0</v>
      </c>
      <c r="I7" s="14">
        <v>0</v>
      </c>
      <c r="J7" s="14">
        <v>0</v>
      </c>
    </row>
    <row r="8" spans="1:10">
      <c r="A8" t="s">
        <v>34</v>
      </c>
      <c r="B8" t="s">
        <v>134</v>
      </c>
      <c r="C8">
        <v>8</v>
      </c>
      <c r="D8" s="5">
        <v>0.125</v>
      </c>
      <c r="E8">
        <v>1</v>
      </c>
      <c r="F8">
        <v>0</v>
      </c>
      <c r="G8" s="6">
        <v>0</v>
      </c>
      <c r="H8" s="14">
        <v>0</v>
      </c>
      <c r="I8" s="14">
        <v>0</v>
      </c>
      <c r="J8" s="14">
        <v>0</v>
      </c>
    </row>
    <row r="9" spans="1:10">
      <c r="A9" t="s">
        <v>34</v>
      </c>
      <c r="B9" t="s">
        <v>134</v>
      </c>
      <c r="C9">
        <v>28</v>
      </c>
      <c r="D9" s="5">
        <v>7.1400000000000005E-2</v>
      </c>
      <c r="E9">
        <v>2</v>
      </c>
      <c r="F9">
        <v>1</v>
      </c>
      <c r="G9" s="6">
        <v>0.5</v>
      </c>
      <c r="H9" s="14">
        <v>9.9499999999999993</v>
      </c>
      <c r="I9" s="14">
        <v>19.89</v>
      </c>
      <c r="J9" s="14">
        <v>19.89</v>
      </c>
    </row>
    <row r="10" spans="1:10">
      <c r="A10" t="s">
        <v>34</v>
      </c>
      <c r="B10" t="s">
        <v>134</v>
      </c>
      <c r="C10">
        <v>149</v>
      </c>
      <c r="D10" s="5">
        <v>6.0400000000000002E-2</v>
      </c>
      <c r="E10">
        <v>9</v>
      </c>
      <c r="F10">
        <v>1</v>
      </c>
      <c r="G10" s="6">
        <v>0.1111</v>
      </c>
      <c r="H10" s="14">
        <v>2.4</v>
      </c>
      <c r="I10" s="14">
        <v>21.6</v>
      </c>
      <c r="J10" s="14">
        <v>21.6</v>
      </c>
    </row>
    <row r="11" spans="1:10">
      <c r="A11" t="s">
        <v>34</v>
      </c>
      <c r="B11" t="s">
        <v>134</v>
      </c>
      <c r="C11">
        <v>813</v>
      </c>
      <c r="D11" s="5">
        <v>4.1799999999999997E-2</v>
      </c>
      <c r="E11">
        <v>34</v>
      </c>
      <c r="F11">
        <v>3</v>
      </c>
      <c r="G11" s="6">
        <v>8.8200000000000001E-2</v>
      </c>
      <c r="H11" s="14">
        <v>0.83</v>
      </c>
      <c r="I11" s="14">
        <v>9.35</v>
      </c>
      <c r="J11" s="14">
        <v>28.05</v>
      </c>
    </row>
    <row r="12" spans="1:10">
      <c r="A12" t="s">
        <v>34</v>
      </c>
      <c r="B12" t="s">
        <v>134</v>
      </c>
      <c r="C12">
        <v>650</v>
      </c>
      <c r="D12" s="5">
        <v>4.3099999999999999E-2</v>
      </c>
      <c r="E12">
        <v>28</v>
      </c>
      <c r="F12">
        <v>2</v>
      </c>
      <c r="G12" s="6">
        <v>7.1400000000000005E-2</v>
      </c>
      <c r="H12" s="14">
        <v>1.55</v>
      </c>
      <c r="I12" s="14">
        <v>21.66</v>
      </c>
      <c r="J12" s="14">
        <v>43.32</v>
      </c>
    </row>
    <row r="13" spans="1:10">
      <c r="A13" t="s">
        <v>34</v>
      </c>
      <c r="B13" t="s">
        <v>134</v>
      </c>
      <c r="C13">
        <v>530</v>
      </c>
      <c r="D13" s="5">
        <v>4.1500000000000002E-2</v>
      </c>
      <c r="E13">
        <v>22</v>
      </c>
      <c r="F13">
        <v>3</v>
      </c>
      <c r="G13" s="6">
        <v>0.13639999999999999</v>
      </c>
      <c r="H13" s="14">
        <v>0.99</v>
      </c>
      <c r="I13" s="14">
        <v>7.25</v>
      </c>
      <c r="J13" s="14">
        <v>21.75</v>
      </c>
    </row>
    <row r="14" spans="1:10">
      <c r="A14" t="s">
        <v>34</v>
      </c>
      <c r="B14" t="s">
        <v>134</v>
      </c>
      <c r="C14">
        <v>386</v>
      </c>
      <c r="D14" s="5">
        <v>3.3700000000000001E-2</v>
      </c>
      <c r="E14">
        <v>13</v>
      </c>
      <c r="F14">
        <v>0</v>
      </c>
      <c r="G14" s="6">
        <v>0</v>
      </c>
      <c r="H14" s="14">
        <v>0</v>
      </c>
      <c r="I14" s="14">
        <v>0</v>
      </c>
      <c r="J14" s="14">
        <v>0</v>
      </c>
    </row>
    <row r="15" spans="1:10">
      <c r="A15" t="s">
        <v>34</v>
      </c>
      <c r="B15" t="s">
        <v>135</v>
      </c>
      <c r="C15">
        <v>723</v>
      </c>
      <c r="D15" s="5">
        <v>7.3300000000000004E-2</v>
      </c>
      <c r="E15">
        <v>53</v>
      </c>
      <c r="F15">
        <v>3</v>
      </c>
      <c r="G15" s="6">
        <v>5.6599999999999998E-2</v>
      </c>
      <c r="H15" s="14">
        <v>0.34</v>
      </c>
      <c r="I15" s="14">
        <v>6.08</v>
      </c>
      <c r="J15" s="14">
        <v>18.25</v>
      </c>
    </row>
    <row r="16" spans="1:10">
      <c r="A16" t="s">
        <v>34</v>
      </c>
      <c r="B16" t="s">
        <v>136</v>
      </c>
      <c r="C16">
        <v>455</v>
      </c>
      <c r="D16" s="5">
        <v>5.0500000000000003E-2</v>
      </c>
      <c r="E16">
        <v>23</v>
      </c>
      <c r="F16">
        <v>3</v>
      </c>
      <c r="G16" s="6">
        <v>0.13039999999999999</v>
      </c>
      <c r="H16" s="14">
        <v>0.96</v>
      </c>
      <c r="I16" s="14">
        <v>7.4</v>
      </c>
      <c r="J16" s="14">
        <v>22.19</v>
      </c>
    </row>
    <row r="17" spans="1:10">
      <c r="A17" t="s">
        <v>34</v>
      </c>
      <c r="B17" t="s">
        <v>136</v>
      </c>
      <c r="C17">
        <v>208</v>
      </c>
      <c r="D17" s="5">
        <v>1.9199999999999998E-2</v>
      </c>
      <c r="E17">
        <v>4</v>
      </c>
      <c r="F17">
        <v>0</v>
      </c>
      <c r="G17" s="6">
        <v>0</v>
      </c>
      <c r="H17" s="14">
        <v>0</v>
      </c>
      <c r="I17" s="14">
        <v>0</v>
      </c>
      <c r="J17" s="14">
        <v>0</v>
      </c>
    </row>
    <row r="18" spans="1:10">
      <c r="A18" t="s">
        <v>34</v>
      </c>
      <c r="B18" t="s">
        <v>136</v>
      </c>
      <c r="C18">
        <v>394</v>
      </c>
      <c r="D18" s="5">
        <v>4.0599999999999997E-2</v>
      </c>
      <c r="E18">
        <v>16</v>
      </c>
      <c r="F18">
        <v>0</v>
      </c>
      <c r="G18" s="6">
        <v>0</v>
      </c>
      <c r="H18" s="14">
        <v>0</v>
      </c>
      <c r="I18" s="14">
        <v>0</v>
      </c>
      <c r="J18" s="14">
        <v>0</v>
      </c>
    </row>
    <row r="19" spans="1:10">
      <c r="A19" t="s">
        <v>34</v>
      </c>
      <c r="B19" t="s">
        <v>131</v>
      </c>
      <c r="C19">
        <v>304</v>
      </c>
      <c r="D19" s="5">
        <v>3.6200000000000003E-2</v>
      </c>
      <c r="E19">
        <v>11</v>
      </c>
      <c r="F19">
        <v>0</v>
      </c>
      <c r="G19" s="6">
        <v>0</v>
      </c>
      <c r="H19" s="14">
        <v>0</v>
      </c>
      <c r="I19" s="14">
        <v>0</v>
      </c>
      <c r="J19" s="14">
        <v>0</v>
      </c>
    </row>
    <row r="20" spans="1:10">
      <c r="A20" t="s">
        <v>34</v>
      </c>
      <c r="B20" t="s">
        <v>131</v>
      </c>
      <c r="C20">
        <v>163</v>
      </c>
      <c r="D20" s="5">
        <v>2.4500000000000001E-2</v>
      </c>
      <c r="E20">
        <v>4</v>
      </c>
      <c r="F20">
        <v>0</v>
      </c>
      <c r="G20" s="6">
        <v>0</v>
      </c>
      <c r="H20" s="14">
        <v>0</v>
      </c>
      <c r="I20" s="14">
        <v>0</v>
      </c>
      <c r="J20" s="14">
        <v>0</v>
      </c>
    </row>
    <row r="21" spans="1:10">
      <c r="A21" t="s">
        <v>34</v>
      </c>
      <c r="B21" t="s">
        <v>131</v>
      </c>
      <c r="C21">
        <v>335</v>
      </c>
      <c r="D21" s="5">
        <v>3.8800000000000001E-2</v>
      </c>
      <c r="E21">
        <v>13</v>
      </c>
      <c r="F21">
        <v>0</v>
      </c>
      <c r="G21" s="6">
        <v>0</v>
      </c>
      <c r="H21" s="14">
        <v>0</v>
      </c>
      <c r="I21" s="14">
        <v>0</v>
      </c>
      <c r="J21" s="14">
        <v>0</v>
      </c>
    </row>
    <row r="22" spans="1:10">
      <c r="A22" t="s">
        <v>62</v>
      </c>
      <c r="B22" t="s">
        <v>134</v>
      </c>
      <c r="C22">
        <v>1941</v>
      </c>
      <c r="D22" s="5">
        <v>7.7299999999999994E-2</v>
      </c>
      <c r="E22">
        <v>150</v>
      </c>
      <c r="F22">
        <v>10</v>
      </c>
      <c r="G22" s="6">
        <v>6.6699999999999995E-2</v>
      </c>
      <c r="H22" s="14">
        <v>0.43</v>
      </c>
      <c r="I22" s="14">
        <v>6.5</v>
      </c>
      <c r="J22" s="14">
        <v>64.95</v>
      </c>
    </row>
    <row r="23" spans="1:10">
      <c r="A23" t="s">
        <v>69</v>
      </c>
      <c r="B23" t="s">
        <v>134</v>
      </c>
      <c r="C23">
        <v>313</v>
      </c>
      <c r="D23" s="5">
        <v>2.5600000000000001E-2</v>
      </c>
      <c r="E23">
        <v>8</v>
      </c>
      <c r="F23">
        <v>0</v>
      </c>
      <c r="G23" s="6">
        <v>0</v>
      </c>
      <c r="H23" s="14">
        <v>0</v>
      </c>
      <c r="I23" s="14">
        <v>0</v>
      </c>
      <c r="J23" s="14">
        <v>0</v>
      </c>
    </row>
    <row r="24" spans="1:10">
      <c r="A24" t="s">
        <v>14</v>
      </c>
      <c r="B24" t="s">
        <v>134</v>
      </c>
      <c r="C24">
        <v>4667</v>
      </c>
      <c r="D24" s="5">
        <v>9.9900000000000003E-2</v>
      </c>
      <c r="E24">
        <v>466</v>
      </c>
      <c r="F24">
        <v>19</v>
      </c>
      <c r="G24" s="6">
        <v>4.0800000000000003E-2</v>
      </c>
      <c r="H24" s="14">
        <v>0.21</v>
      </c>
      <c r="I24" s="14">
        <v>5.18</v>
      </c>
      <c r="J24" s="14">
        <v>98.4</v>
      </c>
    </row>
    <row r="25" spans="1:10">
      <c r="A25" t="s">
        <v>65</v>
      </c>
      <c r="B25" t="s">
        <v>137</v>
      </c>
      <c r="C25">
        <v>1011</v>
      </c>
      <c r="D25" s="5">
        <v>3.0700000000000002E-2</v>
      </c>
      <c r="E25">
        <v>31</v>
      </c>
      <c r="F25">
        <v>1</v>
      </c>
      <c r="G25" s="6">
        <v>3.2300000000000002E-2</v>
      </c>
      <c r="H25" s="14">
        <v>0.9</v>
      </c>
      <c r="I25" s="14">
        <v>27.93</v>
      </c>
      <c r="J25" s="14">
        <v>27.93</v>
      </c>
    </row>
    <row r="26" spans="1:10">
      <c r="A26" t="s">
        <v>65</v>
      </c>
      <c r="B26" t="s">
        <v>137</v>
      </c>
      <c r="C26">
        <v>0</v>
      </c>
      <c r="D26" s="5">
        <v>0</v>
      </c>
      <c r="E26">
        <v>0</v>
      </c>
      <c r="F26">
        <v>0</v>
      </c>
      <c r="G26" s="6">
        <v>0</v>
      </c>
      <c r="H26" s="14">
        <v>0</v>
      </c>
      <c r="I26" s="14">
        <v>0</v>
      </c>
      <c r="J26" s="14">
        <v>0</v>
      </c>
    </row>
    <row r="27" spans="1:10">
      <c r="A27" t="s">
        <v>65</v>
      </c>
      <c r="B27" t="s">
        <v>137</v>
      </c>
      <c r="C27">
        <v>1644</v>
      </c>
      <c r="D27" s="5">
        <v>4.2599999999999999E-2</v>
      </c>
      <c r="E27">
        <v>70</v>
      </c>
      <c r="F27">
        <v>9</v>
      </c>
      <c r="G27" s="6">
        <v>0.12859999999999999</v>
      </c>
      <c r="H27" s="14">
        <v>0.64</v>
      </c>
      <c r="I27" s="14">
        <v>4.99</v>
      </c>
      <c r="J27" s="14">
        <v>44.94</v>
      </c>
    </row>
    <row r="28" spans="1:10">
      <c r="A28" t="s">
        <v>65</v>
      </c>
      <c r="B28" t="s">
        <v>138</v>
      </c>
      <c r="C28">
        <v>3180</v>
      </c>
      <c r="D28" s="5">
        <v>3.6499999999999998E-2</v>
      </c>
      <c r="E28">
        <v>116</v>
      </c>
      <c r="F28">
        <v>9</v>
      </c>
      <c r="G28" s="6">
        <v>7.7600000000000002E-2</v>
      </c>
      <c r="H28" s="14">
        <v>0.44</v>
      </c>
      <c r="I28" s="14">
        <v>5.67</v>
      </c>
      <c r="J28" s="14">
        <v>51.01</v>
      </c>
    </row>
    <row r="29" spans="1:10">
      <c r="A29" t="s">
        <v>65</v>
      </c>
      <c r="B29" t="s">
        <v>131</v>
      </c>
      <c r="C29">
        <v>1238</v>
      </c>
      <c r="D29" s="5">
        <v>2.8299999999999999E-2</v>
      </c>
      <c r="E29">
        <v>35</v>
      </c>
      <c r="F29">
        <v>0</v>
      </c>
      <c r="G29" s="6">
        <v>0</v>
      </c>
      <c r="H29" s="14">
        <v>0</v>
      </c>
      <c r="I29" s="14">
        <v>0</v>
      </c>
      <c r="J29" s="14">
        <v>0</v>
      </c>
    </row>
    <row r="30" spans="1:10">
      <c r="A30" t="s">
        <v>65</v>
      </c>
      <c r="B30" t="s">
        <v>131</v>
      </c>
      <c r="C30">
        <v>0</v>
      </c>
      <c r="D30" s="5">
        <v>0</v>
      </c>
      <c r="E30">
        <v>0</v>
      </c>
      <c r="F30">
        <v>0</v>
      </c>
      <c r="G30" s="6">
        <v>0</v>
      </c>
      <c r="H30" s="14">
        <v>0</v>
      </c>
      <c r="I30" s="14">
        <v>0</v>
      </c>
      <c r="J30" s="14">
        <v>0</v>
      </c>
    </row>
    <row r="31" spans="1:10">
      <c r="A31" t="s">
        <v>65</v>
      </c>
      <c r="B31" t="s">
        <v>139</v>
      </c>
      <c r="C31">
        <v>4456</v>
      </c>
      <c r="D31" s="5">
        <v>3.3700000000000001E-2</v>
      </c>
      <c r="E31">
        <v>150</v>
      </c>
      <c r="F31">
        <v>9</v>
      </c>
      <c r="G31" s="6">
        <v>0.06</v>
      </c>
      <c r="H31" s="14">
        <v>0.34</v>
      </c>
      <c r="I31" s="14">
        <v>5.71</v>
      </c>
      <c r="J31" s="14">
        <v>51.36</v>
      </c>
    </row>
    <row r="32" spans="1:10">
      <c r="A32" t="s">
        <v>15</v>
      </c>
      <c r="B32" t="s">
        <v>131</v>
      </c>
      <c r="C32">
        <v>668</v>
      </c>
      <c r="D32" s="5">
        <v>8.2299999999999998E-2</v>
      </c>
      <c r="E32">
        <v>55</v>
      </c>
      <c r="F32">
        <v>4</v>
      </c>
      <c r="G32" s="6">
        <v>7.2700000000000001E-2</v>
      </c>
      <c r="H32" s="14">
        <v>0.61</v>
      </c>
      <c r="I32" s="14">
        <v>8.3699999999999992</v>
      </c>
      <c r="J32" s="14">
        <v>33.49</v>
      </c>
    </row>
    <row r="33" spans="1:10">
      <c r="A33" t="s">
        <v>70</v>
      </c>
      <c r="B33" t="s">
        <v>137</v>
      </c>
      <c r="C33">
        <v>569</v>
      </c>
      <c r="D33" s="5">
        <v>5.9799999999999999E-2</v>
      </c>
      <c r="E33">
        <v>34</v>
      </c>
      <c r="F33">
        <v>4</v>
      </c>
      <c r="G33" s="6">
        <v>0.1176</v>
      </c>
      <c r="H33" s="14">
        <v>0.47</v>
      </c>
      <c r="I33" s="14">
        <v>3.97</v>
      </c>
      <c r="J33" s="14">
        <v>15.88</v>
      </c>
    </row>
    <row r="34" spans="1:10">
      <c r="A34" t="s">
        <v>70</v>
      </c>
      <c r="B34" t="s">
        <v>137</v>
      </c>
      <c r="C34">
        <v>951</v>
      </c>
      <c r="D34" s="5">
        <v>8.7300000000000003E-2</v>
      </c>
      <c r="E34">
        <v>83</v>
      </c>
      <c r="F34">
        <v>4</v>
      </c>
      <c r="G34" s="6">
        <v>4.82E-2</v>
      </c>
      <c r="H34" s="14">
        <v>0.32</v>
      </c>
      <c r="I34" s="14">
        <v>6.55</v>
      </c>
      <c r="J34" s="14">
        <v>26.2</v>
      </c>
    </row>
    <row r="35" spans="1:10">
      <c r="A35" t="s">
        <v>70</v>
      </c>
      <c r="B35" t="s">
        <v>137</v>
      </c>
      <c r="C35">
        <v>0</v>
      </c>
      <c r="D35" s="5">
        <v>0</v>
      </c>
      <c r="E35">
        <v>0</v>
      </c>
      <c r="F35">
        <v>0</v>
      </c>
      <c r="G35" s="6">
        <v>0</v>
      </c>
      <c r="H35" s="14">
        <v>0</v>
      </c>
      <c r="I35" s="14">
        <v>0</v>
      </c>
      <c r="J35" s="14">
        <v>0</v>
      </c>
    </row>
    <row r="36" spans="1:10">
      <c r="A36" t="s">
        <v>70</v>
      </c>
      <c r="B36" t="s">
        <v>137</v>
      </c>
      <c r="C36">
        <v>545</v>
      </c>
      <c r="D36" s="5">
        <v>7.1599999999999997E-2</v>
      </c>
      <c r="E36">
        <v>39</v>
      </c>
      <c r="F36">
        <v>4</v>
      </c>
      <c r="G36" s="6">
        <v>0.1026</v>
      </c>
      <c r="H36" s="14">
        <v>0.41</v>
      </c>
      <c r="I36" s="14">
        <v>4.03</v>
      </c>
      <c r="J36" s="14">
        <v>16.13</v>
      </c>
    </row>
    <row r="37" spans="1:10">
      <c r="A37" t="s">
        <v>70</v>
      </c>
      <c r="B37" t="s">
        <v>137</v>
      </c>
      <c r="C37">
        <v>0</v>
      </c>
      <c r="D37" s="5">
        <v>0</v>
      </c>
      <c r="E37">
        <v>0</v>
      </c>
      <c r="F37">
        <v>0</v>
      </c>
      <c r="G37" s="6">
        <v>0</v>
      </c>
      <c r="H37" s="14">
        <v>0</v>
      </c>
      <c r="I37" s="14">
        <v>0</v>
      </c>
      <c r="J37" s="14">
        <v>0</v>
      </c>
    </row>
    <row r="38" spans="1:10">
      <c r="A38" t="s">
        <v>70</v>
      </c>
      <c r="B38" t="s">
        <v>137</v>
      </c>
      <c r="C38">
        <v>2548</v>
      </c>
      <c r="D38" s="5">
        <v>7.46E-2</v>
      </c>
      <c r="E38">
        <v>190</v>
      </c>
      <c r="F38">
        <v>17</v>
      </c>
      <c r="G38" s="6">
        <v>8.9499999999999996E-2</v>
      </c>
      <c r="H38" s="14">
        <v>0.56000000000000005</v>
      </c>
      <c r="I38" s="14">
        <v>6.23</v>
      </c>
      <c r="J38" s="14">
        <v>105.95</v>
      </c>
    </row>
    <row r="39" spans="1:10">
      <c r="A39" t="s">
        <v>70</v>
      </c>
      <c r="B39" t="s">
        <v>138</v>
      </c>
      <c r="C39">
        <v>4546</v>
      </c>
      <c r="D39" s="5">
        <v>5.96E-2</v>
      </c>
      <c r="E39">
        <v>271</v>
      </c>
      <c r="F39">
        <v>15</v>
      </c>
      <c r="G39" s="6">
        <v>5.5399999999999998E-2</v>
      </c>
      <c r="H39" s="14">
        <v>0.28999999999999998</v>
      </c>
      <c r="I39" s="14">
        <v>5.17</v>
      </c>
      <c r="J39" s="14">
        <v>77.59</v>
      </c>
    </row>
    <row r="40" spans="1:10">
      <c r="A40" t="s">
        <v>70</v>
      </c>
      <c r="B40" t="s">
        <v>131</v>
      </c>
      <c r="C40">
        <v>134</v>
      </c>
      <c r="D40" s="5">
        <v>1.49E-2</v>
      </c>
      <c r="E40">
        <v>2</v>
      </c>
      <c r="F40">
        <v>0</v>
      </c>
      <c r="G40" s="6">
        <v>0</v>
      </c>
      <c r="H40" s="14">
        <v>0</v>
      </c>
      <c r="I40" s="14">
        <v>0</v>
      </c>
      <c r="J40" s="14">
        <v>0</v>
      </c>
    </row>
    <row r="41" spans="1:10">
      <c r="A41" t="s">
        <v>70</v>
      </c>
      <c r="B41" t="s">
        <v>131</v>
      </c>
      <c r="C41">
        <v>748</v>
      </c>
      <c r="D41" s="5">
        <v>4.8099999999999997E-2</v>
      </c>
      <c r="E41">
        <v>36</v>
      </c>
      <c r="F41">
        <v>3</v>
      </c>
      <c r="G41" s="6">
        <v>8.3299999999999999E-2</v>
      </c>
      <c r="H41" s="14">
        <v>0.52</v>
      </c>
      <c r="I41" s="14">
        <v>6.26</v>
      </c>
      <c r="J41" s="14">
        <v>18.78</v>
      </c>
    </row>
    <row r="42" spans="1:10">
      <c r="A42" t="s">
        <v>70</v>
      </c>
      <c r="B42" t="s">
        <v>139</v>
      </c>
      <c r="C42">
        <v>1152</v>
      </c>
      <c r="D42" s="5">
        <v>4.4299999999999999E-2</v>
      </c>
      <c r="E42">
        <v>51</v>
      </c>
      <c r="F42">
        <v>2</v>
      </c>
      <c r="G42" s="6">
        <v>3.9199999999999999E-2</v>
      </c>
      <c r="H42" s="14">
        <v>0.16</v>
      </c>
      <c r="I42" s="14">
        <v>4.16</v>
      </c>
      <c r="J42" s="14">
        <v>8.31</v>
      </c>
    </row>
    <row r="43" spans="1:10">
      <c r="A43" t="s">
        <v>70</v>
      </c>
      <c r="B43" t="s">
        <v>139</v>
      </c>
      <c r="C43">
        <v>0</v>
      </c>
      <c r="D43" s="5">
        <v>0</v>
      </c>
      <c r="E43">
        <v>0</v>
      </c>
      <c r="F43">
        <v>0</v>
      </c>
      <c r="G43" s="6">
        <v>0</v>
      </c>
      <c r="H43" s="14">
        <v>0</v>
      </c>
      <c r="I43" s="14">
        <v>0</v>
      </c>
      <c r="J43" s="14">
        <v>0</v>
      </c>
    </row>
    <row r="44" spans="1:10">
      <c r="A44" t="s">
        <v>70</v>
      </c>
      <c r="B44" t="s">
        <v>139</v>
      </c>
      <c r="C44">
        <v>0</v>
      </c>
      <c r="D44" s="5">
        <v>0</v>
      </c>
      <c r="E44">
        <v>0</v>
      </c>
      <c r="F44">
        <v>0</v>
      </c>
      <c r="G44" s="6">
        <v>0</v>
      </c>
      <c r="H44" s="14">
        <v>0</v>
      </c>
      <c r="I44" s="14">
        <v>0</v>
      </c>
      <c r="J44" s="14">
        <v>0</v>
      </c>
    </row>
    <row r="45" spans="1:10">
      <c r="A45" t="s">
        <v>70</v>
      </c>
      <c r="B45" t="s">
        <v>139</v>
      </c>
      <c r="C45">
        <v>5282</v>
      </c>
      <c r="D45" s="5">
        <v>5.6599999999999998E-2</v>
      </c>
      <c r="E45">
        <v>299</v>
      </c>
      <c r="F45">
        <v>7</v>
      </c>
      <c r="G45" s="6">
        <v>2.3400000000000001E-2</v>
      </c>
      <c r="H45" s="14">
        <v>0.16</v>
      </c>
      <c r="I45" s="14">
        <v>6.82</v>
      </c>
      <c r="J45" s="14">
        <v>47.73</v>
      </c>
    </row>
    <row r="46" spans="1:10">
      <c r="A46" t="s">
        <v>16</v>
      </c>
      <c r="B46" t="s">
        <v>134</v>
      </c>
      <c r="C46">
        <v>497</v>
      </c>
      <c r="D46" s="5">
        <v>5.0299999999999997E-2</v>
      </c>
      <c r="E46">
        <v>25</v>
      </c>
      <c r="F46">
        <v>4</v>
      </c>
      <c r="G46" s="6">
        <v>0.16</v>
      </c>
      <c r="H46" s="14">
        <v>1.24</v>
      </c>
      <c r="I46" s="14">
        <v>7.72</v>
      </c>
      <c r="J46" s="14">
        <v>30.88</v>
      </c>
    </row>
    <row r="47" spans="1:10">
      <c r="A47" t="s">
        <v>16</v>
      </c>
      <c r="B47" t="s">
        <v>131</v>
      </c>
      <c r="C47">
        <v>0</v>
      </c>
      <c r="D47" s="5">
        <v>0</v>
      </c>
      <c r="E47">
        <v>0</v>
      </c>
      <c r="F47">
        <v>0</v>
      </c>
      <c r="G47" s="6">
        <v>0</v>
      </c>
      <c r="H47" s="14">
        <v>0</v>
      </c>
      <c r="I47" s="14">
        <v>0</v>
      </c>
      <c r="J47" s="14">
        <v>0</v>
      </c>
    </row>
    <row r="48" spans="1:10">
      <c r="A48" t="s">
        <v>71</v>
      </c>
      <c r="B48" t="s">
        <v>131</v>
      </c>
      <c r="C48">
        <v>375</v>
      </c>
      <c r="D48" s="5">
        <v>2.6700000000000002E-2</v>
      </c>
      <c r="E48">
        <v>10</v>
      </c>
      <c r="F48">
        <v>0</v>
      </c>
      <c r="G48" s="6">
        <v>0</v>
      </c>
      <c r="H48" s="14">
        <v>0</v>
      </c>
      <c r="I48" s="14">
        <v>0</v>
      </c>
      <c r="J48" s="14">
        <v>0</v>
      </c>
    </row>
    <row r="49" spans="1:10">
      <c r="A49" t="s">
        <v>62</v>
      </c>
      <c r="B49" t="s">
        <v>133</v>
      </c>
      <c r="C49">
        <v>1240</v>
      </c>
      <c r="D49" s="5">
        <v>4.9200000000000001E-2</v>
      </c>
      <c r="E49">
        <v>61</v>
      </c>
      <c r="F49">
        <v>3</v>
      </c>
      <c r="G49" s="6">
        <v>4.9200000000000001E-2</v>
      </c>
      <c r="H49" s="14">
        <v>0.3</v>
      </c>
      <c r="I49" s="14">
        <v>6.04</v>
      </c>
      <c r="J49" s="14">
        <v>18.12</v>
      </c>
    </row>
    <row r="50" spans="1:10">
      <c r="A50" t="s">
        <v>62</v>
      </c>
      <c r="B50" t="s">
        <v>134</v>
      </c>
      <c r="C50">
        <v>1347</v>
      </c>
      <c r="D50" s="5">
        <v>5.1200000000000002E-2</v>
      </c>
      <c r="E50">
        <v>69</v>
      </c>
      <c r="F50">
        <v>4</v>
      </c>
      <c r="G50" s="6">
        <v>5.8000000000000003E-2</v>
      </c>
      <c r="H50" s="14">
        <v>0.42</v>
      </c>
      <c r="I50" s="14">
        <v>7.25</v>
      </c>
      <c r="J50" s="14">
        <v>28.98</v>
      </c>
    </row>
    <row r="51" spans="1:10">
      <c r="A51" t="s">
        <v>62</v>
      </c>
      <c r="B51" t="s">
        <v>134</v>
      </c>
      <c r="C51">
        <v>760</v>
      </c>
      <c r="D51" s="5">
        <v>4.3400000000000001E-2</v>
      </c>
      <c r="E51">
        <v>33</v>
      </c>
      <c r="F51">
        <v>2</v>
      </c>
      <c r="G51" s="6">
        <v>6.0600000000000001E-2</v>
      </c>
      <c r="H51" s="14">
        <v>0.34</v>
      </c>
      <c r="I51" s="14">
        <v>5.61</v>
      </c>
      <c r="J51" s="14">
        <v>11.21</v>
      </c>
    </row>
    <row r="52" spans="1:10">
      <c r="A52" t="s">
        <v>72</v>
      </c>
      <c r="B52" t="s">
        <v>131</v>
      </c>
      <c r="C52">
        <v>150</v>
      </c>
      <c r="D52" s="5">
        <v>1.3299999999999999E-2</v>
      </c>
      <c r="E52">
        <v>2</v>
      </c>
      <c r="F52">
        <v>0</v>
      </c>
      <c r="G52" s="6">
        <v>0</v>
      </c>
      <c r="H52" s="14">
        <v>0</v>
      </c>
      <c r="I52" s="14">
        <v>0</v>
      </c>
      <c r="J52" s="14">
        <v>0</v>
      </c>
    </row>
    <row r="53" spans="1:10">
      <c r="A53" t="s">
        <v>73</v>
      </c>
      <c r="B53" t="s">
        <v>131</v>
      </c>
      <c r="C53">
        <v>88</v>
      </c>
      <c r="D53" s="5">
        <v>0.11360000000000001</v>
      </c>
      <c r="E53">
        <v>10</v>
      </c>
      <c r="F53">
        <v>0</v>
      </c>
      <c r="G53" s="6">
        <v>0</v>
      </c>
      <c r="H53" s="14">
        <v>0</v>
      </c>
      <c r="I53" s="14">
        <v>0</v>
      </c>
      <c r="J53" s="14">
        <v>0</v>
      </c>
    </row>
    <row r="54" spans="1:10">
      <c r="A54" t="s">
        <v>74</v>
      </c>
      <c r="B54" t="s">
        <v>134</v>
      </c>
      <c r="C54">
        <v>1138</v>
      </c>
      <c r="D54" s="5">
        <v>5.7099999999999998E-2</v>
      </c>
      <c r="E54">
        <v>65</v>
      </c>
      <c r="F54">
        <v>3</v>
      </c>
      <c r="G54" s="6">
        <v>4.6199999999999998E-2</v>
      </c>
      <c r="H54" s="14">
        <v>0.35</v>
      </c>
      <c r="I54" s="14">
        <v>7.64</v>
      </c>
      <c r="J54" s="14">
        <v>22.92</v>
      </c>
    </row>
    <row r="55" spans="1:10">
      <c r="A55" t="s">
        <v>75</v>
      </c>
      <c r="B55" t="s">
        <v>140</v>
      </c>
      <c r="C55">
        <v>378</v>
      </c>
      <c r="D55" s="5">
        <v>4.7600000000000003E-2</v>
      </c>
      <c r="E55">
        <v>18</v>
      </c>
      <c r="F55">
        <v>2</v>
      </c>
      <c r="G55" s="6">
        <v>0.1111</v>
      </c>
      <c r="H55" s="14">
        <v>0.43</v>
      </c>
      <c r="I55" s="14">
        <v>3.84</v>
      </c>
      <c r="J55" s="14">
        <v>7.68</v>
      </c>
    </row>
    <row r="56" spans="1:10">
      <c r="A56" t="s">
        <v>17</v>
      </c>
      <c r="B56" t="s">
        <v>134</v>
      </c>
      <c r="C56">
        <v>782</v>
      </c>
      <c r="D56" s="5">
        <v>6.5199999999999994E-2</v>
      </c>
      <c r="E56">
        <v>51</v>
      </c>
      <c r="F56">
        <v>3</v>
      </c>
      <c r="G56" s="6">
        <v>5.8799999999999998E-2</v>
      </c>
      <c r="H56" s="14">
        <v>0.53</v>
      </c>
      <c r="I56" s="14">
        <v>9.0500000000000007</v>
      </c>
      <c r="J56" s="14">
        <v>27.15</v>
      </c>
    </row>
    <row r="57" spans="1:10">
      <c r="A57" t="s">
        <v>17</v>
      </c>
      <c r="B57" t="s">
        <v>134</v>
      </c>
      <c r="C57">
        <v>3353</v>
      </c>
      <c r="D57" s="5">
        <v>7.2499999999999995E-2</v>
      </c>
      <c r="E57">
        <v>243</v>
      </c>
      <c r="F57">
        <v>10</v>
      </c>
      <c r="G57" s="6">
        <v>4.1200000000000001E-2</v>
      </c>
      <c r="H57" s="14">
        <v>0.44</v>
      </c>
      <c r="I57" s="14">
        <v>10.64</v>
      </c>
      <c r="J57" s="14">
        <v>106.43</v>
      </c>
    </row>
    <row r="58" spans="1:10">
      <c r="A58" t="s">
        <v>17</v>
      </c>
      <c r="B58" t="s">
        <v>134</v>
      </c>
      <c r="C58">
        <v>2280</v>
      </c>
      <c r="D58" s="5">
        <v>7.7200000000000005E-2</v>
      </c>
      <c r="E58">
        <v>176</v>
      </c>
      <c r="F58">
        <v>7</v>
      </c>
      <c r="G58" s="6">
        <v>3.9800000000000002E-2</v>
      </c>
      <c r="H58" s="14">
        <v>0.24</v>
      </c>
      <c r="I58" s="14">
        <v>6.01</v>
      </c>
      <c r="J58" s="14">
        <v>42.1</v>
      </c>
    </row>
    <row r="59" spans="1:10">
      <c r="A59" t="s">
        <v>17</v>
      </c>
      <c r="B59" t="s">
        <v>134</v>
      </c>
      <c r="C59">
        <v>559</v>
      </c>
      <c r="D59" s="5">
        <v>8.2299999999999998E-2</v>
      </c>
      <c r="E59">
        <v>46</v>
      </c>
      <c r="F59">
        <v>2</v>
      </c>
      <c r="G59" s="6">
        <v>4.3499999999999997E-2</v>
      </c>
      <c r="H59" s="14">
        <v>0.15</v>
      </c>
      <c r="I59" s="14">
        <v>3.42</v>
      </c>
      <c r="J59" s="14">
        <v>6.84</v>
      </c>
    </row>
    <row r="60" spans="1:10">
      <c r="A60" t="s">
        <v>76</v>
      </c>
      <c r="B60" t="s">
        <v>131</v>
      </c>
      <c r="C60">
        <v>960</v>
      </c>
      <c r="D60" s="5">
        <v>6.9800000000000001E-2</v>
      </c>
      <c r="E60">
        <v>67</v>
      </c>
      <c r="F60">
        <v>2</v>
      </c>
      <c r="G60" s="6">
        <v>2.9899999999999999E-2</v>
      </c>
      <c r="H60" s="14">
        <v>0.43</v>
      </c>
      <c r="I60" s="14">
        <v>14.47</v>
      </c>
      <c r="J60" s="14">
        <v>28.94</v>
      </c>
    </row>
    <row r="61" spans="1:10">
      <c r="A61" t="s">
        <v>66</v>
      </c>
      <c r="B61" t="s">
        <v>137</v>
      </c>
      <c r="C61">
        <v>404</v>
      </c>
      <c r="D61" s="5">
        <v>4.7E-2</v>
      </c>
      <c r="E61">
        <v>19</v>
      </c>
      <c r="F61">
        <v>2</v>
      </c>
      <c r="G61" s="6">
        <v>0.1053</v>
      </c>
      <c r="H61" s="14">
        <v>0.56000000000000005</v>
      </c>
      <c r="I61" s="14">
        <v>5.32</v>
      </c>
      <c r="J61" s="14">
        <v>10.64</v>
      </c>
    </row>
    <row r="62" spans="1:10">
      <c r="A62" t="s">
        <v>66</v>
      </c>
      <c r="B62" t="s">
        <v>137</v>
      </c>
      <c r="C62">
        <v>0</v>
      </c>
      <c r="D62" s="5">
        <v>0</v>
      </c>
      <c r="E62">
        <v>0</v>
      </c>
      <c r="F62">
        <v>0</v>
      </c>
      <c r="G62" s="6">
        <v>0</v>
      </c>
      <c r="H62" s="14">
        <v>0</v>
      </c>
      <c r="I62" s="14">
        <v>0</v>
      </c>
      <c r="J62" s="14">
        <v>0</v>
      </c>
    </row>
    <row r="63" spans="1:10">
      <c r="A63" t="s">
        <v>66</v>
      </c>
      <c r="B63" t="s">
        <v>137</v>
      </c>
      <c r="C63">
        <v>71</v>
      </c>
      <c r="D63" s="5">
        <v>0.15490000000000001</v>
      </c>
      <c r="E63">
        <v>11</v>
      </c>
      <c r="F63">
        <v>1</v>
      </c>
      <c r="G63" s="6">
        <v>9.0899999999999995E-2</v>
      </c>
      <c r="H63" s="14">
        <v>1.34</v>
      </c>
      <c r="I63" s="14">
        <v>14.72</v>
      </c>
      <c r="J63" s="14">
        <v>14.72</v>
      </c>
    </row>
    <row r="64" spans="1:10">
      <c r="A64" t="s">
        <v>66</v>
      </c>
      <c r="B64" t="s">
        <v>136</v>
      </c>
      <c r="C64">
        <v>0</v>
      </c>
      <c r="D64" s="5">
        <v>0</v>
      </c>
      <c r="E64">
        <v>0</v>
      </c>
      <c r="F64">
        <v>0</v>
      </c>
      <c r="G64" s="6">
        <v>0</v>
      </c>
      <c r="H64" s="14">
        <v>0</v>
      </c>
      <c r="I64" s="14">
        <v>0</v>
      </c>
      <c r="J64" s="14">
        <v>0</v>
      </c>
    </row>
    <row r="65" spans="1:10">
      <c r="A65" t="s">
        <v>66</v>
      </c>
      <c r="B65" t="s">
        <v>136</v>
      </c>
      <c r="C65">
        <v>557</v>
      </c>
      <c r="D65" s="5">
        <v>6.0999999999999999E-2</v>
      </c>
      <c r="E65">
        <v>34</v>
      </c>
      <c r="F65">
        <v>1</v>
      </c>
      <c r="G65" s="6">
        <v>2.9399999999999999E-2</v>
      </c>
      <c r="H65" s="14">
        <v>0.27</v>
      </c>
      <c r="I65" s="14">
        <v>9.09</v>
      </c>
      <c r="J65" s="14">
        <v>9.09</v>
      </c>
    </row>
    <row r="66" spans="1:10">
      <c r="A66" t="s">
        <v>66</v>
      </c>
      <c r="B66" t="s">
        <v>136</v>
      </c>
      <c r="C66">
        <v>60</v>
      </c>
      <c r="D66" s="5">
        <v>6.6699999999999995E-2</v>
      </c>
      <c r="E66">
        <v>4</v>
      </c>
      <c r="F66">
        <v>1</v>
      </c>
      <c r="G66" s="6">
        <v>0.25</v>
      </c>
      <c r="H66" s="14">
        <v>4.18</v>
      </c>
      <c r="I66" s="14">
        <v>16.739999999999998</v>
      </c>
      <c r="J66" s="14">
        <v>16.739999999999998</v>
      </c>
    </row>
    <row r="67" spans="1:10">
      <c r="A67" t="s">
        <v>66</v>
      </c>
      <c r="B67" t="s">
        <v>131</v>
      </c>
      <c r="C67">
        <v>464</v>
      </c>
      <c r="D67" s="5">
        <v>4.9599999999999998E-2</v>
      </c>
      <c r="E67">
        <v>23</v>
      </c>
      <c r="F67">
        <v>3</v>
      </c>
      <c r="G67" s="6">
        <v>0.13039999999999999</v>
      </c>
      <c r="H67" s="14">
        <v>0.53</v>
      </c>
      <c r="I67" s="14">
        <v>4.0999999999999996</v>
      </c>
      <c r="J67" s="14">
        <v>12.29</v>
      </c>
    </row>
    <row r="68" spans="1:10">
      <c r="A68" t="s">
        <v>46</v>
      </c>
      <c r="B68" t="s">
        <v>134</v>
      </c>
      <c r="C68">
        <v>369</v>
      </c>
      <c r="D68" s="5">
        <v>4.6100000000000002E-2</v>
      </c>
      <c r="E68">
        <v>17</v>
      </c>
      <c r="F68">
        <v>0</v>
      </c>
      <c r="G68" s="6">
        <v>0</v>
      </c>
      <c r="H68" s="14">
        <v>0</v>
      </c>
      <c r="I68" s="14">
        <v>0</v>
      </c>
      <c r="J68" s="14">
        <v>0</v>
      </c>
    </row>
    <row r="69" spans="1:10">
      <c r="A69" t="s">
        <v>46</v>
      </c>
      <c r="B69" t="s">
        <v>134</v>
      </c>
      <c r="C69">
        <v>2122</v>
      </c>
      <c r="D69" s="5">
        <v>4.7100000000000003E-2</v>
      </c>
      <c r="E69">
        <v>100</v>
      </c>
      <c r="F69">
        <v>2</v>
      </c>
      <c r="G69" s="6">
        <v>0.02</v>
      </c>
      <c r="H69" s="14">
        <v>0.24</v>
      </c>
      <c r="I69" s="14">
        <v>12.2</v>
      </c>
      <c r="J69" s="14">
        <v>24.4</v>
      </c>
    </row>
    <row r="70" spans="1:10">
      <c r="A70" t="s">
        <v>46</v>
      </c>
      <c r="B70" t="s">
        <v>134</v>
      </c>
      <c r="C70">
        <v>1787</v>
      </c>
      <c r="D70" s="5">
        <v>5.6500000000000002E-2</v>
      </c>
      <c r="E70">
        <v>101</v>
      </c>
      <c r="F70">
        <v>3</v>
      </c>
      <c r="G70" s="6">
        <v>2.9700000000000001E-2</v>
      </c>
      <c r="H70" s="14">
        <v>0.19</v>
      </c>
      <c r="I70" s="14">
        <v>6.32</v>
      </c>
      <c r="J70" s="14">
        <v>18.97</v>
      </c>
    </row>
    <row r="71" spans="1:10">
      <c r="A71" t="s">
        <v>46</v>
      </c>
      <c r="B71" t="s">
        <v>134</v>
      </c>
      <c r="C71">
        <v>480</v>
      </c>
      <c r="D71" s="5">
        <v>6.6699999999999995E-2</v>
      </c>
      <c r="E71">
        <v>32</v>
      </c>
      <c r="F71">
        <v>1</v>
      </c>
      <c r="G71" s="6">
        <v>3.1300000000000001E-2</v>
      </c>
      <c r="H71" s="14">
        <v>0.23</v>
      </c>
      <c r="I71" s="14">
        <v>7.48</v>
      </c>
      <c r="J71" s="14">
        <v>7.48</v>
      </c>
    </row>
    <row r="72" spans="1:10">
      <c r="A72" t="s">
        <v>36</v>
      </c>
      <c r="B72" t="s">
        <v>134</v>
      </c>
      <c r="C72">
        <v>257</v>
      </c>
      <c r="D72" s="5">
        <v>6.2300000000000001E-2</v>
      </c>
      <c r="E72">
        <v>16</v>
      </c>
      <c r="F72">
        <v>0</v>
      </c>
      <c r="G72" s="6">
        <v>0</v>
      </c>
      <c r="H72" s="14">
        <v>0</v>
      </c>
      <c r="I72" s="14">
        <v>0</v>
      </c>
      <c r="J72" s="14">
        <v>0</v>
      </c>
    </row>
    <row r="73" spans="1:10">
      <c r="A73" t="s">
        <v>36</v>
      </c>
      <c r="B73" t="s">
        <v>134</v>
      </c>
      <c r="C73">
        <v>1911</v>
      </c>
      <c r="D73" s="5">
        <v>5.2900000000000003E-2</v>
      </c>
      <c r="E73">
        <v>101</v>
      </c>
      <c r="F73">
        <v>6</v>
      </c>
      <c r="G73" s="6">
        <v>5.9400000000000001E-2</v>
      </c>
      <c r="H73" s="14">
        <v>0.66</v>
      </c>
      <c r="I73" s="14">
        <v>11.18</v>
      </c>
      <c r="J73" s="14">
        <v>67.08</v>
      </c>
    </row>
    <row r="74" spans="1:10">
      <c r="A74" t="s">
        <v>36</v>
      </c>
      <c r="B74" t="s">
        <v>134</v>
      </c>
      <c r="C74">
        <v>1347</v>
      </c>
      <c r="D74" s="5">
        <v>5.3499999999999999E-2</v>
      </c>
      <c r="E74">
        <v>72</v>
      </c>
      <c r="F74">
        <v>2</v>
      </c>
      <c r="G74" s="6">
        <v>2.7799999999999998E-2</v>
      </c>
      <c r="H74" s="14">
        <v>0.19</v>
      </c>
      <c r="I74" s="14">
        <v>6.83</v>
      </c>
      <c r="J74" s="14">
        <v>13.66</v>
      </c>
    </row>
    <row r="75" spans="1:10">
      <c r="A75" t="s">
        <v>36</v>
      </c>
      <c r="B75" t="s">
        <v>134</v>
      </c>
      <c r="C75">
        <v>289</v>
      </c>
      <c r="D75" s="5">
        <v>6.5699999999999995E-2</v>
      </c>
      <c r="E75">
        <v>19</v>
      </c>
      <c r="F75">
        <v>1</v>
      </c>
      <c r="G75" s="6">
        <v>5.2600000000000001E-2</v>
      </c>
      <c r="H75" s="14">
        <v>0.39</v>
      </c>
      <c r="I75" s="14">
        <v>7.32</v>
      </c>
      <c r="J75" s="14">
        <v>7.32</v>
      </c>
    </row>
    <row r="76" spans="1:10">
      <c r="A76" t="s">
        <v>18</v>
      </c>
      <c r="B76" t="s">
        <v>134</v>
      </c>
      <c r="C76">
        <v>80</v>
      </c>
      <c r="D76" s="5">
        <v>0.1</v>
      </c>
      <c r="E76">
        <v>8</v>
      </c>
      <c r="F76">
        <v>1</v>
      </c>
      <c r="G76" s="6">
        <v>0.125</v>
      </c>
      <c r="H76" s="14">
        <v>0.21</v>
      </c>
      <c r="I76" s="14">
        <v>1.7</v>
      </c>
      <c r="J76" s="14">
        <v>1.7</v>
      </c>
    </row>
    <row r="77" spans="1:10">
      <c r="A77" t="s">
        <v>77</v>
      </c>
      <c r="B77" t="s">
        <v>137</v>
      </c>
      <c r="C77">
        <v>82</v>
      </c>
      <c r="D77" s="5">
        <v>0</v>
      </c>
      <c r="E77">
        <v>0</v>
      </c>
      <c r="F77">
        <v>0</v>
      </c>
      <c r="G77" s="6">
        <v>0</v>
      </c>
      <c r="H77" s="14">
        <v>0</v>
      </c>
      <c r="I77" s="14">
        <v>0</v>
      </c>
      <c r="J77" s="14">
        <v>0</v>
      </c>
    </row>
    <row r="78" spans="1:10">
      <c r="A78" t="s">
        <v>78</v>
      </c>
      <c r="B78" t="s">
        <v>137</v>
      </c>
      <c r="C78">
        <v>231</v>
      </c>
      <c r="D78" s="5">
        <v>7.3599999999999999E-2</v>
      </c>
      <c r="E78">
        <v>17</v>
      </c>
      <c r="F78">
        <v>2</v>
      </c>
      <c r="G78" s="6">
        <v>0.1176</v>
      </c>
      <c r="H78" s="14">
        <v>0.87</v>
      </c>
      <c r="I78" s="14">
        <v>7.44</v>
      </c>
      <c r="J78" s="14">
        <v>14.87</v>
      </c>
    </row>
    <row r="79" spans="1:10">
      <c r="A79" t="s">
        <v>19</v>
      </c>
      <c r="B79" t="s">
        <v>134</v>
      </c>
      <c r="C79">
        <v>2176</v>
      </c>
      <c r="D79" s="5">
        <v>8.0399999999999999E-2</v>
      </c>
      <c r="E79">
        <v>175</v>
      </c>
      <c r="F79">
        <v>15</v>
      </c>
      <c r="G79" s="6">
        <v>8.5699999999999998E-2</v>
      </c>
      <c r="H79" s="14">
        <v>0.68</v>
      </c>
      <c r="I79" s="14">
        <v>7.98</v>
      </c>
      <c r="J79" s="14">
        <v>119.69</v>
      </c>
    </row>
    <row r="80" spans="1:10">
      <c r="A80" t="s">
        <v>19</v>
      </c>
      <c r="B80" t="s">
        <v>134</v>
      </c>
      <c r="C80">
        <v>6420</v>
      </c>
      <c r="D80" s="5">
        <v>8.7499999999999994E-2</v>
      </c>
      <c r="E80">
        <v>562</v>
      </c>
      <c r="F80">
        <v>52</v>
      </c>
      <c r="G80" s="6">
        <v>9.2499999999999999E-2</v>
      </c>
      <c r="H80" s="14">
        <v>0.9</v>
      </c>
      <c r="I80" s="14">
        <v>9.77</v>
      </c>
      <c r="J80" s="14">
        <v>507.81</v>
      </c>
    </row>
    <row r="81" spans="1:10">
      <c r="A81" t="s">
        <v>19</v>
      </c>
      <c r="B81" t="s">
        <v>134</v>
      </c>
      <c r="C81">
        <v>4374</v>
      </c>
      <c r="D81" s="5">
        <v>8.6400000000000005E-2</v>
      </c>
      <c r="E81">
        <v>378</v>
      </c>
      <c r="F81">
        <v>39</v>
      </c>
      <c r="G81" s="6">
        <v>0.1032</v>
      </c>
      <c r="H81" s="14">
        <v>0.59</v>
      </c>
      <c r="I81" s="14">
        <v>5.73</v>
      </c>
      <c r="J81" s="14">
        <v>223.3</v>
      </c>
    </row>
    <row r="82" spans="1:10">
      <c r="A82" t="s">
        <v>19</v>
      </c>
      <c r="B82" t="s">
        <v>134</v>
      </c>
      <c r="C82">
        <v>840</v>
      </c>
      <c r="D82" s="5">
        <v>0.106</v>
      </c>
      <c r="E82">
        <v>89</v>
      </c>
      <c r="F82">
        <v>10</v>
      </c>
      <c r="G82" s="6">
        <v>0.1124</v>
      </c>
      <c r="H82" s="14">
        <v>0.52</v>
      </c>
      <c r="I82" s="14">
        <v>4.5999999999999996</v>
      </c>
      <c r="J82" s="14">
        <v>45.95</v>
      </c>
    </row>
    <row r="83" spans="1:10">
      <c r="A83" t="s">
        <v>79</v>
      </c>
      <c r="B83" t="s">
        <v>134</v>
      </c>
      <c r="C83">
        <v>429</v>
      </c>
      <c r="D83" s="5">
        <v>5.5899999999999998E-2</v>
      </c>
      <c r="E83">
        <v>24</v>
      </c>
      <c r="F83">
        <v>4</v>
      </c>
      <c r="G83" s="6">
        <v>0.16669999999999999</v>
      </c>
      <c r="H83" s="14">
        <v>0.74</v>
      </c>
      <c r="I83" s="14">
        <v>4.46</v>
      </c>
      <c r="J83" s="14">
        <v>17.82</v>
      </c>
    </row>
    <row r="84" spans="1:10">
      <c r="A84" t="s">
        <v>20</v>
      </c>
      <c r="B84" t="s">
        <v>134</v>
      </c>
      <c r="C84">
        <v>1664</v>
      </c>
      <c r="D84" s="5">
        <v>6.0699999999999997E-2</v>
      </c>
      <c r="E84">
        <v>101</v>
      </c>
      <c r="F84">
        <v>7</v>
      </c>
      <c r="G84" s="6">
        <v>6.93E-2</v>
      </c>
      <c r="H84" s="14">
        <v>0.63</v>
      </c>
      <c r="I84" s="14">
        <v>9.0500000000000007</v>
      </c>
      <c r="J84" s="14">
        <v>63.38</v>
      </c>
    </row>
    <row r="85" spans="1:10">
      <c r="A85" t="s">
        <v>20</v>
      </c>
      <c r="B85" t="s">
        <v>134</v>
      </c>
      <c r="C85">
        <v>422</v>
      </c>
      <c r="D85" s="5">
        <v>7.8200000000000006E-2</v>
      </c>
      <c r="E85">
        <v>33</v>
      </c>
      <c r="F85">
        <v>4</v>
      </c>
      <c r="G85" s="6">
        <v>0.1212</v>
      </c>
      <c r="H85" s="14">
        <v>0.66</v>
      </c>
      <c r="I85" s="14">
        <v>5.48</v>
      </c>
      <c r="J85" s="14">
        <v>21.93</v>
      </c>
    </row>
    <row r="86" spans="1:10">
      <c r="A86" t="s">
        <v>38</v>
      </c>
      <c r="B86" t="s">
        <v>134</v>
      </c>
      <c r="C86">
        <v>539</v>
      </c>
      <c r="D86" s="5">
        <v>3.5299999999999998E-2</v>
      </c>
      <c r="E86">
        <v>19</v>
      </c>
      <c r="F86">
        <v>1</v>
      </c>
      <c r="G86" s="6">
        <v>5.2600000000000001E-2</v>
      </c>
      <c r="H86" s="14">
        <v>0.25</v>
      </c>
      <c r="I86" s="14">
        <v>4.66</v>
      </c>
      <c r="J86" s="14">
        <v>4.66</v>
      </c>
    </row>
    <row r="87" spans="1:10">
      <c r="A87" t="s">
        <v>38</v>
      </c>
      <c r="B87" t="s">
        <v>134</v>
      </c>
      <c r="C87">
        <v>163</v>
      </c>
      <c r="D87" s="5">
        <v>6.13E-2</v>
      </c>
      <c r="E87">
        <v>10</v>
      </c>
      <c r="F87">
        <v>0</v>
      </c>
      <c r="G87" s="6">
        <v>0</v>
      </c>
      <c r="H87" s="14">
        <v>0</v>
      </c>
      <c r="I87" s="14">
        <v>0</v>
      </c>
      <c r="J87" s="14">
        <v>0</v>
      </c>
    </row>
    <row r="88" spans="1:10">
      <c r="A88" t="s">
        <v>38</v>
      </c>
      <c r="B88" t="s">
        <v>134</v>
      </c>
      <c r="C88">
        <v>716</v>
      </c>
      <c r="D88" s="5">
        <v>9.3600000000000003E-2</v>
      </c>
      <c r="E88">
        <v>67</v>
      </c>
      <c r="F88">
        <v>7</v>
      </c>
      <c r="G88" s="6">
        <v>0.1045</v>
      </c>
      <c r="H88" s="14">
        <v>0.89</v>
      </c>
      <c r="I88" s="14">
        <v>8.5399999999999991</v>
      </c>
      <c r="J88" s="14">
        <v>59.78</v>
      </c>
    </row>
    <row r="89" spans="1:10">
      <c r="A89" t="s">
        <v>38</v>
      </c>
      <c r="B89" t="s">
        <v>136</v>
      </c>
      <c r="C89">
        <v>313</v>
      </c>
      <c r="D89" s="5">
        <v>5.7500000000000002E-2</v>
      </c>
      <c r="E89">
        <v>18</v>
      </c>
      <c r="F89">
        <v>3</v>
      </c>
      <c r="G89" s="6">
        <v>0.16669999999999999</v>
      </c>
      <c r="H89" s="14">
        <v>2.4500000000000002</v>
      </c>
      <c r="I89" s="14">
        <v>14.7</v>
      </c>
      <c r="J89" s="14">
        <v>44.1</v>
      </c>
    </row>
    <row r="90" spans="1:10">
      <c r="A90" t="s">
        <v>38</v>
      </c>
      <c r="B90" t="s">
        <v>131</v>
      </c>
      <c r="C90">
        <v>201</v>
      </c>
      <c r="D90" s="5">
        <v>3.4799999999999998E-2</v>
      </c>
      <c r="E90">
        <v>7</v>
      </c>
      <c r="F90">
        <v>1</v>
      </c>
      <c r="G90" s="6">
        <v>0.1429</v>
      </c>
      <c r="H90" s="14">
        <v>1.1000000000000001</v>
      </c>
      <c r="I90" s="14">
        <v>7.73</v>
      </c>
      <c r="J90" s="14">
        <v>7.73</v>
      </c>
    </row>
    <row r="91" spans="1:10">
      <c r="A91" t="s">
        <v>38</v>
      </c>
      <c r="B91" t="s">
        <v>131</v>
      </c>
      <c r="C91">
        <v>0</v>
      </c>
      <c r="D91" s="5">
        <v>0</v>
      </c>
      <c r="E91">
        <v>0</v>
      </c>
      <c r="F91">
        <v>0</v>
      </c>
      <c r="G91" s="6">
        <v>0</v>
      </c>
      <c r="H91" s="14">
        <v>0</v>
      </c>
      <c r="I91" s="14">
        <v>0</v>
      </c>
      <c r="J91" s="14">
        <v>0</v>
      </c>
    </row>
    <row r="92" spans="1:10">
      <c r="A92" t="s">
        <v>38</v>
      </c>
      <c r="B92" t="s">
        <v>131</v>
      </c>
      <c r="C92">
        <v>0</v>
      </c>
      <c r="D92" s="5">
        <v>0</v>
      </c>
      <c r="E92">
        <v>0</v>
      </c>
      <c r="F92">
        <v>0</v>
      </c>
      <c r="G92" s="6">
        <v>0</v>
      </c>
      <c r="H92" s="14">
        <v>0</v>
      </c>
      <c r="I92" s="14">
        <v>0</v>
      </c>
      <c r="J92" s="14">
        <v>0</v>
      </c>
    </row>
    <row r="93" spans="1:10">
      <c r="A93" t="s">
        <v>38</v>
      </c>
      <c r="B93" t="s">
        <v>131</v>
      </c>
      <c r="C93">
        <v>0</v>
      </c>
      <c r="D93" s="5">
        <v>0</v>
      </c>
      <c r="E93">
        <v>0</v>
      </c>
      <c r="F93">
        <v>0</v>
      </c>
      <c r="G93" s="6">
        <v>0</v>
      </c>
      <c r="H93" s="14">
        <v>0</v>
      </c>
      <c r="I93" s="14">
        <v>0</v>
      </c>
      <c r="J93" s="14">
        <v>0</v>
      </c>
    </row>
    <row r="94" spans="1:10">
      <c r="A94" t="s">
        <v>38</v>
      </c>
      <c r="B94" t="s">
        <v>131</v>
      </c>
      <c r="C94">
        <v>0</v>
      </c>
      <c r="D94" s="5">
        <v>0</v>
      </c>
      <c r="E94">
        <v>0</v>
      </c>
      <c r="F94">
        <v>0</v>
      </c>
      <c r="G94" s="6">
        <v>0</v>
      </c>
      <c r="H94" s="14">
        <v>0</v>
      </c>
      <c r="I94" s="14">
        <v>0</v>
      </c>
      <c r="J94" s="14">
        <v>0</v>
      </c>
    </row>
    <row r="95" spans="1:10">
      <c r="A95" t="s">
        <v>38</v>
      </c>
      <c r="B95" t="s">
        <v>131</v>
      </c>
      <c r="C95">
        <v>63</v>
      </c>
      <c r="D95" s="5">
        <v>4.7600000000000003E-2</v>
      </c>
      <c r="E95">
        <v>3</v>
      </c>
      <c r="F95">
        <v>0</v>
      </c>
      <c r="G95" s="6">
        <v>0</v>
      </c>
      <c r="H95" s="14">
        <v>0</v>
      </c>
      <c r="I95" s="14">
        <v>0</v>
      </c>
      <c r="J95" s="14">
        <v>0</v>
      </c>
    </row>
    <row r="96" spans="1:10">
      <c r="A96" t="s">
        <v>38</v>
      </c>
      <c r="B96" t="s">
        <v>131</v>
      </c>
      <c r="C96">
        <v>44</v>
      </c>
      <c r="D96" s="5">
        <v>0</v>
      </c>
      <c r="E96">
        <v>0</v>
      </c>
      <c r="F96">
        <v>0</v>
      </c>
      <c r="G96" s="6">
        <v>0</v>
      </c>
      <c r="H96" s="14">
        <v>0</v>
      </c>
      <c r="I96" s="14">
        <v>0</v>
      </c>
      <c r="J96" s="14">
        <v>0</v>
      </c>
    </row>
    <row r="97" spans="1:10">
      <c r="A97" t="s">
        <v>38</v>
      </c>
      <c r="B97" t="s">
        <v>131</v>
      </c>
      <c r="C97">
        <v>264</v>
      </c>
      <c r="D97" s="5">
        <v>3.0300000000000001E-2</v>
      </c>
      <c r="E97">
        <v>8</v>
      </c>
      <c r="F97">
        <v>1</v>
      </c>
      <c r="G97" s="6">
        <v>0.125</v>
      </c>
      <c r="H97" s="14">
        <v>4.68</v>
      </c>
      <c r="I97" s="14">
        <v>37.43</v>
      </c>
      <c r="J97" s="14">
        <v>37.43</v>
      </c>
    </row>
    <row r="98" spans="1:10">
      <c r="A98" t="s">
        <v>38</v>
      </c>
      <c r="B98" t="s">
        <v>131</v>
      </c>
      <c r="C98">
        <v>0</v>
      </c>
      <c r="D98" s="5">
        <v>0</v>
      </c>
      <c r="E98">
        <v>0</v>
      </c>
      <c r="F98">
        <v>0</v>
      </c>
      <c r="G98" s="6">
        <v>0</v>
      </c>
      <c r="H98" s="14">
        <v>0</v>
      </c>
      <c r="I98" s="14">
        <v>0</v>
      </c>
      <c r="J98" s="14">
        <v>0</v>
      </c>
    </row>
    <row r="99" spans="1:10">
      <c r="A99" t="s">
        <v>38</v>
      </c>
      <c r="B99" t="s">
        <v>131</v>
      </c>
      <c r="C99">
        <v>0</v>
      </c>
      <c r="D99" s="5">
        <v>0</v>
      </c>
      <c r="E99">
        <v>0</v>
      </c>
      <c r="F99">
        <v>0</v>
      </c>
      <c r="G99" s="6">
        <v>0</v>
      </c>
      <c r="H99" s="14">
        <v>0</v>
      </c>
      <c r="I99" s="14">
        <v>0</v>
      </c>
      <c r="J99" s="14">
        <v>0</v>
      </c>
    </row>
    <row r="100" spans="1:10">
      <c r="A100" t="s">
        <v>38</v>
      </c>
      <c r="B100" t="s">
        <v>133</v>
      </c>
      <c r="C100">
        <v>1151</v>
      </c>
      <c r="D100" s="5">
        <v>5.21E-2</v>
      </c>
      <c r="E100">
        <v>60</v>
      </c>
      <c r="F100">
        <v>6</v>
      </c>
      <c r="G100" s="6">
        <v>0.1</v>
      </c>
      <c r="H100" s="14">
        <v>0.48</v>
      </c>
      <c r="I100" s="14">
        <v>4.79</v>
      </c>
      <c r="J100" s="14">
        <v>28.75</v>
      </c>
    </row>
    <row r="101" spans="1:10">
      <c r="A101" t="s">
        <v>38</v>
      </c>
      <c r="B101" t="s">
        <v>131</v>
      </c>
      <c r="C101">
        <v>699</v>
      </c>
      <c r="D101" s="5">
        <v>6.1499999999999999E-2</v>
      </c>
      <c r="E101">
        <v>43</v>
      </c>
      <c r="F101">
        <v>1</v>
      </c>
      <c r="G101" s="6">
        <v>2.3300000000000001E-2</v>
      </c>
      <c r="H101" s="14">
        <v>0.1</v>
      </c>
      <c r="I101" s="14">
        <v>4.49</v>
      </c>
      <c r="J101" s="14">
        <v>4.49</v>
      </c>
    </row>
    <row r="102" spans="1:10">
      <c r="A102" t="s">
        <v>80</v>
      </c>
      <c r="B102" t="s">
        <v>137</v>
      </c>
      <c r="C102">
        <v>266</v>
      </c>
      <c r="D102" s="5">
        <v>3.7600000000000001E-2</v>
      </c>
      <c r="E102">
        <v>10</v>
      </c>
      <c r="F102">
        <v>1</v>
      </c>
      <c r="G102" s="6">
        <v>0.1</v>
      </c>
      <c r="H102" s="14">
        <v>0.42</v>
      </c>
      <c r="I102" s="14">
        <v>4.21</v>
      </c>
      <c r="J102" s="14">
        <v>4.21</v>
      </c>
    </row>
    <row r="103" spans="1:10">
      <c r="A103" t="s">
        <v>81</v>
      </c>
      <c r="B103" t="s">
        <v>138</v>
      </c>
      <c r="C103">
        <v>6829</v>
      </c>
      <c r="D103" s="5">
        <v>5.8299999999999998E-2</v>
      </c>
      <c r="E103">
        <v>398</v>
      </c>
      <c r="F103">
        <v>28</v>
      </c>
      <c r="G103" s="6">
        <v>7.0400000000000004E-2</v>
      </c>
      <c r="H103" s="14">
        <v>0.38</v>
      </c>
      <c r="I103" s="14">
        <v>5.38</v>
      </c>
      <c r="J103" s="14">
        <v>150.54</v>
      </c>
    </row>
    <row r="104" spans="1:10">
      <c r="A104" t="s">
        <v>81</v>
      </c>
      <c r="B104" t="s">
        <v>137</v>
      </c>
      <c r="C104">
        <v>1231</v>
      </c>
      <c r="D104" s="5">
        <v>8.3699999999999997E-2</v>
      </c>
      <c r="E104">
        <v>103</v>
      </c>
      <c r="F104">
        <v>14</v>
      </c>
      <c r="G104" s="6">
        <v>0.13589999999999999</v>
      </c>
      <c r="H104" s="14">
        <v>0.72</v>
      </c>
      <c r="I104" s="14">
        <v>5.29</v>
      </c>
      <c r="J104" s="14">
        <v>74.11</v>
      </c>
    </row>
    <row r="105" spans="1:10">
      <c r="A105" t="s">
        <v>81</v>
      </c>
      <c r="B105" t="s">
        <v>131</v>
      </c>
      <c r="C105">
        <v>1652</v>
      </c>
      <c r="D105" s="5">
        <v>5.2699999999999997E-2</v>
      </c>
      <c r="E105">
        <v>87</v>
      </c>
      <c r="F105">
        <v>11</v>
      </c>
      <c r="G105" s="6">
        <v>0.12640000000000001</v>
      </c>
      <c r="H105" s="14">
        <v>0.75</v>
      </c>
      <c r="I105" s="14">
        <v>5.9</v>
      </c>
      <c r="J105" s="14">
        <v>64.95</v>
      </c>
    </row>
    <row r="106" spans="1:10">
      <c r="A106" t="s">
        <v>81</v>
      </c>
      <c r="B106" t="s">
        <v>139</v>
      </c>
      <c r="C106">
        <v>2662</v>
      </c>
      <c r="D106" s="5">
        <v>5.0299999999999997E-2</v>
      </c>
      <c r="E106">
        <v>134</v>
      </c>
      <c r="F106">
        <v>7</v>
      </c>
      <c r="G106" s="6">
        <v>5.2200000000000003E-2</v>
      </c>
      <c r="H106" s="14">
        <v>0.3</v>
      </c>
      <c r="I106" s="14">
        <v>5.69</v>
      </c>
      <c r="J106" s="14">
        <v>39.82</v>
      </c>
    </row>
    <row r="107" spans="1:10">
      <c r="A107" t="s">
        <v>21</v>
      </c>
      <c r="B107" t="s">
        <v>134</v>
      </c>
      <c r="C107">
        <v>4365</v>
      </c>
      <c r="D107" s="5">
        <v>9.6000000000000002E-2</v>
      </c>
      <c r="E107">
        <v>419</v>
      </c>
      <c r="F107">
        <v>33</v>
      </c>
      <c r="G107" s="6">
        <v>7.8799999999999995E-2</v>
      </c>
      <c r="H107" s="14">
        <v>0.5</v>
      </c>
      <c r="I107" s="14">
        <v>6.39</v>
      </c>
      <c r="J107" s="14">
        <v>210.9</v>
      </c>
    </row>
    <row r="108" spans="1:10">
      <c r="A108" t="s">
        <v>21</v>
      </c>
      <c r="B108" t="s">
        <v>134</v>
      </c>
      <c r="C108">
        <v>499</v>
      </c>
      <c r="D108" s="5">
        <v>9.0200000000000002E-2</v>
      </c>
      <c r="E108">
        <v>45</v>
      </c>
      <c r="F108">
        <v>1</v>
      </c>
      <c r="G108" s="6">
        <v>2.2200000000000001E-2</v>
      </c>
      <c r="H108" s="14">
        <v>0.22</v>
      </c>
      <c r="I108" s="14">
        <v>9.6999999999999993</v>
      </c>
      <c r="J108" s="14">
        <v>9.6999999999999993</v>
      </c>
    </row>
    <row r="109" spans="1:10">
      <c r="A109" t="s">
        <v>21</v>
      </c>
      <c r="B109" t="s">
        <v>134</v>
      </c>
      <c r="C109">
        <v>471</v>
      </c>
      <c r="D109" s="5">
        <v>0.13159999999999999</v>
      </c>
      <c r="E109">
        <v>62</v>
      </c>
      <c r="F109">
        <v>8</v>
      </c>
      <c r="G109" s="6">
        <v>0.129</v>
      </c>
      <c r="H109" s="14">
        <v>0.64</v>
      </c>
      <c r="I109" s="14">
        <v>4.9800000000000004</v>
      </c>
      <c r="J109" s="14">
        <v>39.81</v>
      </c>
    </row>
    <row r="110" spans="1:10">
      <c r="A110" t="s">
        <v>22</v>
      </c>
      <c r="B110" t="s">
        <v>134</v>
      </c>
      <c r="C110">
        <v>0</v>
      </c>
      <c r="D110" s="5">
        <v>0</v>
      </c>
      <c r="E110">
        <v>0</v>
      </c>
      <c r="F110">
        <v>0</v>
      </c>
      <c r="G110" s="6">
        <v>0</v>
      </c>
      <c r="H110" s="14">
        <v>0</v>
      </c>
      <c r="I110" s="14">
        <v>0</v>
      </c>
      <c r="J110" s="14">
        <v>0</v>
      </c>
    </row>
    <row r="111" spans="1:10">
      <c r="A111" t="s">
        <v>22</v>
      </c>
      <c r="B111" t="s">
        <v>134</v>
      </c>
      <c r="C111">
        <v>0</v>
      </c>
      <c r="D111" s="5">
        <v>0</v>
      </c>
      <c r="E111">
        <v>0</v>
      </c>
      <c r="F111">
        <v>0</v>
      </c>
      <c r="G111" s="6">
        <v>0</v>
      </c>
      <c r="H111" s="14">
        <v>0</v>
      </c>
      <c r="I111" s="14">
        <v>0</v>
      </c>
      <c r="J111" s="14">
        <v>0</v>
      </c>
    </row>
    <row r="112" spans="1:10">
      <c r="A112" t="s">
        <v>22</v>
      </c>
      <c r="B112" t="s">
        <v>134</v>
      </c>
      <c r="C112">
        <v>435</v>
      </c>
      <c r="D112" s="5">
        <v>8.9700000000000002E-2</v>
      </c>
      <c r="E112">
        <v>39</v>
      </c>
      <c r="F112">
        <v>4</v>
      </c>
      <c r="G112" s="6">
        <v>0.1026</v>
      </c>
      <c r="H112" s="14">
        <v>0.55000000000000004</v>
      </c>
      <c r="I112" s="14">
        <v>5.35</v>
      </c>
      <c r="J112" s="14">
        <v>21.4</v>
      </c>
    </row>
    <row r="113" spans="1:10">
      <c r="A113" t="s">
        <v>22</v>
      </c>
      <c r="B113" t="s">
        <v>134</v>
      </c>
      <c r="C113">
        <v>2701</v>
      </c>
      <c r="D113" s="5">
        <v>7.0699999999999999E-2</v>
      </c>
      <c r="E113">
        <v>191</v>
      </c>
      <c r="F113">
        <v>18</v>
      </c>
      <c r="G113" s="6">
        <v>9.4200000000000006E-2</v>
      </c>
      <c r="H113" s="14">
        <v>0.97</v>
      </c>
      <c r="I113" s="14">
        <v>10.25</v>
      </c>
      <c r="J113" s="14">
        <v>184.54</v>
      </c>
    </row>
    <row r="114" spans="1:10">
      <c r="A114" t="s">
        <v>22</v>
      </c>
      <c r="B114" t="s">
        <v>134</v>
      </c>
      <c r="C114">
        <v>415</v>
      </c>
      <c r="D114" s="5">
        <v>0.1084</v>
      </c>
      <c r="E114">
        <v>45</v>
      </c>
      <c r="F114">
        <v>2</v>
      </c>
      <c r="G114" s="6">
        <v>4.4400000000000002E-2</v>
      </c>
      <c r="H114" s="14">
        <v>0.4</v>
      </c>
      <c r="I114" s="14">
        <v>8.99</v>
      </c>
      <c r="J114" s="14">
        <v>17.97</v>
      </c>
    </row>
    <row r="115" spans="1:10">
      <c r="A115" t="s">
        <v>22</v>
      </c>
      <c r="B115" t="s">
        <v>134</v>
      </c>
      <c r="C115">
        <v>433</v>
      </c>
      <c r="D115" s="5">
        <v>6.4699999999999994E-2</v>
      </c>
      <c r="E115">
        <v>28</v>
      </c>
      <c r="F115">
        <v>0</v>
      </c>
      <c r="G115" s="6">
        <v>0</v>
      </c>
      <c r="H115" s="14">
        <v>0</v>
      </c>
      <c r="I115" s="14">
        <v>0</v>
      </c>
      <c r="J115" s="14">
        <v>0</v>
      </c>
    </row>
    <row r="116" spans="1:10">
      <c r="A116" t="s">
        <v>22</v>
      </c>
      <c r="B116" t="s">
        <v>134</v>
      </c>
      <c r="C116">
        <v>510</v>
      </c>
      <c r="D116" s="5">
        <v>5.4899999999999997E-2</v>
      </c>
      <c r="E116">
        <v>28</v>
      </c>
      <c r="F116">
        <v>1</v>
      </c>
      <c r="G116" s="6">
        <v>3.5700000000000003E-2</v>
      </c>
      <c r="H116" s="14">
        <v>0.19</v>
      </c>
      <c r="I116" s="14">
        <v>5.41</v>
      </c>
      <c r="J116" s="14">
        <v>5.41</v>
      </c>
    </row>
    <row r="117" spans="1:10">
      <c r="A117" t="s">
        <v>22</v>
      </c>
      <c r="B117" t="s">
        <v>134</v>
      </c>
      <c r="C117">
        <v>1913</v>
      </c>
      <c r="D117" s="5">
        <v>8.3599999999999994E-2</v>
      </c>
      <c r="E117">
        <v>160</v>
      </c>
      <c r="F117">
        <v>17</v>
      </c>
      <c r="G117" s="6">
        <v>0.10630000000000001</v>
      </c>
      <c r="H117" s="14">
        <v>1.1000000000000001</v>
      </c>
      <c r="I117" s="14">
        <v>10.34</v>
      </c>
      <c r="J117" s="14">
        <v>175.76</v>
      </c>
    </row>
    <row r="118" spans="1:10">
      <c r="A118" t="s">
        <v>22</v>
      </c>
      <c r="B118" t="s">
        <v>134</v>
      </c>
      <c r="C118">
        <v>1132</v>
      </c>
      <c r="D118" s="5">
        <v>6.54E-2</v>
      </c>
      <c r="E118">
        <v>74</v>
      </c>
      <c r="F118">
        <v>3</v>
      </c>
      <c r="G118" s="6">
        <v>4.0500000000000001E-2</v>
      </c>
      <c r="H118" s="14">
        <v>0.45</v>
      </c>
      <c r="I118" s="14">
        <v>11.2</v>
      </c>
      <c r="J118" s="14">
        <v>33.590000000000003</v>
      </c>
    </row>
    <row r="119" spans="1:10">
      <c r="A119" t="s">
        <v>22</v>
      </c>
      <c r="B119" t="s">
        <v>134</v>
      </c>
      <c r="C119">
        <v>2484</v>
      </c>
      <c r="D119" s="5">
        <v>9.1800000000000007E-2</v>
      </c>
      <c r="E119">
        <v>228</v>
      </c>
      <c r="F119">
        <v>18</v>
      </c>
      <c r="G119" s="6">
        <v>7.8899999999999998E-2</v>
      </c>
      <c r="H119" s="14">
        <v>0.46</v>
      </c>
      <c r="I119" s="14">
        <v>5.83</v>
      </c>
      <c r="J119" s="14">
        <v>105.02</v>
      </c>
    </row>
    <row r="120" spans="1:10">
      <c r="A120" t="s">
        <v>22</v>
      </c>
      <c r="B120" t="s">
        <v>134</v>
      </c>
      <c r="C120">
        <v>390</v>
      </c>
      <c r="D120" s="5">
        <v>7.4399999999999994E-2</v>
      </c>
      <c r="E120">
        <v>29</v>
      </c>
      <c r="F120">
        <v>1</v>
      </c>
      <c r="G120" s="6">
        <v>3.4500000000000003E-2</v>
      </c>
      <c r="H120" s="14">
        <v>0.1</v>
      </c>
      <c r="I120" s="14">
        <v>2.77</v>
      </c>
      <c r="J120" s="14">
        <v>2.77</v>
      </c>
    </row>
    <row r="121" spans="1:10">
      <c r="A121" t="s">
        <v>22</v>
      </c>
      <c r="B121" t="s">
        <v>134</v>
      </c>
      <c r="C121">
        <v>653</v>
      </c>
      <c r="D121" s="5">
        <v>9.0399999999999994E-2</v>
      </c>
      <c r="E121">
        <v>59</v>
      </c>
      <c r="F121">
        <v>6</v>
      </c>
      <c r="G121" s="6">
        <v>0.1017</v>
      </c>
      <c r="H121" s="14">
        <v>0.68</v>
      </c>
      <c r="I121" s="14">
        <v>6.69</v>
      </c>
      <c r="J121" s="14">
        <v>40.159999999999997</v>
      </c>
    </row>
    <row r="122" spans="1:10">
      <c r="A122" t="s">
        <v>22</v>
      </c>
      <c r="B122" t="s">
        <v>134</v>
      </c>
      <c r="C122">
        <v>402</v>
      </c>
      <c r="D122" s="5">
        <v>7.9600000000000004E-2</v>
      </c>
      <c r="E122">
        <v>32</v>
      </c>
      <c r="F122">
        <v>4</v>
      </c>
      <c r="G122" s="6">
        <v>0.125</v>
      </c>
      <c r="H122" s="14">
        <v>0.81</v>
      </c>
      <c r="I122" s="14">
        <v>6.5</v>
      </c>
      <c r="J122" s="14">
        <v>26</v>
      </c>
    </row>
    <row r="123" spans="1:10">
      <c r="A123" t="s">
        <v>22</v>
      </c>
      <c r="B123" t="s">
        <v>137</v>
      </c>
      <c r="C123">
        <v>292</v>
      </c>
      <c r="D123" s="5">
        <v>0.1027</v>
      </c>
      <c r="E123">
        <v>30</v>
      </c>
      <c r="F123">
        <v>3</v>
      </c>
      <c r="G123" s="6">
        <v>0.1</v>
      </c>
      <c r="H123" s="14">
        <v>0.47</v>
      </c>
      <c r="I123" s="14">
        <v>4.6500000000000004</v>
      </c>
      <c r="J123" s="14">
        <v>13.96</v>
      </c>
    </row>
    <row r="124" spans="1:10">
      <c r="A124" t="s">
        <v>22</v>
      </c>
      <c r="B124" t="s">
        <v>137</v>
      </c>
      <c r="C124">
        <v>0</v>
      </c>
      <c r="D124" s="5">
        <v>0</v>
      </c>
      <c r="E124">
        <v>0</v>
      </c>
      <c r="F124">
        <v>0</v>
      </c>
      <c r="G124" s="6">
        <v>0</v>
      </c>
      <c r="H124" s="14">
        <v>0</v>
      </c>
      <c r="I124" s="14">
        <v>0</v>
      </c>
      <c r="J124" s="14">
        <v>0</v>
      </c>
    </row>
    <row r="125" spans="1:10">
      <c r="A125" t="s">
        <v>22</v>
      </c>
      <c r="B125" t="s">
        <v>137</v>
      </c>
      <c r="C125">
        <v>340</v>
      </c>
      <c r="D125" s="5">
        <v>7.3499999999999996E-2</v>
      </c>
      <c r="E125">
        <v>25</v>
      </c>
      <c r="F125">
        <v>4</v>
      </c>
      <c r="G125" s="6">
        <v>0.16</v>
      </c>
      <c r="H125" s="14">
        <v>0.65</v>
      </c>
      <c r="I125" s="14">
        <v>4.05</v>
      </c>
      <c r="J125" s="14">
        <v>16.18</v>
      </c>
    </row>
    <row r="126" spans="1:10">
      <c r="A126" t="s">
        <v>22</v>
      </c>
      <c r="B126" t="s">
        <v>136</v>
      </c>
      <c r="C126">
        <v>487</v>
      </c>
      <c r="D126" s="5">
        <v>8.6199999999999999E-2</v>
      </c>
      <c r="E126">
        <v>42</v>
      </c>
      <c r="F126">
        <v>3</v>
      </c>
      <c r="G126" s="6">
        <v>7.1400000000000005E-2</v>
      </c>
      <c r="H126" s="14">
        <v>0.52</v>
      </c>
      <c r="I126" s="14">
        <v>7.25</v>
      </c>
      <c r="J126" s="14">
        <v>21.76</v>
      </c>
    </row>
    <row r="127" spans="1:10">
      <c r="A127" t="s">
        <v>22</v>
      </c>
      <c r="B127" t="s">
        <v>131</v>
      </c>
      <c r="C127">
        <v>286</v>
      </c>
      <c r="D127" s="5">
        <v>0.1014</v>
      </c>
      <c r="E127">
        <v>29</v>
      </c>
      <c r="F127">
        <v>3</v>
      </c>
      <c r="G127" s="6">
        <v>0.10340000000000001</v>
      </c>
      <c r="H127" s="14">
        <v>0.36</v>
      </c>
      <c r="I127" s="14">
        <v>3.45</v>
      </c>
      <c r="J127" s="14">
        <v>10.35</v>
      </c>
    </row>
    <row r="128" spans="1:10">
      <c r="A128" t="s">
        <v>22</v>
      </c>
      <c r="B128" t="s">
        <v>131</v>
      </c>
      <c r="C128">
        <v>0</v>
      </c>
      <c r="D128" s="5">
        <v>0</v>
      </c>
      <c r="E128">
        <v>0</v>
      </c>
      <c r="F128">
        <v>0</v>
      </c>
      <c r="G128" s="6">
        <v>0</v>
      </c>
      <c r="H128" s="14">
        <v>0</v>
      </c>
      <c r="I128" s="14">
        <v>0</v>
      </c>
      <c r="J128" s="14">
        <v>0</v>
      </c>
    </row>
    <row r="129" spans="1:10">
      <c r="A129" t="s">
        <v>23</v>
      </c>
      <c r="B129" t="s">
        <v>134</v>
      </c>
      <c r="C129">
        <v>149</v>
      </c>
      <c r="D129" s="5">
        <v>0.1275</v>
      </c>
      <c r="E129">
        <v>19</v>
      </c>
      <c r="F129">
        <v>4</v>
      </c>
      <c r="G129" s="6">
        <v>0.21049999999999999</v>
      </c>
      <c r="H129" s="14">
        <v>1.32</v>
      </c>
      <c r="I129" s="14">
        <v>6.27</v>
      </c>
      <c r="J129" s="14">
        <v>25.08</v>
      </c>
    </row>
    <row r="130" spans="1:10">
      <c r="A130" t="s">
        <v>23</v>
      </c>
      <c r="B130" t="s">
        <v>134</v>
      </c>
      <c r="C130">
        <v>650</v>
      </c>
      <c r="D130" s="5">
        <v>0.1</v>
      </c>
      <c r="E130">
        <v>65</v>
      </c>
      <c r="F130">
        <v>10</v>
      </c>
      <c r="G130" s="6">
        <v>0.15379999999999999</v>
      </c>
      <c r="H130" s="14">
        <v>0.25</v>
      </c>
      <c r="I130" s="14">
        <v>1.64</v>
      </c>
      <c r="J130" s="14">
        <v>16.41</v>
      </c>
    </row>
    <row r="131" spans="1:10">
      <c r="A131" t="s">
        <v>23</v>
      </c>
      <c r="B131" t="s">
        <v>134</v>
      </c>
      <c r="C131">
        <v>1281</v>
      </c>
      <c r="D131" s="5">
        <v>4.7600000000000003E-2</v>
      </c>
      <c r="E131">
        <v>61</v>
      </c>
      <c r="F131">
        <v>3</v>
      </c>
      <c r="G131" s="6">
        <v>4.9200000000000001E-2</v>
      </c>
      <c r="H131" s="14">
        <v>0.18</v>
      </c>
      <c r="I131" s="14">
        <v>3.63</v>
      </c>
      <c r="J131" s="14">
        <v>10.88</v>
      </c>
    </row>
    <row r="132" spans="1:10">
      <c r="A132" t="s">
        <v>24</v>
      </c>
      <c r="B132" t="s">
        <v>134</v>
      </c>
      <c r="C132">
        <v>192</v>
      </c>
      <c r="D132" s="5">
        <v>6.7699999999999996E-2</v>
      </c>
      <c r="E132">
        <v>13</v>
      </c>
      <c r="F132">
        <v>0</v>
      </c>
      <c r="G132" s="6">
        <v>0</v>
      </c>
      <c r="H132" s="14">
        <v>0</v>
      </c>
      <c r="I132" s="14">
        <v>0</v>
      </c>
      <c r="J132" s="14">
        <v>0</v>
      </c>
    </row>
    <row r="133" spans="1:10">
      <c r="A133" t="s">
        <v>24</v>
      </c>
      <c r="B133" t="s">
        <v>134</v>
      </c>
      <c r="C133">
        <v>501</v>
      </c>
      <c r="D133" s="5">
        <v>7.3899999999999993E-2</v>
      </c>
      <c r="E133">
        <v>37</v>
      </c>
      <c r="F133">
        <v>4</v>
      </c>
      <c r="G133" s="6">
        <v>0.1081</v>
      </c>
      <c r="H133" s="14">
        <v>0.42</v>
      </c>
      <c r="I133" s="14">
        <v>3.9</v>
      </c>
      <c r="J133" s="14">
        <v>15.6</v>
      </c>
    </row>
    <row r="134" spans="1:10">
      <c r="A134" t="s">
        <v>25</v>
      </c>
      <c r="B134" t="s">
        <v>134</v>
      </c>
      <c r="C134">
        <v>937</v>
      </c>
      <c r="D134" s="5">
        <v>9.5000000000000001E-2</v>
      </c>
      <c r="E134">
        <v>89</v>
      </c>
      <c r="F134">
        <v>5</v>
      </c>
      <c r="G134" s="6">
        <v>5.62E-2</v>
      </c>
      <c r="H134" s="14">
        <v>0.43</v>
      </c>
      <c r="I134" s="14">
        <v>7.63</v>
      </c>
      <c r="J134" s="14">
        <v>38.159999999999997</v>
      </c>
    </row>
    <row r="135" spans="1:10">
      <c r="A135" t="s">
        <v>25</v>
      </c>
      <c r="B135" t="s">
        <v>134</v>
      </c>
      <c r="C135">
        <v>662</v>
      </c>
      <c r="D135" s="5">
        <v>0.12690000000000001</v>
      </c>
      <c r="E135">
        <v>84</v>
      </c>
      <c r="F135">
        <v>4</v>
      </c>
      <c r="G135" s="6">
        <v>4.7600000000000003E-2</v>
      </c>
      <c r="H135" s="14">
        <v>0.49</v>
      </c>
      <c r="I135" s="14">
        <v>10.3</v>
      </c>
      <c r="J135" s="14">
        <v>41.2</v>
      </c>
    </row>
    <row r="136" spans="1:10">
      <c r="A136" t="s">
        <v>25</v>
      </c>
      <c r="B136" t="s">
        <v>134</v>
      </c>
      <c r="C136">
        <v>357</v>
      </c>
      <c r="D136" s="5">
        <v>0.12889999999999999</v>
      </c>
      <c r="E136">
        <v>46</v>
      </c>
      <c r="F136">
        <v>5</v>
      </c>
      <c r="G136" s="6">
        <v>0.1087</v>
      </c>
      <c r="H136" s="14">
        <v>0.45</v>
      </c>
      <c r="I136" s="14">
        <v>4.13</v>
      </c>
      <c r="J136" s="14">
        <v>20.64</v>
      </c>
    </row>
    <row r="137" spans="1:10">
      <c r="A137" t="s">
        <v>25</v>
      </c>
      <c r="B137" t="s">
        <v>134</v>
      </c>
      <c r="C137">
        <v>373</v>
      </c>
      <c r="D137" s="5">
        <v>8.8499999999999995E-2</v>
      </c>
      <c r="E137">
        <v>33</v>
      </c>
      <c r="F137">
        <v>5</v>
      </c>
      <c r="G137" s="6">
        <v>0.1515</v>
      </c>
      <c r="H137" s="14">
        <v>0.68</v>
      </c>
      <c r="I137" s="14">
        <v>4.47</v>
      </c>
      <c r="J137" s="14">
        <v>22.34</v>
      </c>
    </row>
    <row r="138" spans="1:10">
      <c r="A138" t="s">
        <v>25</v>
      </c>
      <c r="B138" t="s">
        <v>134</v>
      </c>
      <c r="C138">
        <v>234</v>
      </c>
      <c r="D138" s="5">
        <v>7.6899999999999996E-2</v>
      </c>
      <c r="E138">
        <v>18</v>
      </c>
      <c r="F138">
        <v>2</v>
      </c>
      <c r="G138" s="6">
        <v>0.1111</v>
      </c>
      <c r="H138" s="14">
        <v>2.58</v>
      </c>
      <c r="I138" s="14">
        <v>23.22</v>
      </c>
      <c r="J138" s="14">
        <v>46.43</v>
      </c>
    </row>
    <row r="139" spans="1:10">
      <c r="A139" t="s">
        <v>25</v>
      </c>
      <c r="B139" t="s">
        <v>134</v>
      </c>
      <c r="C139">
        <v>197</v>
      </c>
      <c r="D139" s="5">
        <v>0.10150000000000001</v>
      </c>
      <c r="E139">
        <v>20</v>
      </c>
      <c r="F139">
        <v>3</v>
      </c>
      <c r="G139" s="6">
        <v>0.15</v>
      </c>
      <c r="H139" s="14">
        <v>2.16</v>
      </c>
      <c r="I139" s="14">
        <v>14.41</v>
      </c>
      <c r="J139" s="14">
        <v>43.23</v>
      </c>
    </row>
    <row r="140" spans="1:10">
      <c r="A140" t="s">
        <v>26</v>
      </c>
      <c r="B140" t="s">
        <v>134</v>
      </c>
      <c r="C140">
        <v>1661</v>
      </c>
      <c r="D140" s="5">
        <v>7.8899999999999998E-2</v>
      </c>
      <c r="E140">
        <v>131</v>
      </c>
      <c r="F140">
        <v>5</v>
      </c>
      <c r="G140" s="6">
        <v>3.8199999999999998E-2</v>
      </c>
      <c r="H140" s="14">
        <v>0.46</v>
      </c>
      <c r="I140" s="14">
        <v>12.17</v>
      </c>
      <c r="J140" s="14">
        <v>60.87</v>
      </c>
    </row>
    <row r="141" spans="1:10">
      <c r="A141" t="s">
        <v>26</v>
      </c>
      <c r="B141" t="s">
        <v>134</v>
      </c>
      <c r="C141">
        <v>382</v>
      </c>
      <c r="D141" s="5">
        <v>7.3300000000000004E-2</v>
      </c>
      <c r="E141">
        <v>28</v>
      </c>
      <c r="F141">
        <v>1</v>
      </c>
      <c r="G141" s="6">
        <v>3.5700000000000003E-2</v>
      </c>
      <c r="H141" s="14">
        <v>0.26</v>
      </c>
      <c r="I141" s="14">
        <v>7.3</v>
      </c>
      <c r="J141" s="14">
        <v>7.3</v>
      </c>
    </row>
    <row r="142" spans="1:10">
      <c r="A142" t="s">
        <v>26</v>
      </c>
      <c r="B142" t="s">
        <v>134</v>
      </c>
      <c r="C142">
        <v>741</v>
      </c>
      <c r="D142" s="5">
        <v>4.99E-2</v>
      </c>
      <c r="E142">
        <v>37</v>
      </c>
      <c r="F142">
        <v>3</v>
      </c>
      <c r="G142" s="6">
        <v>8.1100000000000005E-2</v>
      </c>
      <c r="H142" s="14">
        <v>0.41</v>
      </c>
      <c r="I142" s="14">
        <v>5.05</v>
      </c>
      <c r="J142" s="14">
        <v>15.16</v>
      </c>
    </row>
    <row r="143" spans="1:10">
      <c r="A143" t="s">
        <v>26</v>
      </c>
      <c r="B143" t="s">
        <v>134</v>
      </c>
      <c r="C143">
        <v>676</v>
      </c>
      <c r="D143" s="5">
        <v>7.2499999999999995E-2</v>
      </c>
      <c r="E143">
        <v>49</v>
      </c>
      <c r="F143">
        <v>6</v>
      </c>
      <c r="G143" s="6">
        <v>0.12239999999999999</v>
      </c>
      <c r="H143" s="14">
        <v>0.64</v>
      </c>
      <c r="I143" s="14">
        <v>5.19</v>
      </c>
      <c r="J143" s="14">
        <v>31.14</v>
      </c>
    </row>
    <row r="144" spans="1:10">
      <c r="A144" t="s">
        <v>26</v>
      </c>
      <c r="B144" t="s">
        <v>134</v>
      </c>
      <c r="C144">
        <v>672</v>
      </c>
      <c r="D144" s="5">
        <v>6.0999999999999999E-2</v>
      </c>
      <c r="E144">
        <v>41</v>
      </c>
      <c r="F144">
        <v>3</v>
      </c>
      <c r="G144" s="6">
        <v>7.3200000000000001E-2</v>
      </c>
      <c r="H144" s="14">
        <v>0.4</v>
      </c>
      <c r="I144" s="14">
        <v>5.52</v>
      </c>
      <c r="J144" s="14">
        <v>16.57</v>
      </c>
    </row>
    <row r="145" spans="1:10">
      <c r="A145" t="s">
        <v>26</v>
      </c>
      <c r="B145" t="s">
        <v>134</v>
      </c>
      <c r="C145">
        <v>1693</v>
      </c>
      <c r="D145" s="5">
        <v>8.3900000000000002E-2</v>
      </c>
      <c r="E145">
        <v>142</v>
      </c>
      <c r="F145">
        <v>8</v>
      </c>
      <c r="G145" s="6">
        <v>5.6300000000000003E-2</v>
      </c>
      <c r="H145" s="14">
        <v>0.39</v>
      </c>
      <c r="I145" s="14">
        <v>6.96</v>
      </c>
      <c r="J145" s="14">
        <v>55.67</v>
      </c>
    </row>
    <row r="146" spans="1:10">
      <c r="A146" t="s">
        <v>26</v>
      </c>
      <c r="B146" t="s">
        <v>134</v>
      </c>
      <c r="C146">
        <v>758</v>
      </c>
      <c r="D146" s="5">
        <v>6.4600000000000005E-2</v>
      </c>
      <c r="E146">
        <v>49</v>
      </c>
      <c r="F146">
        <v>4</v>
      </c>
      <c r="G146" s="6">
        <v>8.1600000000000006E-2</v>
      </c>
      <c r="H146" s="14">
        <v>0.35</v>
      </c>
      <c r="I146" s="14">
        <v>4.3</v>
      </c>
      <c r="J146" s="14">
        <v>17.190000000000001</v>
      </c>
    </row>
    <row r="147" spans="1:10">
      <c r="A147" t="s">
        <v>26</v>
      </c>
      <c r="B147" t="s">
        <v>134</v>
      </c>
      <c r="C147">
        <v>356</v>
      </c>
      <c r="D147" s="5">
        <v>5.62E-2</v>
      </c>
      <c r="E147">
        <v>20</v>
      </c>
      <c r="F147">
        <v>0</v>
      </c>
      <c r="G147" s="6">
        <v>0</v>
      </c>
      <c r="H147" s="14">
        <v>0</v>
      </c>
      <c r="I147" s="14">
        <v>0</v>
      </c>
      <c r="J147" s="14">
        <v>0</v>
      </c>
    </row>
    <row r="148" spans="1:10">
      <c r="A148" t="s">
        <v>27</v>
      </c>
      <c r="B148" t="s">
        <v>134</v>
      </c>
      <c r="C148">
        <v>254</v>
      </c>
      <c r="D148" s="5">
        <v>8.2699999999999996E-2</v>
      </c>
      <c r="E148">
        <v>21</v>
      </c>
      <c r="F148">
        <v>1</v>
      </c>
      <c r="G148" s="6">
        <v>4.7600000000000003E-2</v>
      </c>
      <c r="H148" s="14">
        <v>0.3</v>
      </c>
      <c r="I148" s="14">
        <v>6.35</v>
      </c>
      <c r="J148" s="14">
        <v>6.35</v>
      </c>
    </row>
    <row r="149" spans="1:10">
      <c r="A149" t="s">
        <v>27</v>
      </c>
      <c r="B149" t="s">
        <v>134</v>
      </c>
      <c r="C149">
        <v>552</v>
      </c>
      <c r="D149" s="5">
        <v>6.3399999999999998E-2</v>
      </c>
      <c r="E149">
        <v>35</v>
      </c>
      <c r="F149">
        <v>3</v>
      </c>
      <c r="G149" s="6">
        <v>8.5699999999999998E-2</v>
      </c>
      <c r="H149" s="14">
        <v>0.92</v>
      </c>
      <c r="I149" s="14">
        <v>10.71</v>
      </c>
      <c r="J149" s="14">
        <v>32.14</v>
      </c>
    </row>
    <row r="150" spans="1:10">
      <c r="A150" t="s">
        <v>27</v>
      </c>
      <c r="B150" t="s">
        <v>134</v>
      </c>
      <c r="C150">
        <v>714</v>
      </c>
      <c r="D150" s="5">
        <v>7.8399999999999997E-2</v>
      </c>
      <c r="E150">
        <v>56</v>
      </c>
      <c r="F150">
        <v>4</v>
      </c>
      <c r="G150" s="6">
        <v>7.1400000000000005E-2</v>
      </c>
      <c r="H150" s="14">
        <v>0.84</v>
      </c>
      <c r="I150" s="14">
        <v>11.8</v>
      </c>
      <c r="J150" s="14">
        <v>47.19</v>
      </c>
    </row>
    <row r="151" spans="1:10">
      <c r="A151" t="s">
        <v>27</v>
      </c>
      <c r="B151" t="s">
        <v>134</v>
      </c>
      <c r="C151">
        <v>247</v>
      </c>
      <c r="D151" s="5">
        <v>7.6899999999999996E-2</v>
      </c>
      <c r="E151">
        <v>19</v>
      </c>
      <c r="F151">
        <v>2</v>
      </c>
      <c r="G151" s="6">
        <v>0.1053</v>
      </c>
      <c r="H151" s="14">
        <v>0.36</v>
      </c>
      <c r="I151" s="14">
        <v>3.45</v>
      </c>
      <c r="J151" s="14">
        <v>6.9</v>
      </c>
    </row>
    <row r="152" spans="1:10">
      <c r="A152" t="s">
        <v>27</v>
      </c>
      <c r="B152" t="s">
        <v>134</v>
      </c>
      <c r="C152">
        <v>198</v>
      </c>
      <c r="D152" s="5">
        <v>4.5499999999999999E-2</v>
      </c>
      <c r="E152">
        <v>9</v>
      </c>
      <c r="F152">
        <v>0</v>
      </c>
      <c r="G152" s="6">
        <v>0</v>
      </c>
      <c r="H152" s="14">
        <v>0</v>
      </c>
      <c r="I152" s="14">
        <v>0</v>
      </c>
      <c r="J152" s="14">
        <v>0</v>
      </c>
    </row>
    <row r="153" spans="1:10">
      <c r="A153" t="s">
        <v>27</v>
      </c>
      <c r="B153" t="s">
        <v>134</v>
      </c>
      <c r="C153">
        <v>149</v>
      </c>
      <c r="D153" s="5">
        <v>4.0300000000000002E-2</v>
      </c>
      <c r="E153">
        <v>6</v>
      </c>
      <c r="F153">
        <v>1</v>
      </c>
      <c r="G153" s="6">
        <v>0.16669999999999999</v>
      </c>
      <c r="H153" s="14">
        <v>0</v>
      </c>
      <c r="I153" s="14">
        <v>0</v>
      </c>
      <c r="J153" s="14">
        <v>0</v>
      </c>
    </row>
    <row r="154" spans="1:10">
      <c r="A154" t="s">
        <v>28</v>
      </c>
      <c r="B154" t="s">
        <v>133</v>
      </c>
      <c r="C154">
        <v>184</v>
      </c>
      <c r="D154" s="5">
        <v>5.4300000000000001E-2</v>
      </c>
      <c r="E154">
        <v>10</v>
      </c>
      <c r="F154">
        <v>1</v>
      </c>
      <c r="G154" s="6">
        <v>0.1</v>
      </c>
      <c r="H154" s="14">
        <v>0.81</v>
      </c>
      <c r="I154" s="14">
        <v>8.14</v>
      </c>
      <c r="J154" s="14">
        <v>8.14</v>
      </c>
    </row>
    <row r="155" spans="1:10">
      <c r="A155" t="s">
        <v>28</v>
      </c>
      <c r="B155" t="s">
        <v>134</v>
      </c>
      <c r="C155">
        <v>149</v>
      </c>
      <c r="D155" s="5">
        <v>0.1208</v>
      </c>
      <c r="E155">
        <v>18</v>
      </c>
      <c r="F155">
        <v>2</v>
      </c>
      <c r="G155" s="6">
        <v>0.1111</v>
      </c>
      <c r="H155" s="14">
        <v>0.56000000000000005</v>
      </c>
      <c r="I155" s="14">
        <v>5.08</v>
      </c>
      <c r="J155" s="14">
        <v>10.16</v>
      </c>
    </row>
    <row r="156" spans="1:10">
      <c r="A156" t="s">
        <v>28</v>
      </c>
      <c r="B156" t="s">
        <v>134</v>
      </c>
      <c r="C156">
        <v>157</v>
      </c>
      <c r="D156" s="5">
        <v>1.2699999999999999E-2</v>
      </c>
      <c r="E156">
        <v>2</v>
      </c>
      <c r="F156">
        <v>0</v>
      </c>
      <c r="G156" s="6">
        <v>0</v>
      </c>
      <c r="H156" s="14">
        <v>0</v>
      </c>
      <c r="I156" s="14">
        <v>0</v>
      </c>
      <c r="J156" s="14">
        <v>0</v>
      </c>
    </row>
    <row r="157" spans="1:10">
      <c r="A157" t="s">
        <v>28</v>
      </c>
      <c r="B157" t="s">
        <v>134</v>
      </c>
      <c r="C157">
        <v>487</v>
      </c>
      <c r="D157" s="5">
        <v>4.1099999999999998E-2</v>
      </c>
      <c r="E157">
        <v>20</v>
      </c>
      <c r="F157">
        <v>2</v>
      </c>
      <c r="G157" s="6">
        <v>0.1</v>
      </c>
      <c r="H157" s="14">
        <v>1.3</v>
      </c>
      <c r="I157" s="14">
        <v>12.97</v>
      </c>
      <c r="J157" s="14">
        <v>25.93</v>
      </c>
    </row>
    <row r="158" spans="1:10">
      <c r="A158" t="s">
        <v>28</v>
      </c>
      <c r="B158" t="s">
        <v>133</v>
      </c>
      <c r="C158">
        <v>0</v>
      </c>
      <c r="D158" s="5">
        <v>0</v>
      </c>
      <c r="E158">
        <v>0</v>
      </c>
      <c r="F158">
        <v>0</v>
      </c>
      <c r="G158" s="6">
        <v>0</v>
      </c>
      <c r="H158" s="14">
        <v>0</v>
      </c>
      <c r="I158" s="14">
        <v>0</v>
      </c>
      <c r="J158" s="14">
        <v>0</v>
      </c>
    </row>
    <row r="159" spans="1:10">
      <c r="A159" t="s">
        <v>28</v>
      </c>
      <c r="B159" t="s">
        <v>133</v>
      </c>
      <c r="C159">
        <v>381</v>
      </c>
      <c r="D159" s="5">
        <v>4.99E-2</v>
      </c>
      <c r="E159">
        <v>19</v>
      </c>
      <c r="F159">
        <v>1</v>
      </c>
      <c r="G159" s="6">
        <v>5.2600000000000001E-2</v>
      </c>
      <c r="H159" s="14">
        <v>0.37</v>
      </c>
      <c r="I159" s="14">
        <v>7.11</v>
      </c>
      <c r="J159" s="14">
        <v>7.11</v>
      </c>
    </row>
    <row r="160" spans="1:10">
      <c r="A160" t="s">
        <v>28</v>
      </c>
      <c r="B160" t="s">
        <v>133</v>
      </c>
      <c r="C160">
        <v>542</v>
      </c>
      <c r="D160" s="5">
        <v>5.8999999999999997E-2</v>
      </c>
      <c r="E160">
        <v>32</v>
      </c>
      <c r="F160">
        <v>1</v>
      </c>
      <c r="G160" s="6">
        <v>3.1300000000000001E-2</v>
      </c>
      <c r="H160" s="14">
        <v>0.34</v>
      </c>
      <c r="I160" s="14">
        <v>10.76</v>
      </c>
      <c r="J160" s="14">
        <v>10.76</v>
      </c>
    </row>
    <row r="161" spans="1:10">
      <c r="A161" t="s">
        <v>28</v>
      </c>
      <c r="B161" t="s">
        <v>133</v>
      </c>
      <c r="C161">
        <v>308</v>
      </c>
      <c r="D161" s="5">
        <v>4.87E-2</v>
      </c>
      <c r="E161">
        <v>15</v>
      </c>
      <c r="F161">
        <v>1</v>
      </c>
      <c r="G161" s="6">
        <v>6.6699999999999995E-2</v>
      </c>
      <c r="H161" s="14">
        <v>0.49</v>
      </c>
      <c r="I161" s="14">
        <v>7.36</v>
      </c>
      <c r="J161" s="14">
        <v>7.36</v>
      </c>
    </row>
    <row r="162" spans="1:10">
      <c r="A162" t="s">
        <v>28</v>
      </c>
      <c r="B162" t="s">
        <v>133</v>
      </c>
      <c r="C162">
        <v>871</v>
      </c>
      <c r="D162" s="5">
        <v>3.9E-2</v>
      </c>
      <c r="E162">
        <v>34</v>
      </c>
      <c r="F162">
        <v>3</v>
      </c>
      <c r="G162" s="6">
        <v>8.8200000000000001E-2</v>
      </c>
      <c r="H162" s="14">
        <v>0.32</v>
      </c>
      <c r="I162" s="14">
        <v>3.62</v>
      </c>
      <c r="J162" s="14">
        <v>10.86</v>
      </c>
    </row>
    <row r="163" spans="1:10">
      <c r="A163" t="s">
        <v>28</v>
      </c>
      <c r="B163" t="s">
        <v>133</v>
      </c>
      <c r="C163">
        <v>504</v>
      </c>
      <c r="D163" s="5">
        <v>5.9499999999999997E-2</v>
      </c>
      <c r="E163">
        <v>30</v>
      </c>
      <c r="F163">
        <v>1</v>
      </c>
      <c r="G163" s="6">
        <v>3.3300000000000003E-2</v>
      </c>
      <c r="H163" s="14">
        <v>0.3</v>
      </c>
      <c r="I163" s="14">
        <v>9</v>
      </c>
      <c r="J163" s="14">
        <v>9</v>
      </c>
    </row>
    <row r="164" spans="1:10">
      <c r="A164" t="s">
        <v>28</v>
      </c>
      <c r="B164" t="s">
        <v>141</v>
      </c>
      <c r="C164">
        <v>3100</v>
      </c>
      <c r="D164" s="5">
        <v>6.3200000000000006E-2</v>
      </c>
      <c r="E164">
        <v>196</v>
      </c>
      <c r="F164">
        <v>25</v>
      </c>
      <c r="G164" s="6">
        <v>0.12759999999999999</v>
      </c>
      <c r="H164" s="14">
        <v>0.98</v>
      </c>
      <c r="I164" s="14">
        <v>7.72</v>
      </c>
      <c r="J164" s="14">
        <v>193.01</v>
      </c>
    </row>
    <row r="165" spans="1:10">
      <c r="A165" t="s">
        <v>28</v>
      </c>
      <c r="B165" t="s">
        <v>141</v>
      </c>
      <c r="C165">
        <v>1201</v>
      </c>
      <c r="D165" s="5">
        <v>6.4100000000000004E-2</v>
      </c>
      <c r="E165">
        <v>77</v>
      </c>
      <c r="F165">
        <v>3</v>
      </c>
      <c r="G165" s="6">
        <v>3.9E-2</v>
      </c>
      <c r="H165" s="14">
        <v>0.27</v>
      </c>
      <c r="I165" s="14">
        <v>6.89</v>
      </c>
      <c r="J165" s="14">
        <v>20.67</v>
      </c>
    </row>
    <row r="166" spans="1:10">
      <c r="A166" t="s">
        <v>28</v>
      </c>
      <c r="B166" t="s">
        <v>141</v>
      </c>
      <c r="C166">
        <v>2587</v>
      </c>
      <c r="D166" s="5">
        <v>8.1900000000000001E-2</v>
      </c>
      <c r="E166">
        <v>212</v>
      </c>
      <c r="F166">
        <v>18</v>
      </c>
      <c r="G166" s="6">
        <v>8.4900000000000003E-2</v>
      </c>
      <c r="H166" s="14">
        <v>0.52</v>
      </c>
      <c r="I166" s="14">
        <v>6.09</v>
      </c>
      <c r="J166" s="14">
        <v>109.53</v>
      </c>
    </row>
    <row r="167" spans="1:10">
      <c r="A167" t="s">
        <v>28</v>
      </c>
      <c r="B167" t="s">
        <v>131</v>
      </c>
      <c r="C167">
        <v>347</v>
      </c>
      <c r="D167" s="5">
        <v>3.4599999999999999E-2</v>
      </c>
      <c r="E167">
        <v>12</v>
      </c>
      <c r="F167">
        <v>0</v>
      </c>
      <c r="G167" s="6">
        <v>0</v>
      </c>
      <c r="H167" s="14">
        <v>0</v>
      </c>
      <c r="I167" s="14">
        <v>0</v>
      </c>
      <c r="J167" s="14">
        <v>0</v>
      </c>
    </row>
    <row r="168" spans="1:10">
      <c r="A168" t="s">
        <v>28</v>
      </c>
      <c r="B168" t="s">
        <v>131</v>
      </c>
      <c r="C168">
        <v>422</v>
      </c>
      <c r="D168" s="5">
        <v>4.4999999999999998E-2</v>
      </c>
      <c r="E168">
        <v>19</v>
      </c>
      <c r="F168">
        <v>1</v>
      </c>
      <c r="G168" s="6">
        <v>5.2600000000000001E-2</v>
      </c>
      <c r="H168" s="14">
        <v>0.27</v>
      </c>
      <c r="I168" s="14">
        <v>5.15</v>
      </c>
      <c r="J168" s="14">
        <v>5.15</v>
      </c>
    </row>
    <row r="169" spans="1:10">
      <c r="A169" t="s">
        <v>28</v>
      </c>
      <c r="B169" t="s">
        <v>131</v>
      </c>
      <c r="C169">
        <v>706</v>
      </c>
      <c r="D169" s="5">
        <v>4.82E-2</v>
      </c>
      <c r="E169">
        <v>34</v>
      </c>
      <c r="F169">
        <v>4</v>
      </c>
      <c r="G169" s="6">
        <v>0.1176</v>
      </c>
      <c r="H169" s="14">
        <v>0.91</v>
      </c>
      <c r="I169" s="14">
        <v>7.71</v>
      </c>
      <c r="J169" s="14">
        <v>30.83</v>
      </c>
    </row>
    <row r="170" spans="1:10">
      <c r="A170" t="s">
        <v>82</v>
      </c>
      <c r="B170" t="s">
        <v>133</v>
      </c>
      <c r="C170">
        <v>268</v>
      </c>
      <c r="D170" s="5">
        <v>4.48E-2</v>
      </c>
      <c r="E170">
        <v>12</v>
      </c>
      <c r="F170">
        <v>0</v>
      </c>
      <c r="G170" s="6">
        <v>0</v>
      </c>
      <c r="H170" s="14">
        <v>0</v>
      </c>
      <c r="I170" s="14">
        <v>0</v>
      </c>
      <c r="J170" s="14">
        <v>0</v>
      </c>
    </row>
    <row r="171" spans="1:10">
      <c r="A171" t="s">
        <v>82</v>
      </c>
      <c r="B171" t="s">
        <v>131</v>
      </c>
      <c r="C171">
        <v>756</v>
      </c>
      <c r="D171" s="5">
        <v>2.7799999999999998E-2</v>
      </c>
      <c r="E171">
        <v>21</v>
      </c>
      <c r="F171">
        <v>3</v>
      </c>
      <c r="G171" s="6">
        <v>0.1429</v>
      </c>
      <c r="H171" s="14">
        <v>1.73</v>
      </c>
      <c r="I171" s="14">
        <v>12.08</v>
      </c>
      <c r="J171" s="14">
        <v>36.229999999999997</v>
      </c>
    </row>
    <row r="172" spans="1:10">
      <c r="A172" t="s">
        <v>83</v>
      </c>
      <c r="B172" t="s">
        <v>133</v>
      </c>
      <c r="C172">
        <v>655</v>
      </c>
      <c r="D172" s="5">
        <v>6.5600000000000006E-2</v>
      </c>
      <c r="E172">
        <v>43</v>
      </c>
      <c r="F172">
        <v>5</v>
      </c>
      <c r="G172" s="6">
        <v>0.1163</v>
      </c>
      <c r="H172" s="14">
        <v>1.37</v>
      </c>
      <c r="I172" s="14">
        <v>11.79</v>
      </c>
      <c r="J172" s="14">
        <v>58.94</v>
      </c>
    </row>
    <row r="173" spans="1:10">
      <c r="A173" t="s">
        <v>29</v>
      </c>
      <c r="B173" t="s">
        <v>134</v>
      </c>
      <c r="C173">
        <v>431</v>
      </c>
      <c r="D173" s="5">
        <v>9.0499999999999997E-2</v>
      </c>
      <c r="E173">
        <v>39</v>
      </c>
      <c r="F173">
        <v>3</v>
      </c>
      <c r="G173" s="6">
        <v>7.6899999999999996E-2</v>
      </c>
      <c r="H173" s="14">
        <v>0.4</v>
      </c>
      <c r="I173" s="14">
        <v>5.15</v>
      </c>
      <c r="J173" s="14">
        <v>15.46</v>
      </c>
    </row>
    <row r="174" spans="1:10">
      <c r="A174" t="s">
        <v>29</v>
      </c>
      <c r="B174" t="s">
        <v>134</v>
      </c>
      <c r="C174">
        <v>444</v>
      </c>
      <c r="D174" s="5">
        <v>5.8599999999999999E-2</v>
      </c>
      <c r="E174">
        <v>26</v>
      </c>
      <c r="F174">
        <v>2</v>
      </c>
      <c r="G174" s="6">
        <v>7.6899999999999996E-2</v>
      </c>
      <c r="H174" s="14">
        <v>0.42</v>
      </c>
      <c r="I174" s="14">
        <v>5.51</v>
      </c>
      <c r="J174" s="14">
        <v>11.02</v>
      </c>
    </row>
    <row r="175" spans="1:10">
      <c r="A175" t="s">
        <v>29</v>
      </c>
      <c r="B175" t="s">
        <v>134</v>
      </c>
      <c r="C175">
        <v>1189</v>
      </c>
      <c r="D175" s="5">
        <v>7.1499999999999994E-2</v>
      </c>
      <c r="E175">
        <v>85</v>
      </c>
      <c r="F175">
        <v>6</v>
      </c>
      <c r="G175" s="6">
        <v>7.0599999999999996E-2</v>
      </c>
      <c r="H175" s="14">
        <v>0.81</v>
      </c>
      <c r="I175" s="14">
        <v>11.44</v>
      </c>
      <c r="J175" s="14">
        <v>68.650000000000006</v>
      </c>
    </row>
    <row r="176" spans="1:10">
      <c r="A176" t="s">
        <v>29</v>
      </c>
      <c r="B176" t="s">
        <v>134</v>
      </c>
      <c r="C176">
        <v>910</v>
      </c>
      <c r="D176" s="5">
        <v>7.6899999999999996E-2</v>
      </c>
      <c r="E176">
        <v>70</v>
      </c>
      <c r="F176">
        <v>3</v>
      </c>
      <c r="G176" s="6">
        <v>4.2900000000000001E-2</v>
      </c>
      <c r="H176" s="14">
        <v>0.68</v>
      </c>
      <c r="I176" s="14">
        <v>15.91</v>
      </c>
      <c r="J176" s="14">
        <v>47.72</v>
      </c>
    </row>
    <row r="177" spans="1:10">
      <c r="A177" t="s">
        <v>29</v>
      </c>
      <c r="B177" t="s">
        <v>134</v>
      </c>
      <c r="C177">
        <v>454</v>
      </c>
      <c r="D177" s="5">
        <v>7.7100000000000002E-2</v>
      </c>
      <c r="E177">
        <v>35</v>
      </c>
      <c r="F177">
        <v>3</v>
      </c>
      <c r="G177" s="6">
        <v>8.5699999999999998E-2</v>
      </c>
      <c r="H177" s="14">
        <v>0.98</v>
      </c>
      <c r="I177" s="14">
        <v>11.45</v>
      </c>
      <c r="J177" s="14">
        <v>34.36</v>
      </c>
    </row>
    <row r="178" spans="1:10">
      <c r="A178" t="s">
        <v>29</v>
      </c>
      <c r="B178" t="s">
        <v>134</v>
      </c>
      <c r="C178">
        <v>359</v>
      </c>
      <c r="D178" s="5">
        <v>8.6400000000000005E-2</v>
      </c>
      <c r="E178">
        <v>31</v>
      </c>
      <c r="F178">
        <v>3</v>
      </c>
      <c r="G178" s="6">
        <v>9.6799999999999997E-2</v>
      </c>
      <c r="H178" s="14">
        <v>0.75</v>
      </c>
      <c r="I178" s="14">
        <v>7.79</v>
      </c>
      <c r="J178" s="14">
        <v>23.38</v>
      </c>
    </row>
    <row r="179" spans="1:10">
      <c r="A179" t="s">
        <v>60</v>
      </c>
      <c r="B179" t="s">
        <v>142</v>
      </c>
      <c r="C179">
        <v>0</v>
      </c>
      <c r="D179" s="5">
        <v>0</v>
      </c>
      <c r="E179">
        <v>0</v>
      </c>
      <c r="F179">
        <v>0</v>
      </c>
      <c r="G179" s="6">
        <v>0</v>
      </c>
      <c r="H179" s="14">
        <v>0</v>
      </c>
      <c r="I179" s="14">
        <v>0</v>
      </c>
      <c r="J179" s="14">
        <v>0</v>
      </c>
    </row>
    <row r="180" spans="1:10">
      <c r="A180" t="s">
        <v>60</v>
      </c>
      <c r="B180" t="s">
        <v>142</v>
      </c>
      <c r="C180">
        <v>0</v>
      </c>
      <c r="D180" s="5">
        <v>0</v>
      </c>
      <c r="E180">
        <v>0</v>
      </c>
      <c r="F180">
        <v>0</v>
      </c>
      <c r="G180" s="6">
        <v>0</v>
      </c>
      <c r="H180" s="14">
        <v>0</v>
      </c>
      <c r="I180" s="14">
        <v>0</v>
      </c>
      <c r="J180" s="14">
        <v>0</v>
      </c>
    </row>
    <row r="181" spans="1:10">
      <c r="A181" t="s">
        <v>60</v>
      </c>
      <c r="B181" t="s">
        <v>142</v>
      </c>
      <c r="C181">
        <v>1867</v>
      </c>
      <c r="D181" s="5">
        <v>5.4100000000000002E-2</v>
      </c>
      <c r="E181">
        <v>101</v>
      </c>
      <c r="F181">
        <v>8</v>
      </c>
      <c r="G181" s="6">
        <v>7.9200000000000007E-2</v>
      </c>
      <c r="H181" s="14">
        <v>0.27</v>
      </c>
      <c r="I181" s="14">
        <v>3.42</v>
      </c>
      <c r="J181" s="14">
        <v>27.33</v>
      </c>
    </row>
    <row r="182" spans="1:10">
      <c r="A182" t="s">
        <v>45</v>
      </c>
      <c r="B182" t="s">
        <v>134</v>
      </c>
      <c r="C182">
        <v>2298</v>
      </c>
      <c r="D182" s="5">
        <v>6.5299999999999997E-2</v>
      </c>
      <c r="E182">
        <v>150</v>
      </c>
      <c r="F182">
        <v>6</v>
      </c>
      <c r="G182" s="6">
        <v>0.04</v>
      </c>
      <c r="H182" s="14">
        <v>0.22</v>
      </c>
      <c r="I182" s="14">
        <v>5.38</v>
      </c>
      <c r="J182" s="14">
        <v>32.25</v>
      </c>
    </row>
    <row r="183" spans="1:10">
      <c r="A183" t="s">
        <v>45</v>
      </c>
      <c r="B183" t="s">
        <v>134</v>
      </c>
      <c r="C183">
        <v>849</v>
      </c>
      <c r="D183" s="5">
        <v>3.3000000000000002E-2</v>
      </c>
      <c r="E183">
        <v>28</v>
      </c>
      <c r="F183">
        <v>1</v>
      </c>
      <c r="G183" s="6">
        <v>3.5700000000000003E-2</v>
      </c>
      <c r="H183" s="14">
        <v>0.27</v>
      </c>
      <c r="I183" s="14">
        <v>7.55</v>
      </c>
      <c r="J183" s="14">
        <v>7.55</v>
      </c>
    </row>
    <row r="184" spans="1:10">
      <c r="A184" t="s">
        <v>45</v>
      </c>
      <c r="B184" t="s">
        <v>134</v>
      </c>
      <c r="C184">
        <v>450</v>
      </c>
      <c r="D184" s="5">
        <v>8.6699999999999999E-2</v>
      </c>
      <c r="E184">
        <v>39</v>
      </c>
      <c r="F184">
        <v>4</v>
      </c>
      <c r="G184" s="6">
        <v>0.1026</v>
      </c>
      <c r="H184" s="14">
        <v>0.6</v>
      </c>
      <c r="I184" s="14">
        <v>5.83</v>
      </c>
      <c r="J184" s="14">
        <v>23.33</v>
      </c>
    </row>
    <row r="185" spans="1:10">
      <c r="A185" t="s">
        <v>30</v>
      </c>
      <c r="B185" t="s">
        <v>137</v>
      </c>
      <c r="C185">
        <v>759</v>
      </c>
      <c r="D185" s="5">
        <v>4.87E-2</v>
      </c>
      <c r="E185">
        <v>37</v>
      </c>
      <c r="F185">
        <v>6</v>
      </c>
      <c r="G185" s="6">
        <v>0.16220000000000001</v>
      </c>
      <c r="H185" s="14">
        <v>0.24</v>
      </c>
      <c r="I185" s="14">
        <v>1.48</v>
      </c>
      <c r="J185" s="14">
        <v>8.85</v>
      </c>
    </row>
    <row r="186" spans="1:10">
      <c r="A186" t="s">
        <v>30</v>
      </c>
      <c r="B186" t="s">
        <v>138</v>
      </c>
      <c r="C186">
        <v>1100</v>
      </c>
      <c r="D186" s="5">
        <v>4.6399999999999997E-2</v>
      </c>
      <c r="E186">
        <v>51</v>
      </c>
      <c r="F186">
        <v>4</v>
      </c>
      <c r="G186" s="6">
        <v>7.8399999999999997E-2</v>
      </c>
      <c r="H186" s="14">
        <v>0.23</v>
      </c>
      <c r="I186" s="14">
        <v>2.93</v>
      </c>
      <c r="J186" s="14">
        <v>11.72</v>
      </c>
    </row>
    <row r="187" spans="1:10">
      <c r="A187" t="s">
        <v>30</v>
      </c>
      <c r="B187" t="s">
        <v>131</v>
      </c>
      <c r="C187">
        <v>745</v>
      </c>
      <c r="D187" s="5">
        <v>4.7E-2</v>
      </c>
      <c r="E187">
        <v>35</v>
      </c>
      <c r="F187">
        <v>3</v>
      </c>
      <c r="G187" s="6">
        <v>8.5699999999999998E-2</v>
      </c>
      <c r="H187" s="14">
        <v>0.15</v>
      </c>
      <c r="I187" s="14">
        <v>1.74</v>
      </c>
      <c r="J187" s="14">
        <v>5.21</v>
      </c>
    </row>
    <row r="188" spans="1:10">
      <c r="A188" t="s">
        <v>30</v>
      </c>
      <c r="B188" t="s">
        <v>139</v>
      </c>
      <c r="C188">
        <v>1373</v>
      </c>
      <c r="D188" s="5">
        <v>3.7100000000000001E-2</v>
      </c>
      <c r="E188">
        <v>51</v>
      </c>
      <c r="F188">
        <v>2</v>
      </c>
      <c r="G188" s="6">
        <v>3.9199999999999999E-2</v>
      </c>
      <c r="H188" s="14">
        <v>0.28000000000000003</v>
      </c>
      <c r="I188" s="14">
        <v>7.17</v>
      </c>
      <c r="J188" s="14">
        <v>14.33</v>
      </c>
    </row>
    <row r="189" spans="1:10">
      <c r="A189" t="s">
        <v>84</v>
      </c>
      <c r="B189" t="s">
        <v>137</v>
      </c>
      <c r="C189">
        <v>636</v>
      </c>
      <c r="D189" s="5">
        <v>5.1900000000000002E-2</v>
      </c>
      <c r="E189">
        <v>33</v>
      </c>
      <c r="F189">
        <v>4</v>
      </c>
      <c r="G189" s="6">
        <v>0.1212</v>
      </c>
      <c r="H189" s="14">
        <v>0.48</v>
      </c>
      <c r="I189" s="14">
        <v>3.94</v>
      </c>
      <c r="J189" s="14">
        <v>15.75</v>
      </c>
    </row>
    <row r="190" spans="1:10">
      <c r="A190" t="s">
        <v>84</v>
      </c>
      <c r="B190" t="s">
        <v>131</v>
      </c>
      <c r="C190">
        <v>495</v>
      </c>
      <c r="D190" s="5">
        <v>7.0699999999999999E-2</v>
      </c>
      <c r="E190">
        <v>35</v>
      </c>
      <c r="F190">
        <v>2</v>
      </c>
      <c r="G190" s="6">
        <v>5.7099999999999998E-2</v>
      </c>
      <c r="H190" s="14">
        <v>0.13</v>
      </c>
      <c r="I190" s="14">
        <v>2.33</v>
      </c>
      <c r="J190" s="14">
        <v>4.66</v>
      </c>
    </row>
    <row r="191" spans="1:10">
      <c r="A191" t="s">
        <v>84</v>
      </c>
      <c r="B191" t="s">
        <v>137</v>
      </c>
      <c r="C191">
        <v>848</v>
      </c>
      <c r="D191" s="5">
        <v>4.2500000000000003E-2</v>
      </c>
      <c r="E191">
        <v>36</v>
      </c>
      <c r="F191">
        <v>3</v>
      </c>
      <c r="G191" s="6">
        <v>8.3299999999999999E-2</v>
      </c>
      <c r="H191" s="14">
        <v>0.54</v>
      </c>
      <c r="I191" s="14">
        <v>6.45</v>
      </c>
      <c r="J191" s="14">
        <v>19.34</v>
      </c>
    </row>
    <row r="192" spans="1:10">
      <c r="A192" t="s">
        <v>84</v>
      </c>
      <c r="B192" t="s">
        <v>138</v>
      </c>
      <c r="C192">
        <v>724</v>
      </c>
      <c r="D192" s="5">
        <v>3.5900000000000001E-2</v>
      </c>
      <c r="E192">
        <v>26</v>
      </c>
      <c r="F192">
        <v>3</v>
      </c>
      <c r="G192" s="6">
        <v>0.1154</v>
      </c>
      <c r="H192" s="14">
        <v>0.61</v>
      </c>
      <c r="I192" s="14">
        <v>5.24</v>
      </c>
      <c r="J192" s="14">
        <v>15.73</v>
      </c>
    </row>
    <row r="193" spans="1:10">
      <c r="A193" t="s">
        <v>84</v>
      </c>
      <c r="B193" t="s">
        <v>138</v>
      </c>
      <c r="C193">
        <v>1396</v>
      </c>
      <c r="D193" s="5">
        <v>5.5899999999999998E-2</v>
      </c>
      <c r="E193">
        <v>78</v>
      </c>
      <c r="F193">
        <v>3</v>
      </c>
      <c r="G193" s="6">
        <v>3.85E-2</v>
      </c>
      <c r="H193" s="14">
        <v>0.28999999999999998</v>
      </c>
      <c r="I193" s="14">
        <v>7.58</v>
      </c>
      <c r="J193" s="14">
        <v>22.75</v>
      </c>
    </row>
    <row r="194" spans="1:10">
      <c r="A194" t="s">
        <v>84</v>
      </c>
      <c r="B194" t="s">
        <v>131</v>
      </c>
      <c r="C194">
        <v>582</v>
      </c>
      <c r="D194" s="5">
        <v>7.0400000000000004E-2</v>
      </c>
      <c r="E194">
        <v>41</v>
      </c>
      <c r="F194">
        <v>2</v>
      </c>
      <c r="G194" s="6">
        <v>4.8800000000000003E-2</v>
      </c>
      <c r="H194" s="14">
        <v>0.21</v>
      </c>
      <c r="I194" s="14">
        <v>4.25</v>
      </c>
      <c r="J194" s="14">
        <v>8.49</v>
      </c>
    </row>
    <row r="195" spans="1:10">
      <c r="A195" t="s">
        <v>84</v>
      </c>
      <c r="B195" t="s">
        <v>139</v>
      </c>
      <c r="C195">
        <v>651</v>
      </c>
      <c r="D195" s="5">
        <v>4.4499999999999998E-2</v>
      </c>
      <c r="E195">
        <v>29</v>
      </c>
      <c r="F195">
        <v>2</v>
      </c>
      <c r="G195" s="6">
        <v>6.9000000000000006E-2</v>
      </c>
      <c r="H195" s="14">
        <v>0.55000000000000004</v>
      </c>
      <c r="I195" s="14">
        <v>7.97</v>
      </c>
      <c r="J195" s="14">
        <v>15.94</v>
      </c>
    </row>
    <row r="196" spans="1:10">
      <c r="A196" t="s">
        <v>84</v>
      </c>
      <c r="B196" t="s">
        <v>139</v>
      </c>
      <c r="C196">
        <v>1726</v>
      </c>
      <c r="D196" s="5">
        <v>5.91E-2</v>
      </c>
      <c r="E196">
        <v>102</v>
      </c>
      <c r="F196">
        <v>5</v>
      </c>
      <c r="G196" s="6">
        <v>4.9000000000000002E-2</v>
      </c>
      <c r="H196" s="14">
        <v>0.28000000000000003</v>
      </c>
      <c r="I196" s="14">
        <v>5.66</v>
      </c>
      <c r="J196" s="14">
        <v>28.32</v>
      </c>
    </row>
    <row r="197" spans="1:10">
      <c r="A197" t="s">
        <v>85</v>
      </c>
      <c r="B197" t="s">
        <v>137</v>
      </c>
      <c r="C197">
        <v>734</v>
      </c>
      <c r="D197" s="5">
        <v>4.6300000000000001E-2</v>
      </c>
      <c r="E197">
        <v>34</v>
      </c>
      <c r="F197">
        <v>3</v>
      </c>
      <c r="G197" s="6">
        <v>8.8200000000000001E-2</v>
      </c>
      <c r="H197" s="14">
        <v>0.57999999999999996</v>
      </c>
      <c r="I197" s="14">
        <v>6.52</v>
      </c>
      <c r="J197" s="14">
        <v>19.559999999999999</v>
      </c>
    </row>
    <row r="198" spans="1:10">
      <c r="A198" t="s">
        <v>85</v>
      </c>
      <c r="B198" t="s">
        <v>131</v>
      </c>
      <c r="C198">
        <v>335</v>
      </c>
      <c r="D198" s="5">
        <v>9.2499999999999999E-2</v>
      </c>
      <c r="E198">
        <v>31</v>
      </c>
      <c r="F198">
        <v>2</v>
      </c>
      <c r="G198" s="6">
        <v>6.4500000000000002E-2</v>
      </c>
      <c r="H198" s="14">
        <v>0.38</v>
      </c>
      <c r="I198" s="14">
        <v>5.95</v>
      </c>
      <c r="J198" s="14">
        <v>11.89</v>
      </c>
    </row>
    <row r="199" spans="1:10">
      <c r="A199" t="s">
        <v>85</v>
      </c>
      <c r="B199" t="s">
        <v>137</v>
      </c>
      <c r="C199">
        <v>748</v>
      </c>
      <c r="D199" s="5">
        <v>7.3499999999999996E-2</v>
      </c>
      <c r="E199">
        <v>55</v>
      </c>
      <c r="F199">
        <v>6</v>
      </c>
      <c r="G199" s="6">
        <v>0.1091</v>
      </c>
      <c r="H199" s="14">
        <v>0.68</v>
      </c>
      <c r="I199" s="14">
        <v>6.2</v>
      </c>
      <c r="J199" s="14">
        <v>37.18</v>
      </c>
    </row>
    <row r="200" spans="1:10">
      <c r="A200" t="s">
        <v>85</v>
      </c>
      <c r="B200" t="s">
        <v>138</v>
      </c>
      <c r="C200">
        <v>923</v>
      </c>
      <c r="D200" s="5">
        <v>4.6600000000000003E-2</v>
      </c>
      <c r="E200">
        <v>43</v>
      </c>
      <c r="F200">
        <v>2</v>
      </c>
      <c r="G200" s="6">
        <v>4.65E-2</v>
      </c>
      <c r="H200" s="14">
        <v>0.11</v>
      </c>
      <c r="I200" s="14">
        <v>2.36</v>
      </c>
      <c r="J200" s="14">
        <v>4.72</v>
      </c>
    </row>
    <row r="201" spans="1:10">
      <c r="A201" t="s">
        <v>85</v>
      </c>
      <c r="B201" t="s">
        <v>138</v>
      </c>
      <c r="C201">
        <v>837</v>
      </c>
      <c r="D201" s="5">
        <v>5.5E-2</v>
      </c>
      <c r="E201">
        <v>46</v>
      </c>
      <c r="F201">
        <v>2</v>
      </c>
      <c r="G201" s="6">
        <v>4.3499999999999997E-2</v>
      </c>
      <c r="H201" s="14">
        <v>0.23</v>
      </c>
      <c r="I201" s="14">
        <v>5.22</v>
      </c>
      <c r="J201" s="14">
        <v>10.43</v>
      </c>
    </row>
    <row r="202" spans="1:10">
      <c r="A202" t="s">
        <v>85</v>
      </c>
      <c r="B202" t="s">
        <v>131</v>
      </c>
      <c r="C202">
        <v>151</v>
      </c>
      <c r="D202" s="5">
        <v>5.96E-2</v>
      </c>
      <c r="E202">
        <v>9</v>
      </c>
      <c r="F202">
        <v>1</v>
      </c>
      <c r="G202" s="6">
        <v>0.1111</v>
      </c>
      <c r="H202" s="14">
        <v>0.67</v>
      </c>
      <c r="I202" s="14">
        <v>6</v>
      </c>
      <c r="J202" s="14">
        <v>6</v>
      </c>
    </row>
    <row r="203" spans="1:10">
      <c r="A203" t="s">
        <v>85</v>
      </c>
      <c r="B203" t="s">
        <v>131</v>
      </c>
      <c r="C203">
        <v>693</v>
      </c>
      <c r="D203" s="5">
        <v>3.7499999999999999E-2</v>
      </c>
      <c r="E203">
        <v>26</v>
      </c>
      <c r="F203">
        <v>3</v>
      </c>
      <c r="G203" s="6">
        <v>0.1154</v>
      </c>
      <c r="H203" s="14">
        <v>0.13</v>
      </c>
      <c r="I203" s="14">
        <v>1.1299999999999999</v>
      </c>
      <c r="J203" s="14">
        <v>3.4</v>
      </c>
    </row>
    <row r="204" spans="1:10">
      <c r="A204" t="s">
        <v>85</v>
      </c>
      <c r="B204" t="s">
        <v>139</v>
      </c>
      <c r="C204">
        <v>820</v>
      </c>
      <c r="D204" s="5">
        <v>6.4600000000000005E-2</v>
      </c>
      <c r="E204">
        <v>53</v>
      </c>
      <c r="F204">
        <v>2</v>
      </c>
      <c r="G204" s="6">
        <v>3.7699999999999997E-2</v>
      </c>
      <c r="H204" s="14">
        <v>0.16</v>
      </c>
      <c r="I204" s="14">
        <v>4.12</v>
      </c>
      <c r="J204" s="14">
        <v>8.24</v>
      </c>
    </row>
    <row r="205" spans="1:10">
      <c r="A205" t="s">
        <v>85</v>
      </c>
      <c r="B205" t="s">
        <v>139</v>
      </c>
      <c r="C205">
        <v>775</v>
      </c>
      <c r="D205" s="5">
        <v>5.16E-2</v>
      </c>
      <c r="E205">
        <v>40</v>
      </c>
      <c r="F205">
        <v>5</v>
      </c>
      <c r="G205" s="6">
        <v>0.125</v>
      </c>
      <c r="H205" s="14">
        <v>0.6</v>
      </c>
      <c r="I205" s="14">
        <v>4.79</v>
      </c>
      <c r="J205" s="14">
        <v>23.97</v>
      </c>
    </row>
    <row r="206" spans="1:10">
      <c r="A206" t="s">
        <v>86</v>
      </c>
      <c r="B206" t="s">
        <v>131</v>
      </c>
      <c r="C206">
        <v>0</v>
      </c>
      <c r="D206" s="5">
        <v>0</v>
      </c>
      <c r="E206">
        <v>0</v>
      </c>
      <c r="F206">
        <v>0</v>
      </c>
      <c r="G206" s="6">
        <v>0</v>
      </c>
      <c r="H206" s="14">
        <v>0</v>
      </c>
      <c r="I206" s="14">
        <v>0</v>
      </c>
      <c r="J206" s="14">
        <v>0</v>
      </c>
    </row>
    <row r="207" spans="1:10">
      <c r="A207" t="s">
        <v>31</v>
      </c>
      <c r="B207" t="s">
        <v>134</v>
      </c>
      <c r="C207">
        <v>286</v>
      </c>
      <c r="D207" s="5">
        <v>8.7400000000000005E-2</v>
      </c>
      <c r="E207">
        <v>25</v>
      </c>
      <c r="F207">
        <v>10</v>
      </c>
      <c r="G207" s="6">
        <v>0.4</v>
      </c>
      <c r="H207" s="14">
        <v>1.43</v>
      </c>
      <c r="I207" s="14">
        <v>3.58</v>
      </c>
      <c r="J207" s="14">
        <v>35.75</v>
      </c>
    </row>
    <row r="208" spans="1:10">
      <c r="A208" t="s">
        <v>57</v>
      </c>
      <c r="B208" t="s">
        <v>134</v>
      </c>
      <c r="C208">
        <v>540</v>
      </c>
      <c r="D208" s="5">
        <v>9.4399999999999998E-2</v>
      </c>
      <c r="E208">
        <v>51</v>
      </c>
      <c r="F208">
        <v>6</v>
      </c>
      <c r="G208" s="6">
        <v>0.1176</v>
      </c>
      <c r="H208" s="14">
        <v>0.85</v>
      </c>
      <c r="I208" s="14">
        <v>7.21</v>
      </c>
      <c r="J208" s="14">
        <v>43.23</v>
      </c>
    </row>
    <row r="209" spans="1:10">
      <c r="A209" t="s">
        <v>57</v>
      </c>
      <c r="B209" t="s">
        <v>134</v>
      </c>
      <c r="C209">
        <v>1655</v>
      </c>
      <c r="D209" s="5">
        <v>5.3800000000000001E-2</v>
      </c>
      <c r="E209">
        <v>89</v>
      </c>
      <c r="F209">
        <v>5</v>
      </c>
      <c r="G209" s="6">
        <v>5.62E-2</v>
      </c>
      <c r="H209" s="14">
        <v>0.61</v>
      </c>
      <c r="I209" s="14">
        <v>10.78</v>
      </c>
      <c r="J209" s="14">
        <v>53.88</v>
      </c>
    </row>
    <row r="210" spans="1:10">
      <c r="A210" t="s">
        <v>87</v>
      </c>
      <c r="B210" t="s">
        <v>132</v>
      </c>
      <c r="C210">
        <v>85</v>
      </c>
      <c r="D210" s="5">
        <v>2.35E-2</v>
      </c>
      <c r="E210">
        <v>2</v>
      </c>
      <c r="F210">
        <v>0</v>
      </c>
      <c r="G210" s="6">
        <v>0</v>
      </c>
      <c r="H210" s="14">
        <v>0</v>
      </c>
      <c r="I210" s="14">
        <v>0</v>
      </c>
      <c r="J210" s="14">
        <v>0</v>
      </c>
    </row>
    <row r="211" spans="1:10">
      <c r="A211" t="s">
        <v>87</v>
      </c>
      <c r="B211" t="s">
        <v>143</v>
      </c>
      <c r="C211">
        <v>46</v>
      </c>
      <c r="D211" s="5">
        <v>2.1700000000000001E-2</v>
      </c>
      <c r="E211">
        <v>1</v>
      </c>
      <c r="F211">
        <v>0</v>
      </c>
      <c r="G211" s="6">
        <v>0</v>
      </c>
      <c r="H211" s="14">
        <v>0</v>
      </c>
      <c r="I211" s="14">
        <v>0</v>
      </c>
      <c r="J211" s="14">
        <v>0</v>
      </c>
    </row>
    <row r="212" spans="1:10">
      <c r="A212" t="s">
        <v>58</v>
      </c>
      <c r="B212" t="s">
        <v>131</v>
      </c>
      <c r="C212">
        <v>512</v>
      </c>
      <c r="D212" s="5">
        <v>3.5200000000000002E-2</v>
      </c>
      <c r="E212">
        <v>18</v>
      </c>
      <c r="F212">
        <v>0</v>
      </c>
      <c r="G212" s="6">
        <v>0</v>
      </c>
      <c r="H212" s="14">
        <v>0</v>
      </c>
      <c r="I212" s="14">
        <v>0</v>
      </c>
      <c r="J212" s="14">
        <v>0</v>
      </c>
    </row>
    <row r="213" spans="1:10">
      <c r="A213" t="s">
        <v>58</v>
      </c>
      <c r="B213" t="s">
        <v>133</v>
      </c>
      <c r="C213">
        <v>695</v>
      </c>
      <c r="D213" s="5">
        <v>5.6099999999999997E-2</v>
      </c>
      <c r="E213">
        <v>39</v>
      </c>
      <c r="F213">
        <v>2</v>
      </c>
      <c r="G213" s="6">
        <v>5.1299999999999998E-2</v>
      </c>
      <c r="H213" s="14">
        <v>0.74</v>
      </c>
      <c r="I213" s="14">
        <v>14.51</v>
      </c>
      <c r="J213" s="14">
        <v>29.02</v>
      </c>
    </row>
    <row r="214" spans="1:10">
      <c r="A214" t="s">
        <v>61</v>
      </c>
      <c r="B214" t="s">
        <v>131</v>
      </c>
      <c r="C214">
        <v>168</v>
      </c>
      <c r="D214" s="5">
        <v>4.1700000000000001E-2</v>
      </c>
      <c r="E214">
        <v>7</v>
      </c>
      <c r="F214">
        <v>1</v>
      </c>
      <c r="G214" s="6">
        <v>0.1429</v>
      </c>
      <c r="H214" s="14">
        <v>1.88</v>
      </c>
      <c r="I214" s="14">
        <v>13.15</v>
      </c>
      <c r="J214" s="14">
        <v>13.15</v>
      </c>
    </row>
    <row r="215" spans="1:10">
      <c r="A215" t="s">
        <v>88</v>
      </c>
      <c r="B215" t="s">
        <v>133</v>
      </c>
      <c r="C215">
        <v>463</v>
      </c>
      <c r="D215" s="5">
        <v>4.7500000000000001E-2</v>
      </c>
      <c r="E215">
        <v>22</v>
      </c>
      <c r="F215">
        <v>0</v>
      </c>
      <c r="G215" s="6">
        <v>0</v>
      </c>
      <c r="H215" s="14">
        <v>0</v>
      </c>
      <c r="I215" s="14">
        <v>0</v>
      </c>
      <c r="J215" s="14">
        <v>0</v>
      </c>
    </row>
    <row r="216" spans="1:10">
      <c r="A216" t="s">
        <v>88</v>
      </c>
      <c r="B216" t="s">
        <v>133</v>
      </c>
      <c r="C216">
        <v>682</v>
      </c>
      <c r="D216" s="5">
        <v>2.64E-2</v>
      </c>
      <c r="E216">
        <v>18</v>
      </c>
      <c r="F216">
        <v>2</v>
      </c>
      <c r="G216" s="6">
        <v>0.1111</v>
      </c>
      <c r="H216" s="14">
        <v>0.34</v>
      </c>
      <c r="I216" s="14">
        <v>3.09</v>
      </c>
      <c r="J216" s="14">
        <v>6.18</v>
      </c>
    </row>
    <row r="217" spans="1:10">
      <c r="A217" t="s">
        <v>32</v>
      </c>
      <c r="B217" t="s">
        <v>134</v>
      </c>
      <c r="C217">
        <v>1920</v>
      </c>
      <c r="D217" s="5">
        <v>8.6499999999999994E-2</v>
      </c>
      <c r="E217">
        <v>166</v>
      </c>
      <c r="F217">
        <v>9</v>
      </c>
      <c r="G217" s="6">
        <v>5.4199999999999998E-2</v>
      </c>
      <c r="H217" s="14">
        <v>0.22</v>
      </c>
      <c r="I217" s="14">
        <v>4.0599999999999996</v>
      </c>
      <c r="J217" s="14">
        <v>36.54</v>
      </c>
    </row>
    <row r="218" spans="1:10">
      <c r="A218" t="s">
        <v>32</v>
      </c>
      <c r="B218" t="s">
        <v>134</v>
      </c>
      <c r="C218">
        <v>4390</v>
      </c>
      <c r="D218" s="5">
        <v>9.7299999999999998E-2</v>
      </c>
      <c r="E218">
        <v>427</v>
      </c>
      <c r="F218">
        <v>33</v>
      </c>
      <c r="G218" s="6">
        <v>7.7299999999999994E-2</v>
      </c>
      <c r="H218" s="14">
        <v>0.79</v>
      </c>
      <c r="I218" s="14">
        <v>10.23</v>
      </c>
      <c r="J218" s="14">
        <v>337.52</v>
      </c>
    </row>
    <row r="219" spans="1:10">
      <c r="A219" t="s">
        <v>32</v>
      </c>
      <c r="B219" t="s">
        <v>134</v>
      </c>
      <c r="C219">
        <v>1536</v>
      </c>
      <c r="D219" s="5">
        <v>0.1009</v>
      </c>
      <c r="E219">
        <v>155</v>
      </c>
      <c r="F219">
        <v>14</v>
      </c>
      <c r="G219" s="6">
        <v>9.0300000000000005E-2</v>
      </c>
      <c r="H219" s="14">
        <v>0.86</v>
      </c>
      <c r="I219" s="14">
        <v>9.49</v>
      </c>
      <c r="J219" s="14">
        <v>132.88999999999999</v>
      </c>
    </row>
    <row r="220" spans="1:10">
      <c r="A220" t="s">
        <v>89</v>
      </c>
      <c r="B220" t="s">
        <v>131</v>
      </c>
      <c r="C220">
        <v>1559</v>
      </c>
      <c r="D220" s="5">
        <v>5.7099999999999998E-2</v>
      </c>
      <c r="E220">
        <v>89</v>
      </c>
      <c r="F220">
        <v>5</v>
      </c>
      <c r="G220" s="6">
        <v>5.62E-2</v>
      </c>
      <c r="H220" s="14">
        <v>0.43</v>
      </c>
      <c r="I220" s="14">
        <v>7.65</v>
      </c>
      <c r="J220" s="14">
        <v>38.24</v>
      </c>
    </row>
    <row r="221" spans="1:10">
      <c r="A221" t="s">
        <v>89</v>
      </c>
      <c r="B221" t="s">
        <v>133</v>
      </c>
      <c r="C221">
        <v>2406</v>
      </c>
      <c r="D221" s="5">
        <v>7.4800000000000005E-2</v>
      </c>
      <c r="E221">
        <v>180</v>
      </c>
      <c r="F221">
        <v>14</v>
      </c>
      <c r="G221" s="6">
        <v>7.7799999999999994E-2</v>
      </c>
      <c r="H221" s="14">
        <v>0.42</v>
      </c>
      <c r="I221" s="14">
        <v>5.36</v>
      </c>
      <c r="J221" s="14">
        <v>75.09</v>
      </c>
    </row>
    <row r="222" spans="1:10">
      <c r="A222" t="s">
        <v>33</v>
      </c>
      <c r="B222" t="s">
        <v>134</v>
      </c>
      <c r="C222">
        <v>1156</v>
      </c>
      <c r="D222" s="5">
        <v>7.2700000000000001E-2</v>
      </c>
      <c r="E222">
        <v>84</v>
      </c>
      <c r="F222">
        <v>1</v>
      </c>
      <c r="G222" s="6">
        <v>1.1900000000000001E-2</v>
      </c>
      <c r="H222" s="14">
        <v>0.09</v>
      </c>
      <c r="I222" s="14">
        <v>7.97</v>
      </c>
      <c r="J222" s="14">
        <v>7.97</v>
      </c>
    </row>
    <row r="223" spans="1:10">
      <c r="A223" t="s">
        <v>33</v>
      </c>
      <c r="B223" t="s">
        <v>131</v>
      </c>
      <c r="C223">
        <v>485</v>
      </c>
      <c r="D223" s="5">
        <v>5.1499999999999997E-2</v>
      </c>
      <c r="E223">
        <v>25</v>
      </c>
      <c r="F223">
        <v>0</v>
      </c>
      <c r="G223" s="6">
        <v>0</v>
      </c>
      <c r="H223" s="14">
        <v>0</v>
      </c>
      <c r="I223" s="14">
        <v>0</v>
      </c>
      <c r="J223" s="14">
        <v>0</v>
      </c>
    </row>
    <row r="224" spans="1:10">
      <c r="A224" t="s">
        <v>33</v>
      </c>
      <c r="B224" t="s">
        <v>134</v>
      </c>
      <c r="C224">
        <v>6581</v>
      </c>
      <c r="D224" s="5">
        <v>0.1042</v>
      </c>
      <c r="E224">
        <v>686</v>
      </c>
      <c r="F224">
        <v>19</v>
      </c>
      <c r="G224" s="6">
        <v>2.7699999999999999E-2</v>
      </c>
      <c r="H224" s="14">
        <v>0.22</v>
      </c>
      <c r="I224" s="14">
        <v>7.91</v>
      </c>
      <c r="J224" s="14">
        <v>150.33000000000001</v>
      </c>
    </row>
    <row r="225" spans="1:10">
      <c r="A225" t="s">
        <v>33</v>
      </c>
      <c r="B225" t="s">
        <v>134</v>
      </c>
      <c r="C225">
        <v>4969</v>
      </c>
      <c r="D225" s="5">
        <v>0.1193</v>
      </c>
      <c r="E225">
        <v>593</v>
      </c>
      <c r="F225">
        <v>25</v>
      </c>
      <c r="G225" s="6">
        <v>4.2200000000000001E-2</v>
      </c>
      <c r="H225" s="14">
        <v>0.22</v>
      </c>
      <c r="I225" s="14">
        <v>5.15</v>
      </c>
      <c r="J225" s="14">
        <v>128.79</v>
      </c>
    </row>
    <row r="226" spans="1:10">
      <c r="A226" t="s">
        <v>35</v>
      </c>
      <c r="B226" t="s">
        <v>133</v>
      </c>
      <c r="C226">
        <v>719</v>
      </c>
      <c r="D226" s="5">
        <v>2.5000000000000001E-2</v>
      </c>
      <c r="E226">
        <v>18</v>
      </c>
      <c r="F226">
        <v>1</v>
      </c>
      <c r="G226" s="6">
        <v>5.5599999999999997E-2</v>
      </c>
      <c r="H226" s="14">
        <v>0.47</v>
      </c>
      <c r="I226" s="14">
        <v>8.39</v>
      </c>
      <c r="J226" s="14">
        <v>8.39</v>
      </c>
    </row>
    <row r="227" spans="1:10">
      <c r="A227" t="s">
        <v>90</v>
      </c>
      <c r="B227" t="s">
        <v>131</v>
      </c>
      <c r="C227">
        <v>300</v>
      </c>
      <c r="D227" s="5">
        <v>0.05</v>
      </c>
      <c r="E227">
        <v>15</v>
      </c>
      <c r="F227">
        <v>1</v>
      </c>
      <c r="G227" s="6">
        <v>6.6699999999999995E-2</v>
      </c>
      <c r="H227" s="14">
        <v>0.51</v>
      </c>
      <c r="I227" s="14">
        <v>7.69</v>
      </c>
      <c r="J227" s="14">
        <v>7.69</v>
      </c>
    </row>
    <row r="228" spans="1:10">
      <c r="A228" t="s">
        <v>91</v>
      </c>
      <c r="B228" t="s">
        <v>133</v>
      </c>
      <c r="C228">
        <v>234</v>
      </c>
      <c r="D228" s="5">
        <v>2.5600000000000001E-2</v>
      </c>
      <c r="E228">
        <v>6</v>
      </c>
      <c r="F228">
        <v>0</v>
      </c>
      <c r="G228" s="6">
        <v>0</v>
      </c>
      <c r="H228" s="14">
        <v>0</v>
      </c>
      <c r="I228" s="14">
        <v>0</v>
      </c>
      <c r="J228" s="14">
        <v>0</v>
      </c>
    </row>
    <row r="229" spans="1:10">
      <c r="A229" t="s">
        <v>92</v>
      </c>
      <c r="B229" t="s">
        <v>131</v>
      </c>
      <c r="C229">
        <v>435</v>
      </c>
      <c r="D229" s="5">
        <v>8.9700000000000002E-2</v>
      </c>
      <c r="E229">
        <v>39</v>
      </c>
      <c r="F229">
        <v>0</v>
      </c>
      <c r="G229" s="6">
        <v>0</v>
      </c>
      <c r="H229" s="14">
        <v>0</v>
      </c>
      <c r="I229" s="14">
        <v>0</v>
      </c>
      <c r="J229" s="14">
        <v>0</v>
      </c>
    </row>
    <row r="230" spans="1:10">
      <c r="A230" t="s">
        <v>93</v>
      </c>
      <c r="B230" t="s">
        <v>139</v>
      </c>
      <c r="C230">
        <v>1595</v>
      </c>
      <c r="D230" s="5">
        <v>2.7E-2</v>
      </c>
      <c r="E230">
        <v>43</v>
      </c>
      <c r="F230">
        <v>5</v>
      </c>
      <c r="G230" s="6">
        <v>0.1163</v>
      </c>
      <c r="H230" s="14">
        <v>0.75</v>
      </c>
      <c r="I230" s="14">
        <v>6.45</v>
      </c>
      <c r="J230" s="14">
        <v>32.24</v>
      </c>
    </row>
    <row r="231" spans="1:10">
      <c r="A231" t="s">
        <v>93</v>
      </c>
      <c r="B231" t="s">
        <v>139</v>
      </c>
      <c r="C231">
        <v>0</v>
      </c>
      <c r="D231" s="5">
        <v>0</v>
      </c>
      <c r="E231">
        <v>0</v>
      </c>
      <c r="F231">
        <v>0</v>
      </c>
      <c r="G231" s="6">
        <v>0</v>
      </c>
      <c r="H231" s="14">
        <v>0</v>
      </c>
      <c r="I231" s="14">
        <v>0</v>
      </c>
      <c r="J231" s="14">
        <v>0</v>
      </c>
    </row>
    <row r="232" spans="1:10">
      <c r="A232" t="s">
        <v>93</v>
      </c>
      <c r="B232" t="s">
        <v>137</v>
      </c>
      <c r="C232">
        <v>937</v>
      </c>
      <c r="D232" s="5">
        <v>3.6299999999999999E-2</v>
      </c>
      <c r="E232">
        <v>34</v>
      </c>
      <c r="F232">
        <v>1</v>
      </c>
      <c r="G232" s="6">
        <v>2.9399999999999999E-2</v>
      </c>
      <c r="H232" s="14">
        <v>0.13</v>
      </c>
      <c r="I232" s="14">
        <v>4.43</v>
      </c>
      <c r="J232" s="14">
        <v>4.43</v>
      </c>
    </row>
    <row r="233" spans="1:10">
      <c r="A233" t="s">
        <v>93</v>
      </c>
      <c r="B233" t="s">
        <v>139</v>
      </c>
      <c r="C233">
        <v>2200</v>
      </c>
      <c r="D233" s="5">
        <v>4.2299999999999997E-2</v>
      </c>
      <c r="E233">
        <v>93</v>
      </c>
      <c r="F233">
        <v>4</v>
      </c>
      <c r="G233" s="6">
        <v>4.2999999999999997E-2</v>
      </c>
      <c r="H233" s="14">
        <v>0.46</v>
      </c>
      <c r="I233" s="14">
        <v>10.65</v>
      </c>
      <c r="J233" s="14">
        <v>42.58</v>
      </c>
    </row>
    <row r="234" spans="1:10">
      <c r="A234" t="s">
        <v>94</v>
      </c>
      <c r="B234" t="s">
        <v>131</v>
      </c>
      <c r="C234">
        <v>1062</v>
      </c>
      <c r="D234" s="5">
        <v>6.7799999999999999E-2</v>
      </c>
      <c r="E234">
        <v>72</v>
      </c>
      <c r="F234">
        <v>9</v>
      </c>
      <c r="G234" s="6">
        <v>0.125</v>
      </c>
      <c r="H234" s="14">
        <v>0.61</v>
      </c>
      <c r="I234" s="14">
        <v>4.9000000000000004</v>
      </c>
      <c r="J234" s="14">
        <v>44.12</v>
      </c>
    </row>
    <row r="235" spans="1:10">
      <c r="A235" t="s">
        <v>37</v>
      </c>
      <c r="B235" t="s">
        <v>134</v>
      </c>
      <c r="C235">
        <v>223</v>
      </c>
      <c r="D235" s="5">
        <v>4.0399999999999998E-2</v>
      </c>
      <c r="E235">
        <v>9</v>
      </c>
      <c r="F235">
        <v>0</v>
      </c>
      <c r="G235" s="6">
        <v>0</v>
      </c>
      <c r="H235" s="14">
        <v>0</v>
      </c>
      <c r="I235" s="14">
        <v>0</v>
      </c>
      <c r="J235" s="14">
        <v>0</v>
      </c>
    </row>
    <row r="236" spans="1:10">
      <c r="A236" t="s">
        <v>37</v>
      </c>
      <c r="B236" t="s">
        <v>134</v>
      </c>
      <c r="C236">
        <v>713</v>
      </c>
      <c r="D236" s="5">
        <v>6.7299999999999999E-2</v>
      </c>
      <c r="E236">
        <v>48</v>
      </c>
      <c r="F236">
        <v>2</v>
      </c>
      <c r="G236" s="6">
        <v>4.1700000000000001E-2</v>
      </c>
      <c r="H236" s="14">
        <v>0.93</v>
      </c>
      <c r="I236" s="14">
        <v>22.41</v>
      </c>
      <c r="J236" s="14">
        <v>44.81</v>
      </c>
    </row>
    <row r="237" spans="1:10">
      <c r="A237" t="s">
        <v>37</v>
      </c>
      <c r="B237" t="s">
        <v>134</v>
      </c>
      <c r="C237">
        <v>220</v>
      </c>
      <c r="D237" s="5">
        <v>3.6400000000000002E-2</v>
      </c>
      <c r="E237">
        <v>8</v>
      </c>
      <c r="F237">
        <v>0</v>
      </c>
      <c r="G237" s="6">
        <v>0</v>
      </c>
      <c r="H237" s="14">
        <v>0</v>
      </c>
      <c r="I237" s="14">
        <v>0</v>
      </c>
      <c r="J237" s="14">
        <v>0</v>
      </c>
    </row>
    <row r="238" spans="1:10">
      <c r="A238" t="s">
        <v>37</v>
      </c>
      <c r="B238" t="s">
        <v>134</v>
      </c>
      <c r="C238">
        <v>551</v>
      </c>
      <c r="D238" s="5">
        <v>4.36E-2</v>
      </c>
      <c r="E238">
        <v>24</v>
      </c>
      <c r="F238">
        <v>1</v>
      </c>
      <c r="G238" s="6">
        <v>4.1700000000000001E-2</v>
      </c>
      <c r="H238" s="14">
        <v>0.33</v>
      </c>
      <c r="I238" s="14">
        <v>8.02</v>
      </c>
      <c r="J238" s="14">
        <v>8.02</v>
      </c>
    </row>
    <row r="239" spans="1:10">
      <c r="A239" t="s">
        <v>37</v>
      </c>
      <c r="B239" t="s">
        <v>134</v>
      </c>
      <c r="C239">
        <v>226</v>
      </c>
      <c r="D239" s="5">
        <v>4.87E-2</v>
      </c>
      <c r="E239">
        <v>11</v>
      </c>
      <c r="F239">
        <v>1</v>
      </c>
      <c r="G239" s="6">
        <v>9.0899999999999995E-2</v>
      </c>
      <c r="H239" s="14">
        <v>0.59</v>
      </c>
      <c r="I239" s="14">
        <v>6.53</v>
      </c>
      <c r="J239" s="14">
        <v>6.53</v>
      </c>
    </row>
    <row r="240" spans="1:10">
      <c r="A240" t="s">
        <v>37</v>
      </c>
      <c r="B240" t="s">
        <v>134</v>
      </c>
      <c r="C240">
        <v>177</v>
      </c>
      <c r="D240" s="5">
        <v>2.8199999999999999E-2</v>
      </c>
      <c r="E240">
        <v>5</v>
      </c>
      <c r="F240">
        <v>2</v>
      </c>
      <c r="G240" s="6">
        <v>0.4</v>
      </c>
      <c r="H240" s="14">
        <v>2.0499999999999998</v>
      </c>
      <c r="I240" s="14">
        <v>5.13</v>
      </c>
      <c r="J240" s="14">
        <v>10.26</v>
      </c>
    </row>
    <row r="241" spans="1:10">
      <c r="A241" t="s">
        <v>37</v>
      </c>
      <c r="B241" t="s">
        <v>137</v>
      </c>
      <c r="C241">
        <v>327</v>
      </c>
      <c r="D241" s="5">
        <v>4.5900000000000003E-2</v>
      </c>
      <c r="E241">
        <v>15</v>
      </c>
      <c r="F241">
        <v>1</v>
      </c>
      <c r="G241" s="6">
        <v>6.6699999999999995E-2</v>
      </c>
      <c r="H241" s="14">
        <v>0.89</v>
      </c>
      <c r="I241" s="14">
        <v>13.28</v>
      </c>
      <c r="J241" s="14">
        <v>13.28</v>
      </c>
    </row>
    <row r="242" spans="1:10">
      <c r="A242" t="s">
        <v>37</v>
      </c>
      <c r="B242" t="s">
        <v>137</v>
      </c>
      <c r="C242">
        <v>0</v>
      </c>
      <c r="D242" s="5">
        <v>0</v>
      </c>
      <c r="E242">
        <v>0</v>
      </c>
      <c r="F242">
        <v>0</v>
      </c>
      <c r="G242" s="6">
        <v>0</v>
      </c>
      <c r="H242" s="14">
        <v>0</v>
      </c>
      <c r="I242" s="14">
        <v>0</v>
      </c>
      <c r="J242" s="14">
        <v>0</v>
      </c>
    </row>
    <row r="243" spans="1:10">
      <c r="A243" t="s">
        <v>37</v>
      </c>
      <c r="B243" t="s">
        <v>136</v>
      </c>
      <c r="C243">
        <v>249</v>
      </c>
      <c r="D243" s="5">
        <v>6.0199999999999997E-2</v>
      </c>
      <c r="E243">
        <v>15</v>
      </c>
      <c r="F243">
        <v>1</v>
      </c>
      <c r="G243" s="6">
        <v>6.6699999999999995E-2</v>
      </c>
      <c r="H243" s="14">
        <v>0.51</v>
      </c>
      <c r="I243" s="14">
        <v>7.68</v>
      </c>
      <c r="J243" s="14">
        <v>7.68</v>
      </c>
    </row>
    <row r="244" spans="1:10">
      <c r="A244" t="s">
        <v>37</v>
      </c>
      <c r="B244" t="s">
        <v>136</v>
      </c>
      <c r="C244">
        <v>0</v>
      </c>
      <c r="D244" s="5">
        <v>0</v>
      </c>
      <c r="E244">
        <v>0</v>
      </c>
      <c r="F244">
        <v>0</v>
      </c>
      <c r="G244" s="6">
        <v>0</v>
      </c>
      <c r="H244" s="14">
        <v>0</v>
      </c>
      <c r="I244" s="14">
        <v>0</v>
      </c>
      <c r="J244" s="14">
        <v>0</v>
      </c>
    </row>
    <row r="245" spans="1:10">
      <c r="A245" t="s">
        <v>67</v>
      </c>
      <c r="B245" t="s">
        <v>133</v>
      </c>
      <c r="C245">
        <v>1002</v>
      </c>
      <c r="D245" s="5">
        <v>3.5900000000000001E-2</v>
      </c>
      <c r="E245">
        <v>36</v>
      </c>
      <c r="F245">
        <v>2</v>
      </c>
      <c r="G245" s="6">
        <v>5.5599999999999997E-2</v>
      </c>
      <c r="H245" s="14">
        <v>0.44</v>
      </c>
      <c r="I245" s="14">
        <v>7.84</v>
      </c>
      <c r="J245" s="14">
        <v>15.67</v>
      </c>
    </row>
    <row r="246" spans="1:10">
      <c r="A246" t="s">
        <v>67</v>
      </c>
      <c r="B246" t="s">
        <v>134</v>
      </c>
      <c r="C246">
        <v>2830</v>
      </c>
      <c r="D246" s="5">
        <v>4.9500000000000002E-2</v>
      </c>
      <c r="E246">
        <v>140</v>
      </c>
      <c r="F246">
        <v>10</v>
      </c>
      <c r="G246" s="6">
        <v>7.1400000000000005E-2</v>
      </c>
      <c r="H246" s="14">
        <v>0.4</v>
      </c>
      <c r="I246" s="14">
        <v>5.59</v>
      </c>
      <c r="J246" s="14">
        <v>55.94</v>
      </c>
    </row>
    <row r="247" spans="1:10">
      <c r="A247" t="s">
        <v>67</v>
      </c>
      <c r="B247" t="s">
        <v>144</v>
      </c>
      <c r="C247">
        <v>30</v>
      </c>
      <c r="D247" s="5">
        <v>3.3300000000000003E-2</v>
      </c>
      <c r="E247">
        <v>1</v>
      </c>
      <c r="F247">
        <v>1</v>
      </c>
      <c r="G247" s="6">
        <v>1</v>
      </c>
      <c r="H247" s="14">
        <v>6</v>
      </c>
      <c r="I247" s="14">
        <v>6</v>
      </c>
      <c r="J247" s="14">
        <v>6</v>
      </c>
    </row>
    <row r="248" spans="1:10">
      <c r="A248" t="s">
        <v>67</v>
      </c>
      <c r="B248" t="s">
        <v>144</v>
      </c>
      <c r="C248">
        <v>197</v>
      </c>
      <c r="D248" s="5">
        <v>5.5800000000000002E-2</v>
      </c>
      <c r="E248">
        <v>11</v>
      </c>
      <c r="F248">
        <v>2</v>
      </c>
      <c r="G248" s="6">
        <v>0.18179999999999999</v>
      </c>
      <c r="H248" s="14">
        <v>1.72</v>
      </c>
      <c r="I248" s="14">
        <v>9.48</v>
      </c>
      <c r="J248" s="14">
        <v>18.96</v>
      </c>
    </row>
    <row r="249" spans="1:10">
      <c r="A249" t="s">
        <v>67</v>
      </c>
      <c r="B249" t="s">
        <v>144</v>
      </c>
      <c r="C249">
        <v>287</v>
      </c>
      <c r="D249" s="5">
        <v>4.53E-2</v>
      </c>
      <c r="E249">
        <v>13</v>
      </c>
      <c r="F249">
        <v>0</v>
      </c>
      <c r="G249" s="6">
        <v>0</v>
      </c>
      <c r="H249" s="14">
        <v>0</v>
      </c>
      <c r="I249" s="14">
        <v>0</v>
      </c>
      <c r="J249" s="14">
        <v>0</v>
      </c>
    </row>
    <row r="250" spans="1:10">
      <c r="A250" t="s">
        <v>67</v>
      </c>
      <c r="B250" t="s">
        <v>145</v>
      </c>
      <c r="C250">
        <v>1598</v>
      </c>
      <c r="D250" s="5">
        <v>4.5699999999999998E-2</v>
      </c>
      <c r="E250">
        <v>73</v>
      </c>
      <c r="F250">
        <v>9</v>
      </c>
      <c r="G250" s="6">
        <v>0.12330000000000001</v>
      </c>
      <c r="H250" s="14">
        <v>1.22</v>
      </c>
      <c r="I250" s="14">
        <v>9.91</v>
      </c>
      <c r="J250" s="14">
        <v>89.18</v>
      </c>
    </row>
    <row r="251" spans="1:10">
      <c r="A251" t="s">
        <v>67</v>
      </c>
      <c r="B251" t="s">
        <v>131</v>
      </c>
      <c r="C251">
        <v>0</v>
      </c>
      <c r="D251" s="5">
        <v>0</v>
      </c>
      <c r="E251">
        <v>0</v>
      </c>
      <c r="F251">
        <v>0</v>
      </c>
      <c r="G251" s="6">
        <v>0</v>
      </c>
      <c r="H251" s="14">
        <v>0</v>
      </c>
      <c r="I251" s="14">
        <v>0</v>
      </c>
      <c r="J251" s="14">
        <v>0</v>
      </c>
    </row>
    <row r="252" spans="1:10">
      <c r="A252" t="s">
        <v>67</v>
      </c>
      <c r="B252" t="s">
        <v>131</v>
      </c>
      <c r="C252">
        <v>1357</v>
      </c>
      <c r="D252" s="5">
        <v>4.7899999999999998E-2</v>
      </c>
      <c r="E252">
        <v>65</v>
      </c>
      <c r="F252">
        <v>5</v>
      </c>
      <c r="G252" s="6">
        <v>7.6899999999999996E-2</v>
      </c>
      <c r="H252" s="14">
        <v>0.54</v>
      </c>
      <c r="I252" s="14">
        <v>7.03</v>
      </c>
      <c r="J252" s="14">
        <v>35.14</v>
      </c>
    </row>
    <row r="253" spans="1:10">
      <c r="A253" t="s">
        <v>67</v>
      </c>
      <c r="B253" t="s">
        <v>131</v>
      </c>
      <c r="C253">
        <v>1361</v>
      </c>
      <c r="D253" s="5">
        <v>3.6700000000000003E-2</v>
      </c>
      <c r="E253">
        <v>50</v>
      </c>
      <c r="F253">
        <v>3</v>
      </c>
      <c r="G253" s="6">
        <v>0.06</v>
      </c>
      <c r="H253" s="14">
        <v>0.78</v>
      </c>
      <c r="I253" s="14">
        <v>12.99</v>
      </c>
      <c r="J253" s="14">
        <v>38.979999999999997</v>
      </c>
    </row>
    <row r="254" spans="1:10">
      <c r="A254" t="s">
        <v>67</v>
      </c>
      <c r="B254" t="s">
        <v>134</v>
      </c>
      <c r="C254">
        <v>922</v>
      </c>
      <c r="D254" s="5">
        <v>3.5799999999999998E-2</v>
      </c>
      <c r="E254">
        <v>33</v>
      </c>
      <c r="F254">
        <v>0</v>
      </c>
      <c r="G254" s="6">
        <v>0</v>
      </c>
      <c r="H254" s="14">
        <v>0</v>
      </c>
      <c r="I254" s="14">
        <v>0</v>
      </c>
      <c r="J254" s="14">
        <v>0</v>
      </c>
    </row>
    <row r="255" spans="1:10">
      <c r="A255" t="s">
        <v>67</v>
      </c>
      <c r="B255" t="s">
        <v>131</v>
      </c>
      <c r="C255">
        <v>1162</v>
      </c>
      <c r="D255" s="5">
        <v>4.82E-2</v>
      </c>
      <c r="E255">
        <v>56</v>
      </c>
      <c r="F255">
        <v>1</v>
      </c>
      <c r="G255" s="6">
        <v>1.7899999999999999E-2</v>
      </c>
      <c r="H255" s="14">
        <v>0.18</v>
      </c>
      <c r="I255" s="14">
        <v>9.8800000000000008</v>
      </c>
      <c r="J255" s="14">
        <v>9.8800000000000008</v>
      </c>
    </row>
    <row r="256" spans="1:10">
      <c r="A256" t="s">
        <v>48</v>
      </c>
      <c r="B256" t="s">
        <v>134</v>
      </c>
      <c r="C256">
        <v>101</v>
      </c>
      <c r="D256" s="5">
        <v>5.9400000000000001E-2</v>
      </c>
      <c r="E256">
        <v>6</v>
      </c>
      <c r="F256">
        <v>0</v>
      </c>
      <c r="G256" s="6">
        <v>0</v>
      </c>
      <c r="H256" s="14">
        <v>0</v>
      </c>
      <c r="I256" s="14">
        <v>0</v>
      </c>
      <c r="J256" s="14">
        <v>0</v>
      </c>
    </row>
    <row r="257" spans="1:10">
      <c r="A257" t="s">
        <v>48</v>
      </c>
      <c r="B257" t="s">
        <v>134</v>
      </c>
      <c r="C257">
        <v>136</v>
      </c>
      <c r="D257" s="5">
        <v>5.1499999999999997E-2</v>
      </c>
      <c r="E257">
        <v>7</v>
      </c>
      <c r="F257">
        <v>2</v>
      </c>
      <c r="G257" s="6">
        <v>0.28570000000000001</v>
      </c>
      <c r="H257" s="14">
        <v>5.94</v>
      </c>
      <c r="I257" s="14">
        <v>20.81</v>
      </c>
      <c r="J257" s="14">
        <v>41.61</v>
      </c>
    </row>
    <row r="258" spans="1:10">
      <c r="A258" t="s">
        <v>48</v>
      </c>
      <c r="B258" t="s">
        <v>134</v>
      </c>
      <c r="C258">
        <v>59</v>
      </c>
      <c r="D258" s="5">
        <v>0.1186</v>
      </c>
      <c r="E258">
        <v>7</v>
      </c>
      <c r="F258">
        <v>0</v>
      </c>
      <c r="G258" s="6">
        <v>0</v>
      </c>
      <c r="H258" s="14">
        <v>0</v>
      </c>
      <c r="I258" s="14">
        <v>0</v>
      </c>
      <c r="J258" s="14">
        <v>0</v>
      </c>
    </row>
    <row r="259" spans="1:10">
      <c r="A259" t="s">
        <v>48</v>
      </c>
      <c r="B259" t="s">
        <v>134</v>
      </c>
      <c r="C259">
        <v>55</v>
      </c>
      <c r="D259" s="5">
        <v>7.2700000000000001E-2</v>
      </c>
      <c r="E259">
        <v>4</v>
      </c>
      <c r="F259">
        <v>1</v>
      </c>
      <c r="G259" s="6">
        <v>0.25</v>
      </c>
      <c r="H259" s="14">
        <v>0.81</v>
      </c>
      <c r="I259" s="14">
        <v>3.23</v>
      </c>
      <c r="J259" s="14">
        <v>3.23</v>
      </c>
    </row>
    <row r="260" spans="1:10">
      <c r="A260" t="s">
        <v>48</v>
      </c>
      <c r="B260" t="s">
        <v>134</v>
      </c>
      <c r="C260">
        <v>23</v>
      </c>
      <c r="D260" s="5">
        <v>0</v>
      </c>
      <c r="E260">
        <v>0</v>
      </c>
      <c r="F260">
        <v>0</v>
      </c>
      <c r="G260" s="6">
        <v>0</v>
      </c>
      <c r="H260" s="14">
        <v>0</v>
      </c>
      <c r="I260" s="14">
        <v>0</v>
      </c>
      <c r="J260" s="14">
        <v>0</v>
      </c>
    </row>
    <row r="261" spans="1:10">
      <c r="A261" t="s">
        <v>48</v>
      </c>
      <c r="B261" t="s">
        <v>134</v>
      </c>
      <c r="C261">
        <v>24</v>
      </c>
      <c r="D261" s="5">
        <v>0.16669999999999999</v>
      </c>
      <c r="E261">
        <v>4</v>
      </c>
      <c r="F261">
        <v>0</v>
      </c>
      <c r="G261" s="6">
        <v>0</v>
      </c>
      <c r="H261" s="14">
        <v>0</v>
      </c>
      <c r="I261" s="14">
        <v>0</v>
      </c>
      <c r="J261" s="14">
        <v>0</v>
      </c>
    </row>
    <row r="262" spans="1:10">
      <c r="A262" t="s">
        <v>95</v>
      </c>
      <c r="B262" t="s">
        <v>134</v>
      </c>
      <c r="C262">
        <v>456</v>
      </c>
      <c r="D262" s="5">
        <v>4.1700000000000001E-2</v>
      </c>
      <c r="E262">
        <v>19</v>
      </c>
      <c r="F262">
        <v>1</v>
      </c>
      <c r="G262" s="6">
        <v>5.2600000000000001E-2</v>
      </c>
      <c r="H262" s="14">
        <v>0.22</v>
      </c>
      <c r="I262" s="14">
        <v>4.21</v>
      </c>
      <c r="J262" s="14">
        <v>4.21</v>
      </c>
    </row>
    <row r="263" spans="1:10">
      <c r="A263" t="s">
        <v>95</v>
      </c>
      <c r="B263" t="s">
        <v>134</v>
      </c>
      <c r="C263">
        <v>340</v>
      </c>
      <c r="D263" s="5">
        <v>2.9399999999999999E-2</v>
      </c>
      <c r="E263">
        <v>10</v>
      </c>
      <c r="F263">
        <v>0</v>
      </c>
      <c r="G263" s="6">
        <v>0</v>
      </c>
      <c r="H263" s="14">
        <v>0</v>
      </c>
      <c r="I263" s="14">
        <v>0</v>
      </c>
      <c r="J263" s="14">
        <v>0</v>
      </c>
    </row>
    <row r="264" spans="1:10">
      <c r="A264" t="s">
        <v>95</v>
      </c>
      <c r="B264" t="s">
        <v>134</v>
      </c>
      <c r="C264">
        <v>286</v>
      </c>
      <c r="D264" s="5">
        <v>3.15E-2</v>
      </c>
      <c r="E264">
        <v>9</v>
      </c>
      <c r="F264">
        <v>0</v>
      </c>
      <c r="G264" s="6">
        <v>0</v>
      </c>
      <c r="H264" s="14">
        <v>0</v>
      </c>
      <c r="I264" s="14">
        <v>0</v>
      </c>
      <c r="J264" s="14">
        <v>0</v>
      </c>
    </row>
    <row r="265" spans="1:10">
      <c r="A265" t="s">
        <v>95</v>
      </c>
      <c r="B265" t="s">
        <v>134</v>
      </c>
      <c r="C265">
        <v>294</v>
      </c>
      <c r="D265" s="5">
        <v>2.7199999999999998E-2</v>
      </c>
      <c r="E265">
        <v>8</v>
      </c>
      <c r="F265">
        <v>1</v>
      </c>
      <c r="G265" s="6">
        <v>0.125</v>
      </c>
      <c r="H265" s="14">
        <v>1.36</v>
      </c>
      <c r="I265" s="14">
        <v>10.91</v>
      </c>
      <c r="J265" s="14">
        <v>10.91</v>
      </c>
    </row>
    <row r="266" spans="1:10">
      <c r="A266" t="s">
        <v>95</v>
      </c>
      <c r="B266" t="s">
        <v>131</v>
      </c>
      <c r="C266">
        <v>1</v>
      </c>
      <c r="D266" s="5">
        <v>0</v>
      </c>
      <c r="E266">
        <v>0</v>
      </c>
      <c r="F266">
        <v>0</v>
      </c>
      <c r="G266" s="6">
        <v>0</v>
      </c>
      <c r="H266" s="14">
        <v>0</v>
      </c>
      <c r="I266" s="14">
        <v>0</v>
      </c>
      <c r="J266" s="14">
        <v>0</v>
      </c>
    </row>
    <row r="267" spans="1:10">
      <c r="A267" t="s">
        <v>96</v>
      </c>
      <c r="B267" t="s">
        <v>134</v>
      </c>
      <c r="C267">
        <v>108</v>
      </c>
      <c r="D267" s="5">
        <v>5.5599999999999997E-2</v>
      </c>
      <c r="E267">
        <v>6</v>
      </c>
      <c r="F267">
        <v>0</v>
      </c>
      <c r="G267" s="6">
        <v>0</v>
      </c>
      <c r="H267" s="14">
        <v>0</v>
      </c>
      <c r="I267" s="14">
        <v>0</v>
      </c>
      <c r="J267" s="14">
        <v>0</v>
      </c>
    </row>
    <row r="268" spans="1:10">
      <c r="A268" t="s">
        <v>96</v>
      </c>
      <c r="B268" t="s">
        <v>134</v>
      </c>
      <c r="C268">
        <v>87</v>
      </c>
      <c r="D268" s="5">
        <v>2.3E-2</v>
      </c>
      <c r="E268">
        <v>2</v>
      </c>
      <c r="F268">
        <v>0</v>
      </c>
      <c r="G268" s="6">
        <v>0</v>
      </c>
      <c r="H268" s="14">
        <v>0</v>
      </c>
      <c r="I268" s="14">
        <v>0</v>
      </c>
      <c r="J268" s="14">
        <v>0</v>
      </c>
    </row>
    <row r="269" spans="1:10">
      <c r="A269" t="s">
        <v>96</v>
      </c>
      <c r="B269" t="s">
        <v>134</v>
      </c>
      <c r="C269">
        <v>89</v>
      </c>
      <c r="D269" s="5">
        <v>3.3700000000000001E-2</v>
      </c>
      <c r="E269">
        <v>3</v>
      </c>
      <c r="F269">
        <v>0</v>
      </c>
      <c r="G269" s="6">
        <v>0</v>
      </c>
      <c r="H269" s="14">
        <v>0</v>
      </c>
      <c r="I269" s="14">
        <v>0</v>
      </c>
      <c r="J269" s="14">
        <v>0</v>
      </c>
    </row>
    <row r="270" spans="1:10">
      <c r="A270" t="s">
        <v>96</v>
      </c>
      <c r="B270" t="s">
        <v>134</v>
      </c>
      <c r="C270">
        <v>81</v>
      </c>
      <c r="D270" s="5">
        <v>3.6999999999999998E-2</v>
      </c>
      <c r="E270">
        <v>3</v>
      </c>
      <c r="F270">
        <v>0</v>
      </c>
      <c r="G270" s="6">
        <v>0</v>
      </c>
      <c r="H270" s="14">
        <v>0</v>
      </c>
      <c r="I270" s="14">
        <v>0</v>
      </c>
      <c r="J270" s="14">
        <v>0</v>
      </c>
    </row>
    <row r="271" spans="1:10">
      <c r="A271" t="s">
        <v>96</v>
      </c>
      <c r="B271" t="s">
        <v>134</v>
      </c>
      <c r="C271">
        <v>57</v>
      </c>
      <c r="D271" s="5">
        <v>5.2600000000000001E-2</v>
      </c>
      <c r="E271">
        <v>3</v>
      </c>
      <c r="F271">
        <v>0</v>
      </c>
      <c r="G271" s="6">
        <v>0</v>
      </c>
      <c r="H271" s="14">
        <v>0</v>
      </c>
      <c r="I271" s="14">
        <v>0</v>
      </c>
      <c r="J271" s="14">
        <v>0</v>
      </c>
    </row>
    <row r="272" spans="1:10">
      <c r="A272" t="s">
        <v>96</v>
      </c>
      <c r="B272" t="s">
        <v>134</v>
      </c>
      <c r="C272">
        <v>37</v>
      </c>
      <c r="D272" s="5">
        <v>0.1081</v>
      </c>
      <c r="E272">
        <v>4</v>
      </c>
      <c r="F272">
        <v>1</v>
      </c>
      <c r="G272" s="6">
        <v>0.25</v>
      </c>
      <c r="H272" s="14">
        <v>2.21</v>
      </c>
      <c r="I272" s="14">
        <v>8.82</v>
      </c>
      <c r="J272" s="14">
        <v>8.82</v>
      </c>
    </row>
    <row r="273" spans="1:10">
      <c r="A273" t="s">
        <v>40</v>
      </c>
      <c r="B273" t="s">
        <v>144</v>
      </c>
      <c r="C273">
        <v>0</v>
      </c>
      <c r="D273" s="5">
        <v>0</v>
      </c>
      <c r="E273">
        <v>0</v>
      </c>
      <c r="F273">
        <v>0</v>
      </c>
      <c r="G273" s="6">
        <v>0</v>
      </c>
      <c r="H273" s="14">
        <v>0</v>
      </c>
      <c r="I273" s="14">
        <v>0</v>
      </c>
      <c r="J273" s="14">
        <v>0</v>
      </c>
    </row>
    <row r="274" spans="1:10">
      <c r="A274" t="s">
        <v>40</v>
      </c>
      <c r="B274" t="s">
        <v>144</v>
      </c>
      <c r="C274">
        <v>97</v>
      </c>
      <c r="D274" s="5">
        <v>7.22E-2</v>
      </c>
      <c r="E274">
        <v>7</v>
      </c>
      <c r="F274">
        <v>1</v>
      </c>
      <c r="G274" s="6">
        <v>0.1429</v>
      </c>
      <c r="H274" s="14">
        <v>1.96</v>
      </c>
      <c r="I274" s="14">
        <v>13.75</v>
      </c>
      <c r="J274" s="14">
        <v>13.75</v>
      </c>
    </row>
    <row r="275" spans="1:10">
      <c r="A275" t="s">
        <v>40</v>
      </c>
      <c r="B275" t="s">
        <v>144</v>
      </c>
      <c r="C275">
        <v>226</v>
      </c>
      <c r="D275" s="5">
        <v>4.87E-2</v>
      </c>
      <c r="E275">
        <v>11</v>
      </c>
      <c r="F275">
        <v>1</v>
      </c>
      <c r="G275" s="6">
        <v>9.0899999999999995E-2</v>
      </c>
      <c r="H275" s="14">
        <v>1.44</v>
      </c>
      <c r="I275" s="14">
        <v>15.85</v>
      </c>
      <c r="J275" s="14">
        <v>15.85</v>
      </c>
    </row>
    <row r="276" spans="1:10">
      <c r="A276" t="s">
        <v>40</v>
      </c>
      <c r="B276" t="s">
        <v>144</v>
      </c>
      <c r="C276">
        <v>269</v>
      </c>
      <c r="D276" s="5">
        <v>3.3500000000000002E-2</v>
      </c>
      <c r="E276">
        <v>9</v>
      </c>
      <c r="F276">
        <v>1</v>
      </c>
      <c r="G276" s="6">
        <v>0.1111</v>
      </c>
      <c r="H276" s="14">
        <v>1.06</v>
      </c>
      <c r="I276" s="14">
        <v>9.52</v>
      </c>
      <c r="J276" s="14">
        <v>9.52</v>
      </c>
    </row>
    <row r="277" spans="1:10">
      <c r="A277" t="s">
        <v>40</v>
      </c>
      <c r="B277" t="s">
        <v>132</v>
      </c>
      <c r="C277">
        <v>869</v>
      </c>
      <c r="D277" s="5">
        <v>3.9100000000000003E-2</v>
      </c>
      <c r="E277">
        <v>34</v>
      </c>
      <c r="F277">
        <v>1</v>
      </c>
      <c r="G277" s="6">
        <v>2.9399999999999999E-2</v>
      </c>
      <c r="H277" s="14">
        <v>0.28999999999999998</v>
      </c>
      <c r="I277" s="14">
        <v>10.029999999999999</v>
      </c>
      <c r="J277" s="14">
        <v>10.029999999999999</v>
      </c>
    </row>
    <row r="278" spans="1:10">
      <c r="A278" t="s">
        <v>40</v>
      </c>
      <c r="B278" t="s">
        <v>134</v>
      </c>
      <c r="C278">
        <v>504</v>
      </c>
      <c r="D278" s="5">
        <v>4.1700000000000001E-2</v>
      </c>
      <c r="E278">
        <v>21</v>
      </c>
      <c r="F278">
        <v>3</v>
      </c>
      <c r="G278" s="6">
        <v>0.1429</v>
      </c>
      <c r="H278" s="14">
        <v>0.43</v>
      </c>
      <c r="I278" s="14">
        <v>3.01</v>
      </c>
      <c r="J278" s="14">
        <v>9.0399999999999991</v>
      </c>
    </row>
    <row r="279" spans="1:10">
      <c r="A279" t="s">
        <v>146</v>
      </c>
      <c r="B279" t="s">
        <v>134</v>
      </c>
      <c r="C279">
        <v>1310</v>
      </c>
      <c r="D279" s="5">
        <v>7.2499999999999995E-2</v>
      </c>
      <c r="E279">
        <v>95</v>
      </c>
      <c r="F279">
        <v>10</v>
      </c>
      <c r="G279" s="6">
        <v>0.1053</v>
      </c>
      <c r="H279" s="14">
        <v>0.46</v>
      </c>
      <c r="I279" s="14">
        <v>4.34</v>
      </c>
      <c r="J279" s="14">
        <v>43.38</v>
      </c>
    </row>
    <row r="280" spans="1:10">
      <c r="A280" t="s">
        <v>146</v>
      </c>
      <c r="B280" t="s">
        <v>134</v>
      </c>
      <c r="C280">
        <v>539</v>
      </c>
      <c r="D280" s="5">
        <v>5.1900000000000002E-2</v>
      </c>
      <c r="E280">
        <v>28</v>
      </c>
      <c r="F280">
        <v>3</v>
      </c>
      <c r="G280" s="6">
        <v>0.1071</v>
      </c>
      <c r="H280" s="14">
        <v>0.8</v>
      </c>
      <c r="I280" s="14">
        <v>7.5</v>
      </c>
      <c r="J280" s="14">
        <v>22.5</v>
      </c>
    </row>
    <row r="281" spans="1:10">
      <c r="A281" t="s">
        <v>146</v>
      </c>
      <c r="B281" t="s">
        <v>142</v>
      </c>
      <c r="C281">
        <v>886</v>
      </c>
      <c r="D281" s="5">
        <v>2.8199999999999999E-2</v>
      </c>
      <c r="E281">
        <v>25</v>
      </c>
      <c r="F281">
        <v>2</v>
      </c>
      <c r="G281" s="6">
        <v>0.08</v>
      </c>
      <c r="H281" s="14">
        <v>0.6</v>
      </c>
      <c r="I281" s="14">
        <v>7.45</v>
      </c>
      <c r="J281" s="14">
        <v>14.9</v>
      </c>
    </row>
    <row r="282" spans="1:10">
      <c r="A282" t="s">
        <v>146</v>
      </c>
      <c r="B282" t="s">
        <v>142</v>
      </c>
      <c r="C282">
        <v>1204</v>
      </c>
      <c r="D282" s="5">
        <v>3.9899999999999998E-2</v>
      </c>
      <c r="E282">
        <v>48</v>
      </c>
      <c r="F282">
        <v>4</v>
      </c>
      <c r="G282" s="6">
        <v>8.3299999999999999E-2</v>
      </c>
      <c r="H282" s="14">
        <v>0.4</v>
      </c>
      <c r="I282" s="14">
        <v>4.82</v>
      </c>
      <c r="J282" s="14">
        <v>19.27</v>
      </c>
    </row>
    <row r="283" spans="1:10">
      <c r="A283" t="s">
        <v>146</v>
      </c>
      <c r="B283" t="s">
        <v>142</v>
      </c>
      <c r="C283">
        <v>0</v>
      </c>
      <c r="D283" s="5">
        <v>0</v>
      </c>
      <c r="E283">
        <v>0</v>
      </c>
      <c r="F283">
        <v>0</v>
      </c>
      <c r="G283" s="6">
        <v>0</v>
      </c>
      <c r="H283" s="14">
        <v>0</v>
      </c>
      <c r="I283" s="14">
        <v>0</v>
      </c>
      <c r="J283" s="14">
        <v>0</v>
      </c>
    </row>
    <row r="284" spans="1:10">
      <c r="A284" t="s">
        <v>146</v>
      </c>
      <c r="B284" t="s">
        <v>142</v>
      </c>
      <c r="C284">
        <v>0</v>
      </c>
      <c r="D284" s="5">
        <v>0</v>
      </c>
      <c r="E284">
        <v>0</v>
      </c>
      <c r="F284">
        <v>0</v>
      </c>
      <c r="G284" s="6">
        <v>0</v>
      </c>
      <c r="H284" s="14">
        <v>0</v>
      </c>
      <c r="I284" s="14">
        <v>0</v>
      </c>
      <c r="J284" s="14">
        <v>0</v>
      </c>
    </row>
    <row r="285" spans="1:10">
      <c r="A285" t="s">
        <v>146</v>
      </c>
      <c r="B285" t="s">
        <v>134</v>
      </c>
      <c r="C285">
        <v>93</v>
      </c>
      <c r="D285" s="5">
        <v>8.5999999999999993E-2</v>
      </c>
      <c r="E285">
        <v>8</v>
      </c>
      <c r="F285">
        <v>2</v>
      </c>
      <c r="G285" s="6">
        <v>0.25</v>
      </c>
      <c r="H285" s="14">
        <v>1.36</v>
      </c>
      <c r="I285" s="14">
        <v>5.43</v>
      </c>
      <c r="J285" s="14">
        <v>10.86</v>
      </c>
    </row>
    <row r="286" spans="1:10">
      <c r="A286" t="s">
        <v>146</v>
      </c>
      <c r="B286" t="s">
        <v>134</v>
      </c>
      <c r="C286">
        <v>0</v>
      </c>
      <c r="D286" s="5">
        <v>0</v>
      </c>
      <c r="E286">
        <v>0</v>
      </c>
      <c r="F286">
        <v>0</v>
      </c>
      <c r="G286" s="6">
        <v>0</v>
      </c>
      <c r="H286" s="14">
        <v>0</v>
      </c>
      <c r="I286" s="14">
        <v>0</v>
      </c>
      <c r="J286" s="14">
        <v>0</v>
      </c>
    </row>
    <row r="287" spans="1:10">
      <c r="A287" t="s">
        <v>146</v>
      </c>
      <c r="B287" t="s">
        <v>134</v>
      </c>
      <c r="C287">
        <v>402</v>
      </c>
      <c r="D287" s="5">
        <v>4.48E-2</v>
      </c>
      <c r="E287">
        <v>18</v>
      </c>
      <c r="F287">
        <v>3</v>
      </c>
      <c r="G287" s="6">
        <v>0.16669999999999999</v>
      </c>
      <c r="H287" s="14">
        <v>4.26</v>
      </c>
      <c r="I287" s="14">
        <v>25.54</v>
      </c>
      <c r="J287" s="14">
        <v>76.63</v>
      </c>
    </row>
    <row r="288" spans="1:10">
      <c r="A288" t="s">
        <v>146</v>
      </c>
      <c r="B288" t="s">
        <v>134</v>
      </c>
      <c r="C288">
        <v>1788</v>
      </c>
      <c r="D288" s="5">
        <v>5.3699999999999998E-2</v>
      </c>
      <c r="E288">
        <v>96</v>
      </c>
      <c r="F288">
        <v>8</v>
      </c>
      <c r="G288" s="6">
        <v>8.3299999999999999E-2</v>
      </c>
      <c r="H288" s="14">
        <v>0.5</v>
      </c>
      <c r="I288" s="14">
        <v>5.95</v>
      </c>
      <c r="J288" s="14">
        <v>47.56</v>
      </c>
    </row>
    <row r="289" spans="1:10">
      <c r="A289" t="s">
        <v>146</v>
      </c>
      <c r="B289" t="s">
        <v>136</v>
      </c>
      <c r="C289">
        <v>1235</v>
      </c>
      <c r="D289" s="5">
        <v>6.4799999999999996E-2</v>
      </c>
      <c r="E289">
        <v>80</v>
      </c>
      <c r="F289">
        <v>9</v>
      </c>
      <c r="G289" s="6">
        <v>0.1125</v>
      </c>
      <c r="H289" s="14">
        <v>0.78</v>
      </c>
      <c r="I289" s="14">
        <v>6.95</v>
      </c>
      <c r="J289" s="14">
        <v>62.53</v>
      </c>
    </row>
    <row r="290" spans="1:10">
      <c r="A290" t="s">
        <v>146</v>
      </c>
      <c r="B290" t="s">
        <v>132</v>
      </c>
      <c r="C290">
        <v>2044</v>
      </c>
      <c r="D290" s="5">
        <v>6.9500000000000006E-2</v>
      </c>
      <c r="E290">
        <v>142</v>
      </c>
      <c r="F290">
        <v>17</v>
      </c>
      <c r="G290" s="6">
        <v>0.1197</v>
      </c>
      <c r="H290" s="14">
        <v>0.71</v>
      </c>
      <c r="I290" s="14">
        <v>5.95</v>
      </c>
      <c r="J290" s="14">
        <v>101.14</v>
      </c>
    </row>
    <row r="291" spans="1:10">
      <c r="A291" t="s">
        <v>146</v>
      </c>
      <c r="B291" t="s">
        <v>132</v>
      </c>
      <c r="C291">
        <v>1278</v>
      </c>
      <c r="D291" s="5">
        <v>5.7099999999999998E-2</v>
      </c>
      <c r="E291">
        <v>73</v>
      </c>
      <c r="F291">
        <v>7</v>
      </c>
      <c r="G291" s="6">
        <v>9.5899999999999999E-2</v>
      </c>
      <c r="H291" s="14">
        <v>0.8</v>
      </c>
      <c r="I291" s="14">
        <v>8.3699999999999992</v>
      </c>
      <c r="J291" s="14">
        <v>58.59</v>
      </c>
    </row>
    <row r="292" spans="1:10">
      <c r="A292" t="s">
        <v>146</v>
      </c>
      <c r="B292" t="s">
        <v>132</v>
      </c>
      <c r="C292">
        <v>1015</v>
      </c>
      <c r="D292" s="5">
        <v>5.8099999999999999E-2</v>
      </c>
      <c r="E292">
        <v>59</v>
      </c>
      <c r="F292">
        <v>2</v>
      </c>
      <c r="G292" s="6">
        <v>3.39E-2</v>
      </c>
      <c r="H292" s="14">
        <v>0.38</v>
      </c>
      <c r="I292" s="14">
        <v>11.22</v>
      </c>
      <c r="J292" s="14">
        <v>22.43</v>
      </c>
    </row>
    <row r="293" spans="1:10">
      <c r="A293" t="s">
        <v>64</v>
      </c>
      <c r="B293" t="s">
        <v>134</v>
      </c>
      <c r="C293">
        <v>447</v>
      </c>
      <c r="D293" s="5">
        <v>4.2500000000000003E-2</v>
      </c>
      <c r="E293">
        <v>19</v>
      </c>
      <c r="F293">
        <v>0</v>
      </c>
      <c r="G293" s="6">
        <v>0</v>
      </c>
      <c r="H293" s="14">
        <v>0</v>
      </c>
      <c r="I293" s="14">
        <v>0</v>
      </c>
      <c r="J293" s="14">
        <v>0</v>
      </c>
    </row>
    <row r="294" spans="1:10">
      <c r="A294" t="s">
        <v>64</v>
      </c>
      <c r="B294" t="s">
        <v>134</v>
      </c>
      <c r="C294">
        <v>237</v>
      </c>
      <c r="D294" s="5">
        <v>3.3799999999999997E-2</v>
      </c>
      <c r="E294">
        <v>8</v>
      </c>
      <c r="F294">
        <v>1</v>
      </c>
      <c r="G294" s="6">
        <v>0.125</v>
      </c>
      <c r="H294" s="14">
        <v>0.41</v>
      </c>
      <c r="I294" s="14">
        <v>3.28</v>
      </c>
      <c r="J294" s="14">
        <v>3.28</v>
      </c>
    </row>
    <row r="295" spans="1:10">
      <c r="A295" t="s">
        <v>64</v>
      </c>
      <c r="B295" t="s">
        <v>134</v>
      </c>
      <c r="C295">
        <v>314</v>
      </c>
      <c r="D295" s="5">
        <v>4.7800000000000002E-2</v>
      </c>
      <c r="E295">
        <v>15</v>
      </c>
      <c r="F295">
        <v>1</v>
      </c>
      <c r="G295" s="6">
        <v>6.6699999999999995E-2</v>
      </c>
      <c r="H295" s="14">
        <v>0.4</v>
      </c>
      <c r="I295" s="14">
        <v>5.94</v>
      </c>
      <c r="J295" s="14">
        <v>5.94</v>
      </c>
    </row>
    <row r="296" spans="1:10">
      <c r="A296" t="s">
        <v>64</v>
      </c>
      <c r="B296" t="s">
        <v>134</v>
      </c>
      <c r="C296">
        <v>176</v>
      </c>
      <c r="D296" s="5">
        <v>3.4099999999999998E-2</v>
      </c>
      <c r="E296">
        <v>6</v>
      </c>
      <c r="F296">
        <v>0</v>
      </c>
      <c r="G296" s="6">
        <v>0</v>
      </c>
      <c r="H296" s="14">
        <v>0</v>
      </c>
      <c r="I296" s="14">
        <v>0</v>
      </c>
      <c r="J296" s="14">
        <v>0</v>
      </c>
    </row>
    <row r="297" spans="1:10">
      <c r="A297" t="s">
        <v>64</v>
      </c>
      <c r="B297" t="s">
        <v>134</v>
      </c>
      <c r="C297">
        <v>142</v>
      </c>
      <c r="D297" s="5">
        <v>2.8199999999999999E-2</v>
      </c>
      <c r="E297">
        <v>4</v>
      </c>
      <c r="F297">
        <v>0</v>
      </c>
      <c r="G297" s="6">
        <v>0</v>
      </c>
      <c r="H297" s="14">
        <v>0</v>
      </c>
      <c r="I297" s="14">
        <v>0</v>
      </c>
      <c r="J297" s="14">
        <v>0</v>
      </c>
    </row>
    <row r="298" spans="1:10">
      <c r="A298" t="s">
        <v>64</v>
      </c>
      <c r="B298" t="s">
        <v>134</v>
      </c>
      <c r="C298">
        <v>150</v>
      </c>
      <c r="D298" s="5">
        <v>7.3300000000000004E-2</v>
      </c>
      <c r="E298">
        <v>11</v>
      </c>
      <c r="F298">
        <v>0</v>
      </c>
      <c r="G298" s="6">
        <v>0</v>
      </c>
      <c r="H298" s="14">
        <v>0</v>
      </c>
      <c r="I298" s="14">
        <v>0</v>
      </c>
      <c r="J298" s="14">
        <v>0</v>
      </c>
    </row>
    <row r="299" spans="1:10">
      <c r="A299" t="s">
        <v>55</v>
      </c>
      <c r="B299" t="s">
        <v>142</v>
      </c>
      <c r="C299">
        <v>1461</v>
      </c>
      <c r="D299" s="5">
        <v>4.7199999999999999E-2</v>
      </c>
      <c r="E299">
        <v>69</v>
      </c>
      <c r="F299">
        <v>7</v>
      </c>
      <c r="G299" s="6">
        <v>0.1014</v>
      </c>
      <c r="H299" s="14">
        <v>0.69</v>
      </c>
      <c r="I299" s="14">
        <v>6.8</v>
      </c>
      <c r="J299" s="14">
        <v>47.6</v>
      </c>
    </row>
    <row r="300" spans="1:10">
      <c r="A300" t="s">
        <v>47</v>
      </c>
      <c r="B300" t="s">
        <v>137</v>
      </c>
      <c r="C300">
        <v>1058</v>
      </c>
      <c r="D300" s="5">
        <v>5.5800000000000002E-2</v>
      </c>
      <c r="E300">
        <v>59</v>
      </c>
      <c r="F300">
        <v>5</v>
      </c>
      <c r="G300" s="6">
        <v>8.4699999999999998E-2</v>
      </c>
      <c r="H300" s="14">
        <v>0.39</v>
      </c>
      <c r="I300" s="14">
        <v>4.59</v>
      </c>
      <c r="J300" s="14">
        <v>22.93</v>
      </c>
    </row>
    <row r="301" spans="1:10">
      <c r="A301" t="s">
        <v>47</v>
      </c>
      <c r="B301" t="s">
        <v>139</v>
      </c>
      <c r="C301">
        <v>2072</v>
      </c>
      <c r="D301" s="5">
        <v>4.5400000000000003E-2</v>
      </c>
      <c r="E301">
        <v>94</v>
      </c>
      <c r="F301">
        <v>4</v>
      </c>
      <c r="G301" s="6">
        <v>4.2599999999999999E-2</v>
      </c>
      <c r="H301" s="14">
        <v>0.25</v>
      </c>
      <c r="I301" s="14">
        <v>5.8</v>
      </c>
      <c r="J301" s="14">
        <v>23.21</v>
      </c>
    </row>
    <row r="302" spans="1:10">
      <c r="A302" t="s">
        <v>97</v>
      </c>
      <c r="B302" t="s">
        <v>134</v>
      </c>
      <c r="C302">
        <v>37</v>
      </c>
      <c r="D302" s="5">
        <v>2.7E-2</v>
      </c>
      <c r="E302">
        <v>1</v>
      </c>
      <c r="F302">
        <v>0</v>
      </c>
      <c r="G302" s="6">
        <v>0</v>
      </c>
      <c r="H302" s="14">
        <v>0</v>
      </c>
      <c r="I302" s="14">
        <v>0</v>
      </c>
      <c r="J302" s="14">
        <v>0</v>
      </c>
    </row>
    <row r="303" spans="1:10">
      <c r="A303" t="s">
        <v>47</v>
      </c>
      <c r="B303" t="s">
        <v>134</v>
      </c>
      <c r="C303">
        <v>0</v>
      </c>
      <c r="D303" s="5">
        <v>0</v>
      </c>
      <c r="E303">
        <v>0</v>
      </c>
      <c r="F303">
        <v>0</v>
      </c>
      <c r="G303" s="6">
        <v>0</v>
      </c>
      <c r="H303" s="14">
        <v>0</v>
      </c>
      <c r="I303" s="14">
        <v>0</v>
      </c>
      <c r="J303" s="14">
        <v>0</v>
      </c>
    </row>
    <row r="304" spans="1:10">
      <c r="A304" t="s">
        <v>47</v>
      </c>
      <c r="B304" t="s">
        <v>137</v>
      </c>
      <c r="C304">
        <v>24</v>
      </c>
      <c r="D304" s="5">
        <v>8.3299999999999999E-2</v>
      </c>
      <c r="E304">
        <v>2</v>
      </c>
      <c r="F304">
        <v>0</v>
      </c>
      <c r="G304" s="6">
        <v>0</v>
      </c>
      <c r="H304" s="14">
        <v>0</v>
      </c>
      <c r="I304" s="14">
        <v>0</v>
      </c>
      <c r="J304" s="14">
        <v>0</v>
      </c>
    </row>
    <row r="305" spans="1:10">
      <c r="A305" t="s">
        <v>41</v>
      </c>
      <c r="B305" t="s">
        <v>131</v>
      </c>
      <c r="C305">
        <v>288</v>
      </c>
      <c r="D305" s="5">
        <v>4.1700000000000001E-2</v>
      </c>
      <c r="E305">
        <v>12</v>
      </c>
      <c r="F305">
        <v>3</v>
      </c>
      <c r="G305" s="6">
        <v>0.25</v>
      </c>
      <c r="H305" s="14">
        <v>1.25</v>
      </c>
      <c r="I305" s="14">
        <v>5.01</v>
      </c>
      <c r="J305" s="14">
        <v>15.02</v>
      </c>
    </row>
    <row r="306" spans="1:10">
      <c r="A306" t="s">
        <v>98</v>
      </c>
      <c r="B306" t="s">
        <v>131</v>
      </c>
      <c r="C306">
        <v>219</v>
      </c>
      <c r="D306" s="5">
        <v>3.2000000000000001E-2</v>
      </c>
      <c r="E306">
        <v>7</v>
      </c>
      <c r="F306">
        <v>0</v>
      </c>
      <c r="G306" s="6">
        <v>0</v>
      </c>
      <c r="H306" s="14">
        <v>0</v>
      </c>
      <c r="I306" s="14">
        <v>0</v>
      </c>
      <c r="J306" s="14">
        <v>0</v>
      </c>
    </row>
    <row r="307" spans="1:10">
      <c r="A307" t="s">
        <v>98</v>
      </c>
      <c r="B307" t="s">
        <v>133</v>
      </c>
      <c r="C307">
        <v>424</v>
      </c>
      <c r="D307" s="5">
        <v>3.7699999999999997E-2</v>
      </c>
      <c r="E307">
        <v>16</v>
      </c>
      <c r="F307">
        <v>0</v>
      </c>
      <c r="G307" s="6">
        <v>0</v>
      </c>
      <c r="H307" s="14">
        <v>0</v>
      </c>
      <c r="I307" s="14">
        <v>0</v>
      </c>
      <c r="J307" s="14">
        <v>0</v>
      </c>
    </row>
    <row r="308" spans="1:10">
      <c r="A308" t="s">
        <v>99</v>
      </c>
      <c r="B308" t="s">
        <v>134</v>
      </c>
      <c r="C308">
        <v>591</v>
      </c>
      <c r="D308" s="5">
        <v>3.7199999999999997E-2</v>
      </c>
      <c r="E308">
        <v>22</v>
      </c>
      <c r="F308">
        <v>1</v>
      </c>
      <c r="G308" s="6">
        <v>4.5499999999999999E-2</v>
      </c>
      <c r="H308" s="14">
        <v>0.24</v>
      </c>
      <c r="I308" s="14">
        <v>5.33</v>
      </c>
      <c r="J308" s="14">
        <v>5.33</v>
      </c>
    </row>
    <row r="309" spans="1:10">
      <c r="A309" t="s">
        <v>99</v>
      </c>
      <c r="B309" t="s">
        <v>132</v>
      </c>
      <c r="C309">
        <v>95</v>
      </c>
      <c r="D309" s="5">
        <v>1.0500000000000001E-2</v>
      </c>
      <c r="E309">
        <v>1</v>
      </c>
      <c r="F309">
        <v>0</v>
      </c>
      <c r="G309" s="6">
        <v>0</v>
      </c>
      <c r="H309" s="14">
        <v>0</v>
      </c>
      <c r="I309" s="14">
        <v>0</v>
      </c>
      <c r="J309" s="14">
        <v>0</v>
      </c>
    </row>
    <row r="310" spans="1:10">
      <c r="A310" t="s">
        <v>99</v>
      </c>
      <c r="B310" t="s">
        <v>131</v>
      </c>
      <c r="C310">
        <v>45</v>
      </c>
      <c r="D310" s="5">
        <v>2.2200000000000001E-2</v>
      </c>
      <c r="E310">
        <v>1</v>
      </c>
      <c r="F310">
        <v>0</v>
      </c>
      <c r="G310" s="6">
        <v>0</v>
      </c>
      <c r="H310" s="14">
        <v>0</v>
      </c>
      <c r="I310" s="14">
        <v>0</v>
      </c>
      <c r="J310" s="14">
        <v>0</v>
      </c>
    </row>
    <row r="311" spans="1:10">
      <c r="A311" t="s">
        <v>99</v>
      </c>
      <c r="B311" t="s">
        <v>143</v>
      </c>
      <c r="C311">
        <v>40</v>
      </c>
      <c r="D311" s="5">
        <v>7.4999999999999997E-2</v>
      </c>
      <c r="E311">
        <v>3</v>
      </c>
      <c r="F311">
        <v>0</v>
      </c>
      <c r="G311" s="6">
        <v>0</v>
      </c>
      <c r="H311" s="14">
        <v>0</v>
      </c>
      <c r="I311" s="14">
        <v>0</v>
      </c>
      <c r="J311" s="14">
        <v>0</v>
      </c>
    </row>
    <row r="312" spans="1:10">
      <c r="A312" t="s">
        <v>42</v>
      </c>
      <c r="B312" t="s">
        <v>134</v>
      </c>
      <c r="C312">
        <v>599</v>
      </c>
      <c r="D312" s="5">
        <v>7.1800000000000003E-2</v>
      </c>
      <c r="E312">
        <v>43</v>
      </c>
      <c r="F312">
        <v>1</v>
      </c>
      <c r="G312" s="6">
        <v>2.3300000000000001E-2</v>
      </c>
      <c r="H312" s="14">
        <v>0.17</v>
      </c>
      <c r="I312" s="14">
        <v>7.28</v>
      </c>
      <c r="J312" s="14">
        <v>7.28</v>
      </c>
    </row>
    <row r="313" spans="1:10">
      <c r="A313" t="s">
        <v>42</v>
      </c>
      <c r="B313" t="s">
        <v>134</v>
      </c>
      <c r="C313">
        <v>1422</v>
      </c>
      <c r="D313" s="5">
        <v>0.10059999999999999</v>
      </c>
      <c r="E313">
        <v>143</v>
      </c>
      <c r="F313">
        <v>9</v>
      </c>
      <c r="G313" s="6">
        <v>6.2899999999999998E-2</v>
      </c>
      <c r="H313" s="14">
        <v>0.37</v>
      </c>
      <c r="I313" s="14">
        <v>5.89</v>
      </c>
      <c r="J313" s="14">
        <v>53.02</v>
      </c>
    </row>
    <row r="314" spans="1:10">
      <c r="A314" t="s">
        <v>42</v>
      </c>
      <c r="B314" t="s">
        <v>133</v>
      </c>
      <c r="C314">
        <v>2018</v>
      </c>
      <c r="D314" s="5">
        <v>0.1031</v>
      </c>
      <c r="E314">
        <v>208</v>
      </c>
      <c r="F314">
        <v>10</v>
      </c>
      <c r="G314" s="6">
        <v>4.8099999999999997E-2</v>
      </c>
      <c r="H314" s="14">
        <v>0.35</v>
      </c>
      <c r="I314" s="14">
        <v>7.19</v>
      </c>
      <c r="J314" s="14">
        <v>71.900000000000006</v>
      </c>
    </row>
    <row r="315" spans="1:10">
      <c r="A315" t="s">
        <v>42</v>
      </c>
      <c r="B315" t="s">
        <v>133</v>
      </c>
      <c r="C315">
        <v>462</v>
      </c>
      <c r="D315" s="5">
        <v>9.9599999999999994E-2</v>
      </c>
      <c r="E315">
        <v>46</v>
      </c>
      <c r="F315">
        <v>2</v>
      </c>
      <c r="G315" s="6">
        <v>4.3499999999999997E-2</v>
      </c>
      <c r="H315" s="14">
        <v>0.34</v>
      </c>
      <c r="I315" s="14">
        <v>7.78</v>
      </c>
      <c r="J315" s="14">
        <v>15.55</v>
      </c>
    </row>
    <row r="316" spans="1:10">
      <c r="A316" t="s">
        <v>42</v>
      </c>
      <c r="B316" t="s">
        <v>133</v>
      </c>
      <c r="C316">
        <v>1045</v>
      </c>
      <c r="D316" s="5">
        <v>0.1167</v>
      </c>
      <c r="E316">
        <v>122</v>
      </c>
      <c r="F316">
        <v>5</v>
      </c>
      <c r="G316" s="6">
        <v>4.1000000000000002E-2</v>
      </c>
      <c r="H316" s="14">
        <v>0.25</v>
      </c>
      <c r="I316" s="14">
        <v>6.21</v>
      </c>
      <c r="J316" s="14">
        <v>31.05</v>
      </c>
    </row>
    <row r="317" spans="1:10">
      <c r="A317" t="s">
        <v>42</v>
      </c>
      <c r="B317" t="s">
        <v>145</v>
      </c>
      <c r="C317">
        <v>3137</v>
      </c>
      <c r="D317" s="5">
        <v>0.1014</v>
      </c>
      <c r="E317">
        <v>318</v>
      </c>
      <c r="F317">
        <v>7</v>
      </c>
      <c r="G317" s="6">
        <v>2.1999999999999999E-2</v>
      </c>
      <c r="H317" s="14">
        <v>0.18</v>
      </c>
      <c r="I317" s="14">
        <v>8.14</v>
      </c>
      <c r="J317" s="14">
        <v>56.97</v>
      </c>
    </row>
    <row r="318" spans="1:10">
      <c r="A318" t="s">
        <v>42</v>
      </c>
      <c r="B318" t="s">
        <v>136</v>
      </c>
      <c r="C318">
        <v>1443</v>
      </c>
      <c r="D318" s="5">
        <v>0.1074</v>
      </c>
      <c r="E318">
        <v>155</v>
      </c>
      <c r="F318">
        <v>11</v>
      </c>
      <c r="G318" s="6">
        <v>7.0999999999999994E-2</v>
      </c>
      <c r="H318" s="14">
        <v>0.61</v>
      </c>
      <c r="I318" s="14">
        <v>8.57</v>
      </c>
      <c r="J318" s="14">
        <v>94.28</v>
      </c>
    </row>
    <row r="319" spans="1:10">
      <c r="A319" t="s">
        <v>42</v>
      </c>
      <c r="B319" t="s">
        <v>131</v>
      </c>
      <c r="C319">
        <v>1278</v>
      </c>
      <c r="D319" s="5">
        <v>8.6900000000000005E-2</v>
      </c>
      <c r="E319">
        <v>111</v>
      </c>
      <c r="F319">
        <v>4</v>
      </c>
      <c r="G319" s="6">
        <v>3.5999999999999997E-2</v>
      </c>
      <c r="H319" s="14">
        <v>0.26</v>
      </c>
      <c r="I319" s="14">
        <v>7.14</v>
      </c>
      <c r="J319" s="14">
        <v>28.57</v>
      </c>
    </row>
    <row r="320" spans="1:10">
      <c r="A320" t="s">
        <v>42</v>
      </c>
      <c r="B320" t="s">
        <v>131</v>
      </c>
      <c r="C320">
        <v>663</v>
      </c>
      <c r="D320" s="5">
        <v>9.9500000000000005E-2</v>
      </c>
      <c r="E320">
        <v>66</v>
      </c>
      <c r="F320">
        <v>7</v>
      </c>
      <c r="G320" s="6">
        <v>0.1061</v>
      </c>
      <c r="H320" s="14">
        <v>0.85</v>
      </c>
      <c r="I320" s="14">
        <v>7.98</v>
      </c>
      <c r="J320" s="14">
        <v>55.85</v>
      </c>
    </row>
    <row r="321" spans="1:10">
      <c r="A321" t="s">
        <v>42</v>
      </c>
      <c r="B321" t="s">
        <v>131</v>
      </c>
      <c r="C321">
        <v>1226</v>
      </c>
      <c r="D321" s="5">
        <v>0.1028</v>
      </c>
      <c r="E321">
        <v>126</v>
      </c>
      <c r="F321">
        <v>3</v>
      </c>
      <c r="G321" s="6">
        <v>2.3800000000000002E-2</v>
      </c>
      <c r="H321" s="14">
        <v>0.15</v>
      </c>
      <c r="I321" s="14">
        <v>6.18</v>
      </c>
      <c r="J321" s="14">
        <v>18.53</v>
      </c>
    </row>
    <row r="322" spans="1:10">
      <c r="A322" t="s">
        <v>59</v>
      </c>
      <c r="B322" t="s">
        <v>134</v>
      </c>
      <c r="C322">
        <v>4683</v>
      </c>
      <c r="D322" s="5">
        <v>6.9400000000000003E-2</v>
      </c>
      <c r="E322">
        <v>325</v>
      </c>
      <c r="F322">
        <v>10</v>
      </c>
      <c r="G322" s="6">
        <v>3.0800000000000001E-2</v>
      </c>
      <c r="H322" s="14">
        <v>0.22</v>
      </c>
      <c r="I322" s="14">
        <v>7.08</v>
      </c>
      <c r="J322" s="14">
        <v>70.8</v>
      </c>
    </row>
    <row r="323" spans="1:10">
      <c r="A323" t="s">
        <v>59</v>
      </c>
      <c r="B323" t="s">
        <v>134</v>
      </c>
      <c r="C323">
        <v>718</v>
      </c>
      <c r="D323" s="5">
        <v>7.3800000000000004E-2</v>
      </c>
      <c r="E323">
        <v>53</v>
      </c>
      <c r="F323">
        <v>4</v>
      </c>
      <c r="G323" s="6">
        <v>7.5499999999999998E-2</v>
      </c>
      <c r="H323" s="14">
        <v>0.63</v>
      </c>
      <c r="I323" s="14">
        <v>8.39</v>
      </c>
      <c r="J323" s="14">
        <v>33.549999999999997</v>
      </c>
    </row>
    <row r="324" spans="1:10">
      <c r="A324" t="s">
        <v>100</v>
      </c>
      <c r="B324" t="s">
        <v>134</v>
      </c>
      <c r="C324">
        <v>2</v>
      </c>
      <c r="D324" s="5">
        <v>0</v>
      </c>
      <c r="E324">
        <v>0</v>
      </c>
      <c r="F324">
        <v>0</v>
      </c>
      <c r="G324" s="6">
        <v>0</v>
      </c>
      <c r="H324" s="14">
        <v>0</v>
      </c>
      <c r="I324" s="14">
        <v>0</v>
      </c>
      <c r="J324" s="14">
        <v>0</v>
      </c>
    </row>
    <row r="325" spans="1:10">
      <c r="A325" t="s">
        <v>101</v>
      </c>
      <c r="B325" t="s">
        <v>134</v>
      </c>
      <c r="C325">
        <v>898</v>
      </c>
      <c r="D325" s="5">
        <v>2.5600000000000001E-2</v>
      </c>
      <c r="E325">
        <v>23</v>
      </c>
      <c r="F325">
        <v>3</v>
      </c>
      <c r="G325" s="6">
        <v>0.13039999999999999</v>
      </c>
      <c r="H325" s="14">
        <v>0.73</v>
      </c>
      <c r="I325" s="14">
        <v>5.59</v>
      </c>
      <c r="J325" s="14">
        <v>16.77</v>
      </c>
    </row>
    <row r="326" spans="1:10">
      <c r="A326" t="s">
        <v>101</v>
      </c>
      <c r="B326" t="s">
        <v>134</v>
      </c>
      <c r="C326">
        <v>218</v>
      </c>
      <c r="D326" s="5">
        <v>9.1999999999999998E-3</v>
      </c>
      <c r="E326">
        <v>2</v>
      </c>
      <c r="F326">
        <v>1</v>
      </c>
      <c r="G326" s="6">
        <v>0.5</v>
      </c>
      <c r="H326" s="14">
        <v>4.49</v>
      </c>
      <c r="I326" s="14">
        <v>8.9700000000000006</v>
      </c>
      <c r="J326" s="14">
        <v>8.9700000000000006</v>
      </c>
    </row>
    <row r="327" spans="1:10">
      <c r="A327" t="s">
        <v>102</v>
      </c>
      <c r="B327" t="s">
        <v>134</v>
      </c>
      <c r="C327">
        <v>2215</v>
      </c>
      <c r="D327" s="5">
        <v>4.2900000000000001E-2</v>
      </c>
      <c r="E327">
        <v>95</v>
      </c>
      <c r="F327">
        <v>11</v>
      </c>
      <c r="G327" s="6">
        <v>0.1158</v>
      </c>
      <c r="H327" s="14">
        <v>0.93</v>
      </c>
      <c r="I327" s="14">
        <v>8.01</v>
      </c>
      <c r="J327" s="14">
        <v>88.13</v>
      </c>
    </row>
    <row r="328" spans="1:10">
      <c r="A328" t="s">
        <v>102</v>
      </c>
      <c r="B328" t="s">
        <v>134</v>
      </c>
      <c r="C328">
        <v>455</v>
      </c>
      <c r="D328" s="5">
        <v>3.5200000000000002E-2</v>
      </c>
      <c r="E328">
        <v>16</v>
      </c>
      <c r="F328">
        <v>2</v>
      </c>
      <c r="G328" s="6">
        <v>0.125</v>
      </c>
      <c r="H328" s="14">
        <v>1.1599999999999999</v>
      </c>
      <c r="I328" s="14">
        <v>9.31</v>
      </c>
      <c r="J328" s="14">
        <v>18.62</v>
      </c>
    </row>
    <row r="329" spans="1:10">
      <c r="A329" t="s">
        <v>102</v>
      </c>
      <c r="B329" t="s">
        <v>131</v>
      </c>
      <c r="C329">
        <v>26</v>
      </c>
      <c r="D329" s="5">
        <v>0</v>
      </c>
      <c r="E329">
        <v>0</v>
      </c>
      <c r="F329">
        <v>0</v>
      </c>
      <c r="G329" s="6">
        <v>0</v>
      </c>
      <c r="H329" s="14">
        <v>0</v>
      </c>
      <c r="I329" s="14">
        <v>0</v>
      </c>
      <c r="J329" s="14">
        <v>0</v>
      </c>
    </row>
    <row r="330" spans="1:10">
      <c r="A330" t="s">
        <v>103</v>
      </c>
      <c r="B330" t="s">
        <v>147</v>
      </c>
      <c r="C330">
        <v>740</v>
      </c>
      <c r="D330" s="5">
        <v>6.6199999999999995E-2</v>
      </c>
      <c r="E330">
        <v>49</v>
      </c>
      <c r="F330">
        <v>3</v>
      </c>
      <c r="G330" s="6">
        <v>6.1199999999999997E-2</v>
      </c>
      <c r="H330" s="14">
        <v>0.52</v>
      </c>
      <c r="I330" s="14">
        <v>8.44</v>
      </c>
      <c r="J330" s="14">
        <v>25.32</v>
      </c>
    </row>
    <row r="331" spans="1:10">
      <c r="A331" t="s">
        <v>104</v>
      </c>
      <c r="B331" t="s">
        <v>142</v>
      </c>
      <c r="C331">
        <v>0</v>
      </c>
      <c r="D331" s="5">
        <v>0</v>
      </c>
      <c r="E331">
        <v>0</v>
      </c>
      <c r="F331">
        <v>0</v>
      </c>
      <c r="G331" s="6">
        <v>0</v>
      </c>
      <c r="H331" s="14">
        <v>0</v>
      </c>
      <c r="I331" s="14">
        <v>0</v>
      </c>
      <c r="J331" s="14">
        <v>0</v>
      </c>
    </row>
    <row r="332" spans="1:10">
      <c r="A332" t="s">
        <v>105</v>
      </c>
      <c r="B332" t="s">
        <v>131</v>
      </c>
      <c r="C332">
        <v>307</v>
      </c>
      <c r="D332" s="5">
        <v>4.8899999999999999E-2</v>
      </c>
      <c r="E332">
        <v>15</v>
      </c>
      <c r="F332">
        <v>0</v>
      </c>
      <c r="G332" s="6">
        <v>0</v>
      </c>
      <c r="H332" s="14">
        <v>0</v>
      </c>
      <c r="I332" s="14">
        <v>0</v>
      </c>
      <c r="J332" s="14">
        <v>0</v>
      </c>
    </row>
    <row r="333" spans="1:10">
      <c r="A333" t="s">
        <v>106</v>
      </c>
      <c r="B333" t="s">
        <v>133</v>
      </c>
      <c r="C333">
        <v>365</v>
      </c>
      <c r="D333" s="5">
        <v>3.56E-2</v>
      </c>
      <c r="E333">
        <v>13</v>
      </c>
      <c r="F333">
        <v>1</v>
      </c>
      <c r="G333" s="6">
        <v>7.6899999999999996E-2</v>
      </c>
      <c r="H333" s="14">
        <v>0.9</v>
      </c>
      <c r="I333" s="14">
        <v>11.68</v>
      </c>
      <c r="J333" s="14">
        <v>11.68</v>
      </c>
    </row>
    <row r="334" spans="1:10">
      <c r="A334" t="s">
        <v>106</v>
      </c>
      <c r="B334" t="s">
        <v>131</v>
      </c>
      <c r="C334">
        <v>105</v>
      </c>
      <c r="D334" s="5">
        <v>6.6699999999999995E-2</v>
      </c>
      <c r="E334">
        <v>7</v>
      </c>
      <c r="F334">
        <v>0</v>
      </c>
      <c r="G334" s="6">
        <v>0</v>
      </c>
      <c r="H334" s="14">
        <v>0</v>
      </c>
      <c r="I334" s="14">
        <v>0</v>
      </c>
      <c r="J334" s="14">
        <v>0</v>
      </c>
    </row>
    <row r="335" spans="1:10">
      <c r="A335" t="s">
        <v>39</v>
      </c>
      <c r="B335" t="s">
        <v>134</v>
      </c>
      <c r="C335">
        <v>0</v>
      </c>
      <c r="D335" s="5">
        <v>0</v>
      </c>
      <c r="E335">
        <v>0</v>
      </c>
      <c r="F335">
        <v>0</v>
      </c>
      <c r="G335" s="6">
        <v>0</v>
      </c>
      <c r="H335" s="14">
        <v>0</v>
      </c>
      <c r="I335" s="14">
        <v>0</v>
      </c>
      <c r="J335" s="14">
        <v>0</v>
      </c>
    </row>
    <row r="336" spans="1:10">
      <c r="A336" t="s">
        <v>39</v>
      </c>
      <c r="B336" t="s">
        <v>134</v>
      </c>
      <c r="C336">
        <v>569</v>
      </c>
      <c r="D336" s="5">
        <v>5.0999999999999997E-2</v>
      </c>
      <c r="E336">
        <v>29</v>
      </c>
      <c r="F336">
        <v>2</v>
      </c>
      <c r="G336" s="6">
        <v>6.9000000000000006E-2</v>
      </c>
      <c r="H336" s="14">
        <v>0.12</v>
      </c>
      <c r="I336" s="14">
        <v>1.7</v>
      </c>
      <c r="J336" s="14">
        <v>3.4</v>
      </c>
    </row>
    <row r="337" spans="1:10">
      <c r="A337" t="s">
        <v>39</v>
      </c>
      <c r="B337" t="s">
        <v>134</v>
      </c>
      <c r="C337">
        <v>1278</v>
      </c>
      <c r="D337" s="5">
        <v>2.35E-2</v>
      </c>
      <c r="E337">
        <v>30</v>
      </c>
      <c r="F337">
        <v>0</v>
      </c>
      <c r="G337" s="6">
        <v>0</v>
      </c>
      <c r="H337" s="14">
        <v>0</v>
      </c>
      <c r="I337" s="14">
        <v>0</v>
      </c>
      <c r="J337" s="14">
        <v>0</v>
      </c>
    </row>
    <row r="338" spans="1:10">
      <c r="A338" t="s">
        <v>39</v>
      </c>
      <c r="B338" t="s">
        <v>134</v>
      </c>
      <c r="C338">
        <v>224</v>
      </c>
      <c r="D338" s="5">
        <v>8.8999999999999999E-3</v>
      </c>
      <c r="E338">
        <v>2</v>
      </c>
      <c r="F338">
        <v>0</v>
      </c>
      <c r="G338" s="6">
        <v>0</v>
      </c>
      <c r="H338" s="14">
        <v>0</v>
      </c>
      <c r="I338" s="14">
        <v>0</v>
      </c>
      <c r="J338" s="14">
        <v>0</v>
      </c>
    </row>
    <row r="339" spans="1:10">
      <c r="A339" t="s">
        <v>39</v>
      </c>
      <c r="B339" t="s">
        <v>134</v>
      </c>
      <c r="C339">
        <v>1106</v>
      </c>
      <c r="D339" s="5">
        <v>4.7E-2</v>
      </c>
      <c r="E339">
        <v>52</v>
      </c>
      <c r="F339">
        <v>5</v>
      </c>
      <c r="G339" s="6">
        <v>9.6199999999999994E-2</v>
      </c>
      <c r="H339" s="14">
        <v>0.7</v>
      </c>
      <c r="I339" s="14">
        <v>7.26</v>
      </c>
      <c r="J339" s="14">
        <v>36.28</v>
      </c>
    </row>
    <row r="340" spans="1:10">
      <c r="A340" t="s">
        <v>39</v>
      </c>
      <c r="B340" t="s">
        <v>134</v>
      </c>
      <c r="C340">
        <v>951</v>
      </c>
      <c r="D340" s="5">
        <v>5.2600000000000001E-2</v>
      </c>
      <c r="E340">
        <v>50</v>
      </c>
      <c r="F340">
        <v>4</v>
      </c>
      <c r="G340" s="6">
        <v>0.08</v>
      </c>
      <c r="H340" s="14">
        <v>0.73</v>
      </c>
      <c r="I340" s="14">
        <v>9.07</v>
      </c>
      <c r="J340" s="14">
        <v>36.29</v>
      </c>
    </row>
    <row r="341" spans="1:10">
      <c r="A341" t="s">
        <v>39</v>
      </c>
      <c r="B341" t="s">
        <v>134</v>
      </c>
      <c r="C341">
        <v>304</v>
      </c>
      <c r="D341" s="5">
        <v>3.6200000000000003E-2</v>
      </c>
      <c r="E341">
        <v>11</v>
      </c>
      <c r="F341">
        <v>0</v>
      </c>
      <c r="G341" s="6">
        <v>0</v>
      </c>
      <c r="H341" s="14">
        <v>0</v>
      </c>
      <c r="I341" s="14">
        <v>0</v>
      </c>
      <c r="J341" s="14">
        <v>0</v>
      </c>
    </row>
    <row r="342" spans="1:10">
      <c r="A342" t="s">
        <v>39</v>
      </c>
      <c r="B342" t="s">
        <v>134</v>
      </c>
      <c r="C342">
        <v>316</v>
      </c>
      <c r="D342" s="5">
        <v>4.4299999999999999E-2</v>
      </c>
      <c r="E342">
        <v>14</v>
      </c>
      <c r="F342">
        <v>0</v>
      </c>
      <c r="G342" s="6">
        <v>0</v>
      </c>
      <c r="H342" s="14">
        <v>0</v>
      </c>
      <c r="I342" s="14">
        <v>0</v>
      </c>
      <c r="J342" s="14">
        <v>0</v>
      </c>
    </row>
    <row r="343" spans="1:10">
      <c r="A343" t="s">
        <v>39</v>
      </c>
      <c r="B343" t="s">
        <v>134</v>
      </c>
      <c r="C343">
        <v>266</v>
      </c>
      <c r="D343" s="5">
        <v>4.1399999999999999E-2</v>
      </c>
      <c r="E343">
        <v>11</v>
      </c>
      <c r="F343">
        <v>1</v>
      </c>
      <c r="G343" s="6">
        <v>9.0899999999999995E-2</v>
      </c>
      <c r="H343" s="14">
        <v>0.41</v>
      </c>
      <c r="I343" s="14">
        <v>4.54</v>
      </c>
      <c r="J343" s="14">
        <v>4.54</v>
      </c>
    </row>
    <row r="344" spans="1:10">
      <c r="A344" t="s">
        <v>39</v>
      </c>
      <c r="B344" t="s">
        <v>134</v>
      </c>
      <c r="C344">
        <v>1192</v>
      </c>
      <c r="D344" s="5">
        <v>2.6800000000000001E-2</v>
      </c>
      <c r="E344">
        <v>32</v>
      </c>
      <c r="F344">
        <v>0</v>
      </c>
      <c r="G344" s="6">
        <v>0</v>
      </c>
      <c r="H344" s="14">
        <v>0</v>
      </c>
      <c r="I344" s="14">
        <v>0</v>
      </c>
      <c r="J344" s="14">
        <v>0</v>
      </c>
    </row>
    <row r="345" spans="1:10">
      <c r="A345" t="s">
        <v>39</v>
      </c>
      <c r="B345" t="s">
        <v>134</v>
      </c>
      <c r="C345">
        <v>228</v>
      </c>
      <c r="D345" s="5">
        <v>3.0700000000000002E-2</v>
      </c>
      <c r="E345">
        <v>7</v>
      </c>
      <c r="F345">
        <v>0</v>
      </c>
      <c r="G345" s="6">
        <v>0</v>
      </c>
      <c r="H345" s="14">
        <v>0</v>
      </c>
      <c r="I345" s="14">
        <v>0</v>
      </c>
      <c r="J345" s="14">
        <v>0</v>
      </c>
    </row>
    <row r="346" spans="1:10">
      <c r="A346" t="s">
        <v>39</v>
      </c>
      <c r="B346" t="s">
        <v>134</v>
      </c>
      <c r="C346">
        <v>325</v>
      </c>
      <c r="D346" s="5">
        <v>3.6900000000000002E-2</v>
      </c>
      <c r="E346">
        <v>12</v>
      </c>
      <c r="F346">
        <v>0</v>
      </c>
      <c r="G346" s="6">
        <v>0</v>
      </c>
      <c r="H346" s="14">
        <v>0</v>
      </c>
      <c r="I346" s="14">
        <v>0</v>
      </c>
      <c r="J346" s="14">
        <v>0</v>
      </c>
    </row>
    <row r="347" spans="1:10">
      <c r="A347" t="s">
        <v>39</v>
      </c>
      <c r="B347" t="s">
        <v>136</v>
      </c>
      <c r="C347">
        <v>0</v>
      </c>
      <c r="D347" s="5">
        <v>0</v>
      </c>
      <c r="E347">
        <v>0</v>
      </c>
      <c r="F347">
        <v>0</v>
      </c>
      <c r="G347" s="6">
        <v>0</v>
      </c>
      <c r="H347" s="14">
        <v>0</v>
      </c>
      <c r="I347" s="14">
        <v>0</v>
      </c>
      <c r="J347" s="14">
        <v>0</v>
      </c>
    </row>
    <row r="348" spans="1:10">
      <c r="A348" t="s">
        <v>39</v>
      </c>
      <c r="B348" t="s">
        <v>136</v>
      </c>
      <c r="C348">
        <v>493</v>
      </c>
      <c r="D348" s="5">
        <v>9.9400000000000002E-2</v>
      </c>
      <c r="E348">
        <v>49</v>
      </c>
      <c r="F348">
        <v>3</v>
      </c>
      <c r="G348" s="6">
        <v>6.1199999999999997E-2</v>
      </c>
      <c r="H348" s="14">
        <v>0.49</v>
      </c>
      <c r="I348" s="14">
        <v>7.98</v>
      </c>
      <c r="J348" s="14">
        <v>23.94</v>
      </c>
    </row>
    <row r="349" spans="1:10">
      <c r="A349" t="s">
        <v>39</v>
      </c>
      <c r="B349" t="s">
        <v>131</v>
      </c>
      <c r="C349">
        <v>0</v>
      </c>
      <c r="D349" s="5">
        <v>0</v>
      </c>
      <c r="E349">
        <v>0</v>
      </c>
      <c r="F349">
        <v>0</v>
      </c>
      <c r="G349" s="6">
        <v>0</v>
      </c>
      <c r="H349" s="14">
        <v>0</v>
      </c>
      <c r="I349" s="14">
        <v>0</v>
      </c>
      <c r="J349" s="14">
        <v>0</v>
      </c>
    </row>
    <row r="350" spans="1:10">
      <c r="A350" t="s">
        <v>39</v>
      </c>
      <c r="B350" t="s">
        <v>131</v>
      </c>
      <c r="C350">
        <v>603</v>
      </c>
      <c r="D350" s="5">
        <v>7.7899999999999997E-2</v>
      </c>
      <c r="E350">
        <v>47</v>
      </c>
      <c r="F350">
        <v>3</v>
      </c>
      <c r="G350" s="6">
        <v>6.3799999999999996E-2</v>
      </c>
      <c r="H350" s="14">
        <v>0.3</v>
      </c>
      <c r="I350" s="14">
        <v>4.74</v>
      </c>
      <c r="J350" s="14">
        <v>14.23</v>
      </c>
    </row>
    <row r="351" spans="1:10">
      <c r="A351" t="s">
        <v>63</v>
      </c>
      <c r="B351" t="s">
        <v>144</v>
      </c>
      <c r="C351">
        <v>0</v>
      </c>
      <c r="D351" s="5">
        <v>0</v>
      </c>
      <c r="E351">
        <v>0</v>
      </c>
      <c r="F351">
        <v>0</v>
      </c>
      <c r="G351" s="6">
        <v>0</v>
      </c>
      <c r="H351" s="14">
        <v>0</v>
      </c>
      <c r="I351" s="14">
        <v>0</v>
      </c>
      <c r="J351" s="14">
        <v>0</v>
      </c>
    </row>
    <row r="352" spans="1:10">
      <c r="A352" t="s">
        <v>63</v>
      </c>
      <c r="B352" t="s">
        <v>144</v>
      </c>
      <c r="C352">
        <v>45</v>
      </c>
      <c r="D352" s="5">
        <v>6.6699999999999995E-2</v>
      </c>
      <c r="E352">
        <v>3</v>
      </c>
      <c r="F352">
        <v>0</v>
      </c>
      <c r="G352" s="6">
        <v>0</v>
      </c>
      <c r="H352" s="14">
        <v>0</v>
      </c>
      <c r="I352" s="14">
        <v>0</v>
      </c>
      <c r="J352" s="14">
        <v>0</v>
      </c>
    </row>
    <row r="353" spans="1:10">
      <c r="A353" t="s">
        <v>63</v>
      </c>
      <c r="B353" t="s">
        <v>144</v>
      </c>
      <c r="C353">
        <v>120</v>
      </c>
      <c r="D353" s="5">
        <v>0.05</v>
      </c>
      <c r="E353">
        <v>6</v>
      </c>
      <c r="F353">
        <v>1</v>
      </c>
      <c r="G353" s="6">
        <v>0.16669999999999999</v>
      </c>
      <c r="H353" s="14">
        <v>0.96</v>
      </c>
      <c r="I353" s="14">
        <v>5.74</v>
      </c>
      <c r="J353" s="14">
        <v>5.74</v>
      </c>
    </row>
    <row r="354" spans="1:10">
      <c r="A354" t="s">
        <v>148</v>
      </c>
      <c r="B354" t="s">
        <v>131</v>
      </c>
      <c r="C354">
        <v>875</v>
      </c>
      <c r="D354" s="5">
        <v>3.3099999999999997E-2</v>
      </c>
      <c r="E354">
        <v>29</v>
      </c>
      <c r="F354">
        <v>4</v>
      </c>
      <c r="G354" s="6">
        <v>0.13789999999999999</v>
      </c>
      <c r="H354" s="14">
        <v>1.1499999999999999</v>
      </c>
      <c r="I354" s="14">
        <v>8.31</v>
      </c>
      <c r="J354" s="14">
        <v>33.22</v>
      </c>
    </row>
    <row r="355" spans="1:10">
      <c r="A355" t="s">
        <v>50</v>
      </c>
      <c r="B355" t="s">
        <v>134</v>
      </c>
      <c r="C355">
        <v>641</v>
      </c>
      <c r="D355" s="5">
        <v>4.3700000000000003E-2</v>
      </c>
      <c r="E355">
        <v>28</v>
      </c>
      <c r="F355">
        <v>4</v>
      </c>
      <c r="G355" s="6">
        <v>0.1429</v>
      </c>
      <c r="H355" s="14">
        <v>1.42</v>
      </c>
      <c r="I355" s="14">
        <v>9.9700000000000006</v>
      </c>
      <c r="J355" s="14">
        <v>39.869999999999997</v>
      </c>
    </row>
    <row r="356" spans="1:10">
      <c r="A356" t="s">
        <v>50</v>
      </c>
      <c r="B356" t="s">
        <v>134</v>
      </c>
      <c r="C356">
        <v>117</v>
      </c>
      <c r="D356" s="5">
        <v>5.1299999999999998E-2</v>
      </c>
      <c r="E356">
        <v>6</v>
      </c>
      <c r="F356">
        <v>1</v>
      </c>
      <c r="G356" s="6">
        <v>0.16669999999999999</v>
      </c>
      <c r="H356" s="14">
        <v>1.63</v>
      </c>
      <c r="I356" s="14">
        <v>9.7899999999999991</v>
      </c>
      <c r="J356" s="14">
        <v>9.7899999999999991</v>
      </c>
    </row>
    <row r="357" spans="1:10">
      <c r="A357" t="s">
        <v>50</v>
      </c>
      <c r="B357" t="s">
        <v>134</v>
      </c>
      <c r="C357">
        <v>232</v>
      </c>
      <c r="D357" s="5">
        <v>9.0499999999999997E-2</v>
      </c>
      <c r="E357">
        <v>21</v>
      </c>
      <c r="F357">
        <v>3</v>
      </c>
      <c r="G357" s="6">
        <v>0.1429</v>
      </c>
      <c r="H357" s="14">
        <v>1.35</v>
      </c>
      <c r="I357" s="14">
        <v>9.4600000000000009</v>
      </c>
      <c r="J357" s="14">
        <v>28.38</v>
      </c>
    </row>
    <row r="358" spans="1:10">
      <c r="A358" t="s">
        <v>50</v>
      </c>
      <c r="B358" t="s">
        <v>134</v>
      </c>
      <c r="C358">
        <v>362</v>
      </c>
      <c r="D358" s="5">
        <v>7.7299999999999994E-2</v>
      </c>
      <c r="E358">
        <v>28</v>
      </c>
      <c r="F358">
        <v>1</v>
      </c>
      <c r="G358" s="6">
        <v>3.5700000000000003E-2</v>
      </c>
      <c r="H358" s="14">
        <v>0.32</v>
      </c>
      <c r="I358" s="14">
        <v>8.82</v>
      </c>
      <c r="J358" s="14">
        <v>8.82</v>
      </c>
    </row>
    <row r="359" spans="1:10">
      <c r="A359" t="s">
        <v>50</v>
      </c>
      <c r="B359" t="s">
        <v>134</v>
      </c>
      <c r="C359">
        <v>244</v>
      </c>
      <c r="D359" s="5">
        <v>0.11070000000000001</v>
      </c>
      <c r="E359">
        <v>27</v>
      </c>
      <c r="F359">
        <v>2</v>
      </c>
      <c r="G359" s="6">
        <v>7.4099999999999999E-2</v>
      </c>
      <c r="H359" s="14">
        <v>0.35</v>
      </c>
      <c r="I359" s="14">
        <v>4.78</v>
      </c>
      <c r="J359" s="14">
        <v>9.5500000000000007</v>
      </c>
    </row>
    <row r="360" spans="1:10">
      <c r="A360" t="s">
        <v>50</v>
      </c>
      <c r="B360" t="s">
        <v>134</v>
      </c>
      <c r="C360">
        <v>173</v>
      </c>
      <c r="D360" s="5">
        <v>8.6699999999999999E-2</v>
      </c>
      <c r="E360">
        <v>15</v>
      </c>
      <c r="F360">
        <v>1</v>
      </c>
      <c r="G360" s="6">
        <v>6.6699999999999995E-2</v>
      </c>
      <c r="H360" s="14">
        <v>0.34</v>
      </c>
      <c r="I360" s="14">
        <v>5.04</v>
      </c>
      <c r="J360" s="14">
        <v>5.04</v>
      </c>
    </row>
    <row r="361" spans="1:10">
      <c r="A361" t="s">
        <v>50</v>
      </c>
      <c r="B361" t="s">
        <v>134</v>
      </c>
      <c r="C361">
        <v>54</v>
      </c>
      <c r="D361" s="5">
        <v>5.5599999999999997E-2</v>
      </c>
      <c r="E361">
        <v>3</v>
      </c>
      <c r="F361">
        <v>0</v>
      </c>
      <c r="G361" s="6">
        <v>0</v>
      </c>
      <c r="H361" s="14">
        <v>0</v>
      </c>
      <c r="I361" s="14">
        <v>0</v>
      </c>
      <c r="J361" s="14">
        <v>0</v>
      </c>
    </row>
    <row r="362" spans="1:10">
      <c r="A362" t="s">
        <v>50</v>
      </c>
      <c r="B362" t="s">
        <v>134</v>
      </c>
      <c r="C362">
        <v>82</v>
      </c>
      <c r="D362" s="5">
        <v>4.8800000000000003E-2</v>
      </c>
      <c r="E362">
        <v>4</v>
      </c>
      <c r="F362">
        <v>0</v>
      </c>
      <c r="G362" s="6">
        <v>0</v>
      </c>
      <c r="H362" s="14">
        <v>0</v>
      </c>
      <c r="I362" s="14">
        <v>0</v>
      </c>
      <c r="J362" s="14">
        <v>0</v>
      </c>
    </row>
    <row r="363" spans="1:10">
      <c r="A363" t="s">
        <v>50</v>
      </c>
      <c r="B363" t="s">
        <v>134</v>
      </c>
      <c r="C363">
        <v>90</v>
      </c>
      <c r="D363" s="5">
        <v>0.1</v>
      </c>
      <c r="E363">
        <v>9</v>
      </c>
      <c r="F363">
        <v>0</v>
      </c>
      <c r="G363" s="6">
        <v>0</v>
      </c>
      <c r="H363" s="14">
        <v>0</v>
      </c>
      <c r="I363" s="14">
        <v>0</v>
      </c>
      <c r="J363" s="14">
        <v>0</v>
      </c>
    </row>
    <row r="364" spans="1:10">
      <c r="A364" t="s">
        <v>107</v>
      </c>
      <c r="B364" t="s">
        <v>134</v>
      </c>
      <c r="C364">
        <v>546</v>
      </c>
      <c r="D364" s="5">
        <v>2.5600000000000001E-2</v>
      </c>
      <c r="E364">
        <v>14</v>
      </c>
      <c r="F364">
        <v>0</v>
      </c>
      <c r="G364" s="6">
        <v>0</v>
      </c>
      <c r="H364" s="14">
        <v>0</v>
      </c>
      <c r="I364" s="14">
        <v>0</v>
      </c>
      <c r="J364" s="14">
        <v>0</v>
      </c>
    </row>
    <row r="365" spans="1:10">
      <c r="A365" t="s">
        <v>107</v>
      </c>
      <c r="B365" t="s">
        <v>134</v>
      </c>
      <c r="C365">
        <v>371</v>
      </c>
      <c r="D365" s="5">
        <v>1.89E-2</v>
      </c>
      <c r="E365">
        <v>7</v>
      </c>
      <c r="F365">
        <v>2</v>
      </c>
      <c r="G365" s="6">
        <v>0.28570000000000001</v>
      </c>
      <c r="H365" s="14">
        <v>1.04</v>
      </c>
      <c r="I365" s="14">
        <v>3.64</v>
      </c>
      <c r="J365" s="14">
        <v>7.28</v>
      </c>
    </row>
    <row r="366" spans="1:10">
      <c r="A366" t="s">
        <v>107</v>
      </c>
      <c r="B366" t="s">
        <v>134</v>
      </c>
      <c r="C366">
        <v>382</v>
      </c>
      <c r="D366" s="5">
        <v>2.3599999999999999E-2</v>
      </c>
      <c r="E366">
        <v>9</v>
      </c>
      <c r="F366">
        <v>0</v>
      </c>
      <c r="G366" s="6">
        <v>0</v>
      </c>
      <c r="H366" s="14">
        <v>0</v>
      </c>
      <c r="I366" s="14">
        <v>0</v>
      </c>
      <c r="J366" s="14">
        <v>0</v>
      </c>
    </row>
    <row r="367" spans="1:10">
      <c r="A367" t="s">
        <v>107</v>
      </c>
      <c r="B367" t="s">
        <v>134</v>
      </c>
      <c r="C367">
        <v>276</v>
      </c>
      <c r="D367" s="5">
        <v>1.09E-2</v>
      </c>
      <c r="E367">
        <v>3</v>
      </c>
      <c r="F367">
        <v>0</v>
      </c>
      <c r="G367" s="6">
        <v>0</v>
      </c>
      <c r="H367" s="14">
        <v>0</v>
      </c>
      <c r="I367" s="14">
        <v>0</v>
      </c>
      <c r="J367" s="14">
        <v>0</v>
      </c>
    </row>
    <row r="368" spans="1:10">
      <c r="A368" t="s">
        <v>108</v>
      </c>
      <c r="B368" t="s">
        <v>134</v>
      </c>
      <c r="C368">
        <v>158</v>
      </c>
      <c r="D368" s="5">
        <v>5.0599999999999999E-2</v>
      </c>
      <c r="E368">
        <v>8</v>
      </c>
      <c r="F368">
        <v>0</v>
      </c>
      <c r="G368" s="6">
        <v>0</v>
      </c>
      <c r="H368" s="14">
        <v>0</v>
      </c>
      <c r="I368" s="14">
        <v>0</v>
      </c>
      <c r="J368" s="14">
        <v>0</v>
      </c>
    </row>
    <row r="369" spans="1:10">
      <c r="A369" t="s">
        <v>108</v>
      </c>
      <c r="B369" t="s">
        <v>134</v>
      </c>
      <c r="C369">
        <v>180</v>
      </c>
      <c r="D369" s="5">
        <v>6.1100000000000002E-2</v>
      </c>
      <c r="E369">
        <v>11</v>
      </c>
      <c r="F369">
        <v>0</v>
      </c>
      <c r="G369" s="6">
        <v>0</v>
      </c>
      <c r="H369" s="14">
        <v>0</v>
      </c>
      <c r="I369" s="14">
        <v>0</v>
      </c>
      <c r="J369" s="14">
        <v>0</v>
      </c>
    </row>
    <row r="370" spans="1:10">
      <c r="A370" t="s">
        <v>108</v>
      </c>
      <c r="B370" t="s">
        <v>134</v>
      </c>
      <c r="C370">
        <v>69</v>
      </c>
      <c r="D370" s="5">
        <v>1.4500000000000001E-2</v>
      </c>
      <c r="E370">
        <v>1</v>
      </c>
      <c r="F370">
        <v>0</v>
      </c>
      <c r="G370" s="6">
        <v>0</v>
      </c>
      <c r="H370" s="14">
        <v>0</v>
      </c>
      <c r="I370" s="14">
        <v>0</v>
      </c>
      <c r="J370" s="14">
        <v>0</v>
      </c>
    </row>
    <row r="371" spans="1:10">
      <c r="A371" t="s">
        <v>108</v>
      </c>
      <c r="B371" t="s">
        <v>134</v>
      </c>
      <c r="C371">
        <v>190</v>
      </c>
      <c r="D371" s="5">
        <v>4.2099999999999999E-2</v>
      </c>
      <c r="E371">
        <v>8</v>
      </c>
      <c r="F371">
        <v>0</v>
      </c>
      <c r="G371" s="6">
        <v>0</v>
      </c>
      <c r="H371" s="14">
        <v>0</v>
      </c>
      <c r="I371" s="14">
        <v>0</v>
      </c>
      <c r="J371" s="14">
        <v>0</v>
      </c>
    </row>
    <row r="372" spans="1:10">
      <c r="A372" t="s">
        <v>108</v>
      </c>
      <c r="B372" t="s">
        <v>134</v>
      </c>
      <c r="C372">
        <v>92</v>
      </c>
      <c r="D372" s="5">
        <v>3.2599999999999997E-2</v>
      </c>
      <c r="E372">
        <v>3</v>
      </c>
      <c r="F372">
        <v>1</v>
      </c>
      <c r="G372" s="6">
        <v>0.33329999999999999</v>
      </c>
      <c r="H372" s="14">
        <v>1.96</v>
      </c>
      <c r="I372" s="14">
        <v>5.87</v>
      </c>
      <c r="J372" s="14">
        <v>5.87</v>
      </c>
    </row>
    <row r="373" spans="1:10">
      <c r="A373" t="s">
        <v>108</v>
      </c>
      <c r="B373" t="s">
        <v>134</v>
      </c>
      <c r="C373">
        <v>85</v>
      </c>
      <c r="D373" s="5">
        <v>2.35E-2</v>
      </c>
      <c r="E373">
        <v>2</v>
      </c>
      <c r="F373">
        <v>0</v>
      </c>
      <c r="G373" s="6">
        <v>0</v>
      </c>
      <c r="H373" s="14">
        <v>0</v>
      </c>
      <c r="I373" s="14">
        <v>0</v>
      </c>
      <c r="J373" s="14">
        <v>0</v>
      </c>
    </row>
    <row r="374" spans="1:10">
      <c r="A374" t="s">
        <v>109</v>
      </c>
      <c r="B374" t="s">
        <v>134</v>
      </c>
      <c r="C374">
        <v>520</v>
      </c>
      <c r="D374" s="5">
        <v>3.85E-2</v>
      </c>
      <c r="E374">
        <v>20</v>
      </c>
      <c r="F374">
        <v>3</v>
      </c>
      <c r="G374" s="6">
        <v>0.15</v>
      </c>
      <c r="H374" s="14">
        <v>1.62</v>
      </c>
      <c r="I374" s="14">
        <v>10.8</v>
      </c>
      <c r="J374" s="14">
        <v>32.4</v>
      </c>
    </row>
    <row r="375" spans="1:10">
      <c r="A375" t="s">
        <v>109</v>
      </c>
      <c r="B375" t="s">
        <v>141</v>
      </c>
      <c r="C375">
        <v>243</v>
      </c>
      <c r="D375" s="5">
        <v>5.3499999999999999E-2</v>
      </c>
      <c r="E375">
        <v>13</v>
      </c>
      <c r="F375">
        <v>0</v>
      </c>
      <c r="G375" s="6">
        <v>0</v>
      </c>
      <c r="H375" s="14">
        <v>0</v>
      </c>
      <c r="I375" s="14">
        <v>0</v>
      </c>
      <c r="J375" s="14">
        <v>0</v>
      </c>
    </row>
    <row r="376" spans="1:10">
      <c r="A376" t="s">
        <v>43</v>
      </c>
      <c r="B376" t="s">
        <v>134</v>
      </c>
      <c r="C376">
        <v>204</v>
      </c>
      <c r="D376" s="5">
        <v>0.10290000000000001</v>
      </c>
      <c r="E376">
        <v>21</v>
      </c>
      <c r="F376">
        <v>0</v>
      </c>
      <c r="G376" s="6">
        <v>0</v>
      </c>
      <c r="H376" s="14">
        <v>0</v>
      </c>
      <c r="I376" s="14">
        <v>0</v>
      </c>
      <c r="J376" s="14">
        <v>0</v>
      </c>
    </row>
    <row r="377" spans="1:10">
      <c r="A377" t="s">
        <v>43</v>
      </c>
      <c r="B377" t="s">
        <v>134</v>
      </c>
      <c r="C377">
        <v>147</v>
      </c>
      <c r="D377" s="5">
        <v>5.4399999999999997E-2</v>
      </c>
      <c r="E377">
        <v>8</v>
      </c>
      <c r="F377">
        <v>0</v>
      </c>
      <c r="G377" s="6">
        <v>0</v>
      </c>
      <c r="H377" s="14">
        <v>0</v>
      </c>
      <c r="I377" s="14">
        <v>0</v>
      </c>
      <c r="J377" s="14">
        <v>0</v>
      </c>
    </row>
    <row r="378" spans="1:10">
      <c r="A378" t="s">
        <v>43</v>
      </c>
      <c r="B378" t="s">
        <v>134</v>
      </c>
      <c r="C378">
        <v>357</v>
      </c>
      <c r="D378" s="5">
        <v>4.2000000000000003E-2</v>
      </c>
      <c r="E378">
        <v>15</v>
      </c>
      <c r="F378">
        <v>3</v>
      </c>
      <c r="G378" s="6">
        <v>0.2</v>
      </c>
      <c r="H378" s="14">
        <v>0.93</v>
      </c>
      <c r="I378" s="14">
        <v>4.6500000000000004</v>
      </c>
      <c r="J378" s="14">
        <v>13.94</v>
      </c>
    </row>
    <row r="379" spans="1:10">
      <c r="A379" t="s">
        <v>43</v>
      </c>
      <c r="B379" t="s">
        <v>132</v>
      </c>
      <c r="C379">
        <v>1282</v>
      </c>
      <c r="D379" s="5">
        <v>5.2299999999999999E-2</v>
      </c>
      <c r="E379">
        <v>67</v>
      </c>
      <c r="F379">
        <v>4</v>
      </c>
      <c r="G379" s="6">
        <v>5.9700000000000003E-2</v>
      </c>
      <c r="H379" s="14">
        <v>0.41</v>
      </c>
      <c r="I379" s="14">
        <v>6.94</v>
      </c>
      <c r="J379" s="14">
        <v>27.75</v>
      </c>
    </row>
    <row r="380" spans="1:10">
      <c r="A380" t="s">
        <v>43</v>
      </c>
      <c r="B380" t="s">
        <v>132</v>
      </c>
      <c r="C380">
        <v>275</v>
      </c>
      <c r="D380" s="5">
        <v>1.09E-2</v>
      </c>
      <c r="E380">
        <v>3</v>
      </c>
      <c r="F380">
        <v>1</v>
      </c>
      <c r="G380" s="6">
        <v>0.33329999999999999</v>
      </c>
      <c r="H380" s="14">
        <v>2.4500000000000002</v>
      </c>
      <c r="I380" s="14">
        <v>7.36</v>
      </c>
      <c r="J380" s="14">
        <v>7.36</v>
      </c>
    </row>
    <row r="381" spans="1:10">
      <c r="A381" t="s">
        <v>43</v>
      </c>
      <c r="B381" t="s">
        <v>132</v>
      </c>
      <c r="C381">
        <v>592</v>
      </c>
      <c r="D381" s="5">
        <v>2.53E-2</v>
      </c>
      <c r="E381">
        <v>15</v>
      </c>
      <c r="F381">
        <v>1</v>
      </c>
      <c r="G381" s="6">
        <v>6.6699999999999995E-2</v>
      </c>
      <c r="H381" s="14">
        <v>0.81</v>
      </c>
      <c r="I381" s="14">
        <v>12.1</v>
      </c>
      <c r="J381" s="14">
        <v>12.1</v>
      </c>
    </row>
    <row r="382" spans="1:10">
      <c r="A382" t="s">
        <v>43</v>
      </c>
      <c r="B382" t="s">
        <v>132</v>
      </c>
      <c r="C382">
        <v>270</v>
      </c>
      <c r="D382" s="5">
        <v>4.07E-2</v>
      </c>
      <c r="E382">
        <v>11</v>
      </c>
      <c r="F382">
        <v>1</v>
      </c>
      <c r="G382" s="6">
        <v>9.0899999999999995E-2</v>
      </c>
      <c r="H382" s="14">
        <v>0.63</v>
      </c>
      <c r="I382" s="14">
        <v>6.94</v>
      </c>
      <c r="J382" s="14">
        <v>6.94</v>
      </c>
    </row>
    <row r="383" spans="1:10">
      <c r="A383" t="s">
        <v>43</v>
      </c>
      <c r="B383" t="s">
        <v>132</v>
      </c>
      <c r="C383">
        <v>707</v>
      </c>
      <c r="D383" s="5">
        <v>5.5199999999999999E-2</v>
      </c>
      <c r="E383">
        <v>39</v>
      </c>
      <c r="F383">
        <v>0</v>
      </c>
      <c r="G383" s="6">
        <v>0</v>
      </c>
      <c r="H383" s="14">
        <v>0</v>
      </c>
      <c r="I383" s="14">
        <v>0</v>
      </c>
      <c r="J383" s="14">
        <v>0</v>
      </c>
    </row>
    <row r="384" spans="1:10">
      <c r="A384" t="s">
        <v>43</v>
      </c>
      <c r="B384" t="s">
        <v>134</v>
      </c>
      <c r="C384">
        <v>382</v>
      </c>
      <c r="D384" s="5">
        <v>5.7599999999999998E-2</v>
      </c>
      <c r="E384">
        <v>22</v>
      </c>
      <c r="F384">
        <v>1</v>
      </c>
      <c r="G384" s="6">
        <v>4.5499999999999999E-2</v>
      </c>
      <c r="H384" s="14">
        <v>0.17</v>
      </c>
      <c r="I384" s="14">
        <v>3.74</v>
      </c>
      <c r="J384" s="14">
        <v>3.74</v>
      </c>
    </row>
    <row r="385" spans="1:10">
      <c r="A385" t="s">
        <v>49</v>
      </c>
      <c r="B385" t="s">
        <v>134</v>
      </c>
      <c r="C385">
        <v>701</v>
      </c>
      <c r="D385" s="5">
        <v>3.9899999999999998E-2</v>
      </c>
      <c r="E385">
        <v>28</v>
      </c>
      <c r="F385">
        <v>3</v>
      </c>
      <c r="G385" s="6">
        <v>0.1071</v>
      </c>
      <c r="H385" s="14">
        <v>1.1499999999999999</v>
      </c>
      <c r="I385" s="14">
        <v>10.73</v>
      </c>
      <c r="J385" s="14">
        <v>32.19</v>
      </c>
    </row>
    <row r="386" spans="1:10">
      <c r="A386" t="s">
        <v>49</v>
      </c>
      <c r="B386" t="s">
        <v>134</v>
      </c>
      <c r="C386">
        <v>464</v>
      </c>
      <c r="D386" s="5">
        <v>2.8000000000000001E-2</v>
      </c>
      <c r="E386">
        <v>13</v>
      </c>
      <c r="F386">
        <v>0</v>
      </c>
      <c r="G386" s="6">
        <v>0</v>
      </c>
      <c r="H386" s="14">
        <v>0</v>
      </c>
      <c r="I386" s="14">
        <v>0</v>
      </c>
      <c r="J386" s="14">
        <v>0</v>
      </c>
    </row>
    <row r="387" spans="1:10">
      <c r="A387" t="s">
        <v>49</v>
      </c>
      <c r="B387" t="s">
        <v>134</v>
      </c>
      <c r="C387">
        <v>383</v>
      </c>
      <c r="D387" s="5">
        <v>4.1799999999999997E-2</v>
      </c>
      <c r="E387">
        <v>16</v>
      </c>
      <c r="F387">
        <v>3</v>
      </c>
      <c r="G387" s="6">
        <v>0.1875</v>
      </c>
      <c r="H387" s="14">
        <v>1.34</v>
      </c>
      <c r="I387" s="14">
        <v>7.14</v>
      </c>
      <c r="J387" s="14">
        <v>21.42</v>
      </c>
    </row>
    <row r="388" spans="1:10">
      <c r="A388" t="s">
        <v>49</v>
      </c>
      <c r="B388" t="s">
        <v>134</v>
      </c>
      <c r="C388">
        <v>241</v>
      </c>
      <c r="D388" s="5">
        <v>4.9799999999999997E-2</v>
      </c>
      <c r="E388">
        <v>12</v>
      </c>
      <c r="F388">
        <v>1</v>
      </c>
      <c r="G388" s="6">
        <v>8.3299999999999999E-2</v>
      </c>
      <c r="H388" s="14">
        <v>0.27</v>
      </c>
      <c r="I388" s="14">
        <v>3.26</v>
      </c>
      <c r="J388" s="14">
        <v>3.26</v>
      </c>
    </row>
    <row r="389" spans="1:10">
      <c r="A389" t="s">
        <v>49</v>
      </c>
      <c r="B389" t="s">
        <v>134</v>
      </c>
      <c r="C389">
        <v>146</v>
      </c>
      <c r="D389" s="5">
        <v>1.37E-2</v>
      </c>
      <c r="E389">
        <v>2</v>
      </c>
      <c r="F389">
        <v>0</v>
      </c>
      <c r="G389" s="6">
        <v>0</v>
      </c>
      <c r="H389" s="14">
        <v>0</v>
      </c>
      <c r="I389" s="14">
        <v>0</v>
      </c>
      <c r="J389" s="14">
        <v>0</v>
      </c>
    </row>
    <row r="390" spans="1:10">
      <c r="A390" t="s">
        <v>49</v>
      </c>
      <c r="B390" t="s">
        <v>134</v>
      </c>
      <c r="C390">
        <v>180</v>
      </c>
      <c r="D390" s="5">
        <v>0.05</v>
      </c>
      <c r="E390">
        <v>9</v>
      </c>
      <c r="F390">
        <v>1</v>
      </c>
      <c r="G390" s="6">
        <v>0.1111</v>
      </c>
      <c r="H390" s="14">
        <v>0.19</v>
      </c>
      <c r="I390" s="14">
        <v>1.75</v>
      </c>
      <c r="J390" s="14">
        <v>1.75</v>
      </c>
    </row>
    <row r="391" spans="1:10">
      <c r="A391" t="s">
        <v>110</v>
      </c>
      <c r="B391" t="s">
        <v>142</v>
      </c>
      <c r="C391">
        <v>546</v>
      </c>
      <c r="D391" s="5">
        <v>4.2099999999999999E-2</v>
      </c>
      <c r="E391">
        <v>23</v>
      </c>
      <c r="F391">
        <v>3</v>
      </c>
      <c r="G391" s="6">
        <v>0.13039999999999999</v>
      </c>
      <c r="H391" s="14">
        <v>0.66</v>
      </c>
      <c r="I391" s="14">
        <v>5.09</v>
      </c>
      <c r="J391" s="14">
        <v>15.28</v>
      </c>
    </row>
    <row r="392" spans="1:10">
      <c r="A392" t="s">
        <v>111</v>
      </c>
      <c r="B392" t="s">
        <v>149</v>
      </c>
      <c r="C392">
        <v>127</v>
      </c>
      <c r="D392" s="5">
        <v>3.15E-2</v>
      </c>
      <c r="E392">
        <v>4</v>
      </c>
      <c r="F392">
        <v>1</v>
      </c>
      <c r="G392" s="6">
        <v>0.25</v>
      </c>
      <c r="H392" s="14">
        <v>2.12</v>
      </c>
      <c r="I392" s="14">
        <v>8.48</v>
      </c>
      <c r="J392" s="14">
        <v>8.48</v>
      </c>
    </row>
    <row r="393" spans="1:10">
      <c r="A393" t="s">
        <v>111</v>
      </c>
      <c r="B393" t="s">
        <v>132</v>
      </c>
      <c r="C393">
        <v>42</v>
      </c>
      <c r="D393" s="5">
        <v>2.3800000000000002E-2</v>
      </c>
      <c r="E393">
        <v>1</v>
      </c>
      <c r="F393">
        <v>0</v>
      </c>
      <c r="G393" s="6">
        <v>0</v>
      </c>
      <c r="H393" s="14">
        <v>0</v>
      </c>
      <c r="I393" s="14">
        <v>0</v>
      </c>
      <c r="J393" s="14">
        <v>0</v>
      </c>
    </row>
    <row r="394" spans="1:10">
      <c r="A394" t="s">
        <v>112</v>
      </c>
      <c r="B394" t="s">
        <v>141</v>
      </c>
      <c r="C394">
        <v>215</v>
      </c>
      <c r="D394" s="5">
        <v>4.19E-2</v>
      </c>
      <c r="E394">
        <v>9</v>
      </c>
      <c r="F394">
        <v>0</v>
      </c>
      <c r="G394" s="6">
        <v>0</v>
      </c>
      <c r="H394" s="14">
        <v>0</v>
      </c>
      <c r="I394" s="14">
        <v>0</v>
      </c>
      <c r="J394" s="14">
        <v>0</v>
      </c>
    </row>
    <row r="395" spans="1:10">
      <c r="A395" t="s">
        <v>112</v>
      </c>
      <c r="B395" t="s">
        <v>131</v>
      </c>
      <c r="C395">
        <v>108</v>
      </c>
      <c r="D395" s="5">
        <v>6.4799999999999996E-2</v>
      </c>
      <c r="E395">
        <v>7</v>
      </c>
      <c r="F395">
        <v>0</v>
      </c>
      <c r="G395" s="6">
        <v>0</v>
      </c>
      <c r="H395" s="14">
        <v>0</v>
      </c>
      <c r="I395" s="14">
        <v>0</v>
      </c>
      <c r="J395" s="14">
        <v>0</v>
      </c>
    </row>
    <row r="396" spans="1:10">
      <c r="A396" t="s">
        <v>112</v>
      </c>
      <c r="B396" t="s">
        <v>141</v>
      </c>
      <c r="C396">
        <v>74</v>
      </c>
      <c r="D396" s="5">
        <v>1.35E-2</v>
      </c>
      <c r="E396">
        <v>1</v>
      </c>
      <c r="F396">
        <v>0</v>
      </c>
      <c r="G396" s="6">
        <v>0</v>
      </c>
      <c r="H396" s="14">
        <v>0</v>
      </c>
      <c r="I396" s="14">
        <v>0</v>
      </c>
      <c r="J396" s="14">
        <v>0</v>
      </c>
    </row>
    <row r="397" spans="1:10">
      <c r="A397" t="s">
        <v>113</v>
      </c>
      <c r="B397" t="s">
        <v>134</v>
      </c>
      <c r="C397">
        <v>268</v>
      </c>
      <c r="D397" s="5">
        <v>5.6000000000000001E-2</v>
      </c>
      <c r="E397">
        <v>15</v>
      </c>
      <c r="F397">
        <v>1</v>
      </c>
      <c r="G397" s="6">
        <v>6.6699999999999995E-2</v>
      </c>
      <c r="H397" s="14">
        <v>0</v>
      </c>
      <c r="I397" s="14">
        <v>0</v>
      </c>
      <c r="J397" s="14">
        <v>0</v>
      </c>
    </row>
    <row r="398" spans="1:10">
      <c r="A398" t="s">
        <v>113</v>
      </c>
      <c r="B398" t="s">
        <v>150</v>
      </c>
      <c r="C398">
        <v>169</v>
      </c>
      <c r="D398" s="5">
        <v>7.6899999999999996E-2</v>
      </c>
      <c r="E398">
        <v>13</v>
      </c>
      <c r="F398">
        <v>1</v>
      </c>
      <c r="G398" s="6">
        <v>7.6899999999999996E-2</v>
      </c>
      <c r="H398" s="14">
        <v>1.05</v>
      </c>
      <c r="I398" s="14">
        <v>13.6</v>
      </c>
      <c r="J398" s="14">
        <v>13.6</v>
      </c>
    </row>
    <row r="399" spans="1:10">
      <c r="A399" t="s">
        <v>113</v>
      </c>
      <c r="B399" t="s">
        <v>151</v>
      </c>
      <c r="C399">
        <v>966</v>
      </c>
      <c r="D399" s="5">
        <v>4.1399999999999999E-2</v>
      </c>
      <c r="E399">
        <v>40</v>
      </c>
      <c r="F399">
        <v>1</v>
      </c>
      <c r="G399" s="6">
        <v>2.5000000000000001E-2</v>
      </c>
      <c r="H399" s="14">
        <v>0.28000000000000003</v>
      </c>
      <c r="I399" s="14">
        <v>11.15</v>
      </c>
      <c r="J399" s="14">
        <v>11.15</v>
      </c>
    </row>
    <row r="400" spans="1:10">
      <c r="A400" t="s">
        <v>113</v>
      </c>
      <c r="B400" t="s">
        <v>131</v>
      </c>
      <c r="C400">
        <v>191</v>
      </c>
      <c r="D400" s="5">
        <v>6.2799999999999995E-2</v>
      </c>
      <c r="E400">
        <v>12</v>
      </c>
      <c r="F400">
        <v>1</v>
      </c>
      <c r="G400" s="6">
        <v>8.3299999999999999E-2</v>
      </c>
      <c r="H400" s="14">
        <v>1.4</v>
      </c>
      <c r="I400" s="14">
        <v>16.82</v>
      </c>
      <c r="J400" s="14">
        <v>16.82</v>
      </c>
    </row>
    <row r="401" spans="1:10">
      <c r="A401" t="s">
        <v>61</v>
      </c>
      <c r="B401" t="s">
        <v>131</v>
      </c>
      <c r="C401">
        <v>63</v>
      </c>
      <c r="D401" s="5">
        <v>1.5900000000000001E-2</v>
      </c>
      <c r="E401">
        <v>1</v>
      </c>
      <c r="F401">
        <v>0</v>
      </c>
      <c r="G401" s="6">
        <v>0</v>
      </c>
      <c r="H401" s="14">
        <v>0</v>
      </c>
      <c r="I401" s="14">
        <v>0</v>
      </c>
      <c r="J401" s="14">
        <v>0</v>
      </c>
    </row>
    <row r="402" spans="1:10">
      <c r="A402" t="s">
        <v>44</v>
      </c>
      <c r="B402" t="s">
        <v>137</v>
      </c>
      <c r="C402">
        <v>801</v>
      </c>
      <c r="D402" s="5">
        <v>8.8599999999999998E-2</v>
      </c>
      <c r="E402">
        <v>71</v>
      </c>
      <c r="F402">
        <v>3</v>
      </c>
      <c r="G402" s="6">
        <v>4.2299999999999997E-2</v>
      </c>
      <c r="H402" s="14">
        <v>0.38</v>
      </c>
      <c r="I402" s="14">
        <v>8.9499999999999993</v>
      </c>
      <c r="J402" s="14">
        <v>26.86</v>
      </c>
    </row>
    <row r="403" spans="1:10">
      <c r="A403" t="s">
        <v>44</v>
      </c>
      <c r="B403" t="s">
        <v>137</v>
      </c>
      <c r="C403">
        <v>0</v>
      </c>
      <c r="D403" s="5">
        <v>0</v>
      </c>
      <c r="E403">
        <v>0</v>
      </c>
      <c r="F403">
        <v>0</v>
      </c>
      <c r="G403" s="6">
        <v>0</v>
      </c>
      <c r="H403" s="14">
        <v>0</v>
      </c>
      <c r="I403" s="14">
        <v>0</v>
      </c>
      <c r="J403" s="14">
        <v>0</v>
      </c>
    </row>
    <row r="404" spans="1:10">
      <c r="A404" t="s">
        <v>44</v>
      </c>
      <c r="B404" t="s">
        <v>137</v>
      </c>
      <c r="C404">
        <v>2380</v>
      </c>
      <c r="D404" s="5">
        <v>9.2899999999999996E-2</v>
      </c>
      <c r="E404">
        <v>221</v>
      </c>
      <c r="F404">
        <v>17</v>
      </c>
      <c r="G404" s="6">
        <v>7.6899999999999996E-2</v>
      </c>
      <c r="H404" s="14">
        <v>0.5</v>
      </c>
      <c r="I404" s="14">
        <v>6.49</v>
      </c>
      <c r="J404" s="14">
        <v>110.38</v>
      </c>
    </row>
    <row r="405" spans="1:10">
      <c r="A405" t="s">
        <v>44</v>
      </c>
      <c r="B405" t="s">
        <v>138</v>
      </c>
      <c r="C405">
        <v>2815</v>
      </c>
      <c r="D405" s="5">
        <v>0.1133</v>
      </c>
      <c r="E405">
        <v>319</v>
      </c>
      <c r="F405">
        <v>17</v>
      </c>
      <c r="G405" s="6">
        <v>5.33E-2</v>
      </c>
      <c r="H405" s="14">
        <v>0.38</v>
      </c>
      <c r="I405" s="14">
        <v>7.16</v>
      </c>
      <c r="J405" s="14">
        <v>121.66</v>
      </c>
    </row>
    <row r="406" spans="1:10">
      <c r="A406" t="s">
        <v>44</v>
      </c>
      <c r="B406" t="s">
        <v>131</v>
      </c>
      <c r="C406">
        <v>584</v>
      </c>
      <c r="D406" s="5">
        <v>7.7100000000000002E-2</v>
      </c>
      <c r="E406">
        <v>45</v>
      </c>
      <c r="F406">
        <v>1</v>
      </c>
      <c r="G406" s="6">
        <v>2.2200000000000001E-2</v>
      </c>
      <c r="H406" s="14">
        <v>0.48</v>
      </c>
      <c r="I406" s="14">
        <v>21.6</v>
      </c>
      <c r="J406" s="14">
        <v>21.6</v>
      </c>
    </row>
    <row r="407" spans="1:10">
      <c r="A407" t="s">
        <v>44</v>
      </c>
      <c r="B407" t="s">
        <v>131</v>
      </c>
      <c r="C407">
        <v>0</v>
      </c>
      <c r="D407" s="5">
        <v>0</v>
      </c>
      <c r="E407">
        <v>0</v>
      </c>
      <c r="F407">
        <v>0</v>
      </c>
      <c r="G407" s="6">
        <v>0</v>
      </c>
      <c r="H407" s="14">
        <v>0</v>
      </c>
      <c r="I407" s="14">
        <v>0</v>
      </c>
      <c r="J407" s="14">
        <v>0</v>
      </c>
    </row>
    <row r="408" spans="1:10">
      <c r="A408" t="s">
        <v>44</v>
      </c>
      <c r="B408" t="s">
        <v>131</v>
      </c>
      <c r="C408">
        <v>0</v>
      </c>
      <c r="D408" s="5">
        <v>0</v>
      </c>
      <c r="E408">
        <v>0</v>
      </c>
      <c r="F408">
        <v>0</v>
      </c>
      <c r="G408" s="6">
        <v>0</v>
      </c>
      <c r="H408" s="14">
        <v>0</v>
      </c>
      <c r="I408" s="14">
        <v>0</v>
      </c>
      <c r="J408" s="14">
        <v>0</v>
      </c>
    </row>
    <row r="409" spans="1:10">
      <c r="A409" t="s">
        <v>44</v>
      </c>
      <c r="B409" t="s">
        <v>139</v>
      </c>
      <c r="C409">
        <v>610</v>
      </c>
      <c r="D409" s="5">
        <v>7.0499999999999993E-2</v>
      </c>
      <c r="E409">
        <v>43</v>
      </c>
      <c r="F409">
        <v>3</v>
      </c>
      <c r="G409" s="6">
        <v>6.9800000000000001E-2</v>
      </c>
      <c r="H409" s="14">
        <v>0.27</v>
      </c>
      <c r="I409" s="14">
        <v>3.94</v>
      </c>
      <c r="J409" s="14">
        <v>11.82</v>
      </c>
    </row>
    <row r="410" spans="1:10">
      <c r="A410" t="s">
        <v>44</v>
      </c>
      <c r="B410" t="s">
        <v>139</v>
      </c>
      <c r="C410">
        <v>879</v>
      </c>
      <c r="D410" s="5">
        <v>9.5600000000000004E-2</v>
      </c>
      <c r="E410">
        <v>84</v>
      </c>
      <c r="F410">
        <v>1</v>
      </c>
      <c r="G410" s="6">
        <v>1.1900000000000001E-2</v>
      </c>
      <c r="H410" s="14">
        <v>0.09</v>
      </c>
      <c r="I410" s="14">
        <v>7.44</v>
      </c>
      <c r="J410" s="14">
        <v>7.44</v>
      </c>
    </row>
    <row r="411" spans="1:10">
      <c r="A411" t="s">
        <v>44</v>
      </c>
      <c r="B411" t="s">
        <v>139</v>
      </c>
      <c r="C411">
        <v>0</v>
      </c>
      <c r="D411" s="5">
        <v>0</v>
      </c>
      <c r="E411">
        <v>0</v>
      </c>
      <c r="F411">
        <v>0</v>
      </c>
      <c r="G411" s="6">
        <v>0</v>
      </c>
      <c r="H411" s="14">
        <v>0</v>
      </c>
      <c r="I411" s="14">
        <v>0</v>
      </c>
      <c r="J411" s="14">
        <v>0</v>
      </c>
    </row>
    <row r="412" spans="1:10">
      <c r="A412" t="s">
        <v>44</v>
      </c>
      <c r="B412" t="s">
        <v>139</v>
      </c>
      <c r="C412">
        <v>0</v>
      </c>
      <c r="D412" s="5">
        <v>0</v>
      </c>
      <c r="E412">
        <v>0</v>
      </c>
      <c r="F412">
        <v>0</v>
      </c>
      <c r="G412" s="6">
        <v>0</v>
      </c>
      <c r="H412" s="14">
        <v>0</v>
      </c>
      <c r="I412" s="14">
        <v>0</v>
      </c>
      <c r="J412" s="14">
        <v>0</v>
      </c>
    </row>
    <row r="413" spans="1:10">
      <c r="A413" t="s">
        <v>44</v>
      </c>
      <c r="B413" t="s">
        <v>139</v>
      </c>
      <c r="C413">
        <v>3048</v>
      </c>
      <c r="D413" s="5">
        <v>0.1066</v>
      </c>
      <c r="E413">
        <v>325</v>
      </c>
      <c r="F413">
        <v>4</v>
      </c>
      <c r="G413" s="6">
        <v>1.23E-2</v>
      </c>
      <c r="H413" s="14">
        <v>0.06</v>
      </c>
      <c r="I413" s="14">
        <v>4.76</v>
      </c>
      <c r="J413" s="14">
        <v>19.04</v>
      </c>
    </row>
    <row r="414" spans="1:10">
      <c r="A414" t="s">
        <v>114</v>
      </c>
      <c r="B414" t="s">
        <v>133</v>
      </c>
      <c r="C414">
        <v>68</v>
      </c>
      <c r="D414" s="5">
        <v>5.8799999999999998E-2</v>
      </c>
      <c r="E414">
        <v>4</v>
      </c>
      <c r="F414">
        <v>0</v>
      </c>
      <c r="G414" s="6">
        <v>0</v>
      </c>
      <c r="H414" s="14">
        <v>0</v>
      </c>
      <c r="I414" s="14">
        <v>0</v>
      </c>
      <c r="J414" s="14">
        <v>0</v>
      </c>
    </row>
    <row r="415" spans="1:10">
      <c r="A415" t="s">
        <v>114</v>
      </c>
      <c r="B415" t="s">
        <v>136</v>
      </c>
      <c r="C415">
        <v>290</v>
      </c>
      <c r="D415" s="5">
        <v>6.5500000000000003E-2</v>
      </c>
      <c r="E415">
        <v>19</v>
      </c>
      <c r="F415">
        <v>0</v>
      </c>
      <c r="G415" s="6">
        <v>0</v>
      </c>
      <c r="H415" s="14">
        <v>0</v>
      </c>
      <c r="I415" s="14">
        <v>0</v>
      </c>
      <c r="J415" s="14">
        <v>0</v>
      </c>
    </row>
    <row r="416" spans="1:10">
      <c r="A416" t="s">
        <v>115</v>
      </c>
      <c r="B416" t="s">
        <v>131</v>
      </c>
      <c r="C416">
        <v>82</v>
      </c>
      <c r="D416" s="5">
        <v>4.8800000000000003E-2</v>
      </c>
      <c r="E416">
        <v>4</v>
      </c>
      <c r="F416">
        <v>0</v>
      </c>
      <c r="G416" s="6">
        <v>0</v>
      </c>
      <c r="H416" s="14">
        <v>0</v>
      </c>
      <c r="I416" s="14">
        <v>0</v>
      </c>
      <c r="J416" s="14">
        <v>0</v>
      </c>
    </row>
    <row r="417" spans="1:10">
      <c r="A417" t="s">
        <v>115</v>
      </c>
      <c r="B417" t="s">
        <v>131</v>
      </c>
      <c r="C417">
        <v>239</v>
      </c>
      <c r="D417" s="5">
        <v>3.7699999999999997E-2</v>
      </c>
      <c r="E417">
        <v>9</v>
      </c>
      <c r="F417">
        <v>0</v>
      </c>
      <c r="G417" s="6">
        <v>0</v>
      </c>
      <c r="H417" s="14">
        <v>0</v>
      </c>
      <c r="I417" s="14">
        <v>0</v>
      </c>
      <c r="J417" s="14">
        <v>0</v>
      </c>
    </row>
    <row r="418" spans="1:10">
      <c r="A418" t="s">
        <v>52</v>
      </c>
      <c r="B418" t="s">
        <v>134</v>
      </c>
      <c r="C418">
        <v>3369</v>
      </c>
      <c r="D418" s="5">
        <v>8.43E-2</v>
      </c>
      <c r="E418">
        <v>284</v>
      </c>
      <c r="F418">
        <v>28</v>
      </c>
      <c r="G418" s="6">
        <v>9.8599999999999993E-2</v>
      </c>
      <c r="H418" s="14">
        <v>0.82</v>
      </c>
      <c r="I418" s="14">
        <v>8.35</v>
      </c>
      <c r="J418" s="14">
        <v>233.72</v>
      </c>
    </row>
    <row r="419" spans="1:10">
      <c r="A419" t="s">
        <v>52</v>
      </c>
      <c r="B419" t="s">
        <v>150</v>
      </c>
      <c r="C419">
        <v>1605</v>
      </c>
      <c r="D419" s="5">
        <v>0.1016</v>
      </c>
      <c r="E419">
        <v>163</v>
      </c>
      <c r="F419">
        <v>18</v>
      </c>
      <c r="G419" s="6">
        <v>0.1104</v>
      </c>
      <c r="H419" s="14">
        <v>4.09</v>
      </c>
      <c r="I419" s="14">
        <v>37.020000000000003</v>
      </c>
      <c r="J419" s="14">
        <v>666.4</v>
      </c>
    </row>
    <row r="420" spans="1:10">
      <c r="A420" t="s">
        <v>52</v>
      </c>
      <c r="B420" t="s">
        <v>151</v>
      </c>
      <c r="C420">
        <v>2253</v>
      </c>
      <c r="D420" s="5">
        <v>7.2800000000000004E-2</v>
      </c>
      <c r="E420">
        <v>164</v>
      </c>
      <c r="F420">
        <v>8</v>
      </c>
      <c r="G420" s="6">
        <v>4.8800000000000003E-2</v>
      </c>
      <c r="H420" s="14">
        <v>0.82</v>
      </c>
      <c r="I420" s="14">
        <v>16.8</v>
      </c>
      <c r="J420" s="14">
        <v>134.4</v>
      </c>
    </row>
    <row r="421" spans="1:10">
      <c r="A421" t="s">
        <v>52</v>
      </c>
      <c r="B421" t="s">
        <v>131</v>
      </c>
      <c r="C421">
        <v>1748</v>
      </c>
      <c r="D421" s="5">
        <v>7.9500000000000001E-2</v>
      </c>
      <c r="E421">
        <v>139</v>
      </c>
      <c r="F421">
        <v>14</v>
      </c>
      <c r="G421" s="6">
        <v>0.1007</v>
      </c>
      <c r="H421" s="14">
        <v>1.29</v>
      </c>
      <c r="I421" s="14">
        <v>12.8</v>
      </c>
      <c r="J421" s="14">
        <v>179.2</v>
      </c>
    </row>
    <row r="422" spans="1:10">
      <c r="A422" t="s">
        <v>56</v>
      </c>
      <c r="B422" t="s">
        <v>136</v>
      </c>
      <c r="C422">
        <v>247</v>
      </c>
      <c r="D422" s="5">
        <v>7.6899999999999996E-2</v>
      </c>
      <c r="E422">
        <v>19</v>
      </c>
      <c r="F422">
        <v>2</v>
      </c>
      <c r="G422" s="6">
        <v>0.1053</v>
      </c>
      <c r="H422" s="14">
        <v>0.39</v>
      </c>
      <c r="I422" s="14">
        <v>3.7</v>
      </c>
      <c r="J422" s="14">
        <v>7.4</v>
      </c>
    </row>
    <row r="423" spans="1:10">
      <c r="A423" t="s">
        <v>116</v>
      </c>
      <c r="B423" t="s">
        <v>134</v>
      </c>
      <c r="C423">
        <v>1446</v>
      </c>
      <c r="D423" s="5">
        <v>3.5999999999999997E-2</v>
      </c>
      <c r="E423">
        <v>52</v>
      </c>
      <c r="F423">
        <v>3</v>
      </c>
      <c r="G423" s="6">
        <v>5.7700000000000001E-2</v>
      </c>
      <c r="H423" s="14">
        <v>0.31</v>
      </c>
      <c r="I423" s="14">
        <v>5.33</v>
      </c>
      <c r="J423" s="14">
        <v>15.98</v>
      </c>
    </row>
    <row r="424" spans="1:10">
      <c r="A424" t="s">
        <v>53</v>
      </c>
      <c r="B424" t="s">
        <v>134</v>
      </c>
      <c r="C424">
        <v>834</v>
      </c>
      <c r="D424" s="5">
        <v>4.0800000000000003E-2</v>
      </c>
      <c r="E424">
        <v>34</v>
      </c>
      <c r="F424">
        <v>2</v>
      </c>
      <c r="G424" s="6">
        <v>5.8799999999999998E-2</v>
      </c>
      <c r="H424" s="14">
        <v>0.32</v>
      </c>
      <c r="I424" s="14">
        <v>5.37</v>
      </c>
      <c r="J424" s="14">
        <v>10.73</v>
      </c>
    </row>
    <row r="425" spans="1:10">
      <c r="A425" t="s">
        <v>53</v>
      </c>
      <c r="B425" t="s">
        <v>134</v>
      </c>
      <c r="C425">
        <v>680</v>
      </c>
      <c r="D425" s="5">
        <v>5.2900000000000003E-2</v>
      </c>
      <c r="E425">
        <v>36</v>
      </c>
      <c r="F425">
        <v>3</v>
      </c>
      <c r="G425" s="6">
        <v>8.3299999999999999E-2</v>
      </c>
      <c r="H425" s="14">
        <v>0.64</v>
      </c>
      <c r="I425" s="14">
        <v>7.73</v>
      </c>
      <c r="J425" s="14">
        <v>23.19</v>
      </c>
    </row>
    <row r="426" spans="1:10">
      <c r="A426" t="s">
        <v>53</v>
      </c>
      <c r="B426" t="s">
        <v>134</v>
      </c>
      <c r="C426">
        <v>1803</v>
      </c>
      <c r="D426" s="5">
        <v>4.9399999999999999E-2</v>
      </c>
      <c r="E426">
        <v>89</v>
      </c>
      <c r="F426">
        <v>10</v>
      </c>
      <c r="G426" s="6">
        <v>0.1124</v>
      </c>
      <c r="H426" s="14">
        <v>1</v>
      </c>
      <c r="I426" s="14">
        <v>8.8800000000000008</v>
      </c>
      <c r="J426" s="14">
        <v>88.78</v>
      </c>
    </row>
    <row r="427" spans="1:10">
      <c r="A427" t="s">
        <v>53</v>
      </c>
      <c r="B427" t="s">
        <v>137</v>
      </c>
      <c r="C427">
        <v>1466</v>
      </c>
      <c r="D427" s="5">
        <v>5.4600000000000003E-2</v>
      </c>
      <c r="E427">
        <v>80</v>
      </c>
      <c r="F427">
        <v>11</v>
      </c>
      <c r="G427" s="6">
        <v>0.13750000000000001</v>
      </c>
      <c r="H427" s="14">
        <v>1.01</v>
      </c>
      <c r="I427" s="14">
        <v>7.37</v>
      </c>
      <c r="J427" s="14">
        <v>81.11</v>
      </c>
    </row>
    <row r="428" spans="1:10">
      <c r="A428" t="s">
        <v>53</v>
      </c>
      <c r="B428" t="s">
        <v>137</v>
      </c>
      <c r="C428">
        <v>2883</v>
      </c>
      <c r="D428" s="5">
        <v>8.1199999999999994E-2</v>
      </c>
      <c r="E428">
        <v>234</v>
      </c>
      <c r="F428">
        <v>17</v>
      </c>
      <c r="G428" s="6">
        <v>7.2599999999999998E-2</v>
      </c>
      <c r="H428" s="14">
        <v>0.35</v>
      </c>
      <c r="I428" s="14">
        <v>4.8499999999999996</v>
      </c>
      <c r="J428" s="14">
        <v>82.49</v>
      </c>
    </row>
    <row r="429" spans="1:10">
      <c r="A429" t="s">
        <v>53</v>
      </c>
      <c r="B429" t="s">
        <v>138</v>
      </c>
      <c r="C429">
        <v>1020</v>
      </c>
      <c r="D429" s="5">
        <v>9.0200000000000002E-2</v>
      </c>
      <c r="E429">
        <v>92</v>
      </c>
      <c r="F429">
        <v>2</v>
      </c>
      <c r="G429" s="6">
        <v>2.1700000000000001E-2</v>
      </c>
      <c r="H429" s="14">
        <v>0.15</v>
      </c>
      <c r="I429" s="14">
        <v>6.68</v>
      </c>
      <c r="J429" s="14">
        <v>13.35</v>
      </c>
    </row>
    <row r="430" spans="1:10">
      <c r="A430" t="s">
        <v>53</v>
      </c>
      <c r="B430" t="s">
        <v>138</v>
      </c>
      <c r="C430">
        <v>14611</v>
      </c>
      <c r="D430" s="5">
        <v>9.4200000000000006E-2</v>
      </c>
      <c r="E430">
        <v>1377</v>
      </c>
      <c r="F430">
        <v>68</v>
      </c>
      <c r="G430" s="6">
        <v>4.9399999999999999E-2</v>
      </c>
      <c r="H430" s="14">
        <v>0.32</v>
      </c>
      <c r="I430" s="14">
        <v>6.51</v>
      </c>
      <c r="J430" s="14">
        <v>442.6</v>
      </c>
    </row>
    <row r="431" spans="1:10">
      <c r="A431" t="s">
        <v>53</v>
      </c>
      <c r="B431" t="s">
        <v>131</v>
      </c>
      <c r="C431">
        <v>585</v>
      </c>
      <c r="D431" s="5">
        <v>6.1499999999999999E-2</v>
      </c>
      <c r="E431">
        <v>36</v>
      </c>
      <c r="F431">
        <v>5</v>
      </c>
      <c r="G431" s="6">
        <v>0.1389</v>
      </c>
      <c r="H431" s="14">
        <v>0.7</v>
      </c>
      <c r="I431" s="14">
        <v>5.04</v>
      </c>
      <c r="J431" s="14">
        <v>25.21</v>
      </c>
    </row>
    <row r="432" spans="1:10">
      <c r="A432" t="s">
        <v>53</v>
      </c>
      <c r="B432" t="s">
        <v>131</v>
      </c>
      <c r="C432">
        <v>1362</v>
      </c>
      <c r="D432" s="5">
        <v>7.4899999999999994E-2</v>
      </c>
      <c r="E432">
        <v>102</v>
      </c>
      <c r="F432">
        <v>10</v>
      </c>
      <c r="G432" s="6">
        <v>9.8000000000000004E-2</v>
      </c>
      <c r="H432" s="14">
        <v>0.67</v>
      </c>
      <c r="I432" s="14">
        <v>6.8</v>
      </c>
      <c r="J432" s="14">
        <v>68.03</v>
      </c>
    </row>
    <row r="433" spans="1:10">
      <c r="A433" t="s">
        <v>53</v>
      </c>
      <c r="B433" t="s">
        <v>139</v>
      </c>
      <c r="C433">
        <v>1242</v>
      </c>
      <c r="D433" s="5">
        <v>8.4500000000000006E-2</v>
      </c>
      <c r="E433">
        <v>105</v>
      </c>
      <c r="F433">
        <v>3</v>
      </c>
      <c r="G433" s="6">
        <v>2.86E-2</v>
      </c>
      <c r="H433" s="14">
        <v>0.14000000000000001</v>
      </c>
      <c r="I433" s="14">
        <v>4.8899999999999997</v>
      </c>
      <c r="J433" s="14">
        <v>14.68</v>
      </c>
    </row>
    <row r="434" spans="1:10">
      <c r="A434" t="s">
        <v>53</v>
      </c>
      <c r="B434" t="s">
        <v>139</v>
      </c>
      <c r="C434">
        <v>18191</v>
      </c>
      <c r="D434" s="5">
        <v>8.5300000000000001E-2</v>
      </c>
      <c r="E434">
        <v>1552</v>
      </c>
      <c r="F434">
        <v>45</v>
      </c>
      <c r="G434" s="6">
        <v>2.9000000000000001E-2</v>
      </c>
      <c r="H434" s="14">
        <v>0.2</v>
      </c>
      <c r="I434" s="14">
        <v>6.93</v>
      </c>
      <c r="J434" s="14">
        <v>311.75</v>
      </c>
    </row>
    <row r="435" spans="1:10">
      <c r="A435" t="s">
        <v>51</v>
      </c>
      <c r="B435" t="s">
        <v>134</v>
      </c>
      <c r="C435">
        <v>354</v>
      </c>
      <c r="D435" s="5">
        <v>5.9299999999999999E-2</v>
      </c>
      <c r="E435">
        <v>21</v>
      </c>
      <c r="F435">
        <v>6</v>
      </c>
      <c r="G435" s="6">
        <v>0.28570000000000001</v>
      </c>
      <c r="H435" s="14">
        <v>0.81</v>
      </c>
      <c r="I435" s="14">
        <v>2.83</v>
      </c>
      <c r="J435" s="14">
        <v>16.98</v>
      </c>
    </row>
    <row r="436" spans="1:10">
      <c r="A436" t="s">
        <v>51</v>
      </c>
      <c r="B436" t="s">
        <v>134</v>
      </c>
      <c r="C436">
        <v>0</v>
      </c>
      <c r="D436" s="5">
        <v>0</v>
      </c>
      <c r="E436">
        <v>0</v>
      </c>
      <c r="F436">
        <v>0</v>
      </c>
      <c r="G436" s="6">
        <v>0</v>
      </c>
      <c r="H436" s="14">
        <v>0</v>
      </c>
      <c r="I436" s="14">
        <v>0</v>
      </c>
      <c r="J436" s="14">
        <v>0</v>
      </c>
    </row>
    <row r="437" spans="1:10">
      <c r="A437" t="s">
        <v>51</v>
      </c>
      <c r="B437" t="s">
        <v>134</v>
      </c>
      <c r="C437">
        <v>0</v>
      </c>
      <c r="D437" s="5">
        <v>0</v>
      </c>
      <c r="E437">
        <v>0</v>
      </c>
      <c r="F437">
        <v>0</v>
      </c>
      <c r="G437" s="6">
        <v>0</v>
      </c>
      <c r="H437" s="14">
        <v>0</v>
      </c>
      <c r="I437" s="14">
        <v>0</v>
      </c>
      <c r="J437" s="14">
        <v>0</v>
      </c>
    </row>
    <row r="438" spans="1:10">
      <c r="A438" t="s">
        <v>51</v>
      </c>
      <c r="B438" t="s">
        <v>134</v>
      </c>
      <c r="C438">
        <v>480</v>
      </c>
      <c r="D438" s="5">
        <v>6.4600000000000005E-2</v>
      </c>
      <c r="E438">
        <v>31</v>
      </c>
      <c r="F438">
        <v>2</v>
      </c>
      <c r="G438" s="6">
        <v>6.4500000000000002E-2</v>
      </c>
      <c r="H438" s="14">
        <v>0.32</v>
      </c>
      <c r="I438" s="14">
        <v>4.93</v>
      </c>
      <c r="J438" s="14">
        <v>9.8699999999999992</v>
      </c>
    </row>
    <row r="439" spans="1:10">
      <c r="A439" t="s">
        <v>51</v>
      </c>
      <c r="B439" t="s">
        <v>137</v>
      </c>
      <c r="C439">
        <v>302</v>
      </c>
      <c r="D439" s="5">
        <v>4.6399999999999997E-2</v>
      </c>
      <c r="E439">
        <v>14</v>
      </c>
      <c r="F439">
        <v>3</v>
      </c>
      <c r="G439" s="6">
        <v>0.21429999999999999</v>
      </c>
      <c r="H439" s="14">
        <v>0.85</v>
      </c>
      <c r="I439" s="14">
        <v>3.95</v>
      </c>
      <c r="J439" s="14">
        <v>11.86</v>
      </c>
    </row>
    <row r="440" spans="1:10">
      <c r="A440" t="s">
        <v>51</v>
      </c>
      <c r="B440" t="s">
        <v>137</v>
      </c>
      <c r="C440">
        <v>276</v>
      </c>
      <c r="D440" s="5">
        <v>4.7100000000000003E-2</v>
      </c>
      <c r="E440">
        <v>13</v>
      </c>
      <c r="F440">
        <v>4</v>
      </c>
      <c r="G440" s="6">
        <v>0.30769999999999997</v>
      </c>
      <c r="H440" s="14">
        <v>1.22</v>
      </c>
      <c r="I440" s="14">
        <v>3.98</v>
      </c>
      <c r="J440" s="14">
        <v>15.9</v>
      </c>
    </row>
    <row r="441" spans="1:10">
      <c r="A441" t="s">
        <v>51</v>
      </c>
      <c r="B441" t="s">
        <v>137</v>
      </c>
      <c r="C441">
        <v>73</v>
      </c>
      <c r="D441" s="5">
        <v>1.37E-2</v>
      </c>
      <c r="E441">
        <v>1</v>
      </c>
      <c r="F441">
        <v>1</v>
      </c>
      <c r="G441" s="6">
        <v>1</v>
      </c>
      <c r="H441" s="14">
        <v>10.71</v>
      </c>
      <c r="I441" s="14">
        <v>10.71</v>
      </c>
      <c r="J441" s="14">
        <v>10.71</v>
      </c>
    </row>
    <row r="442" spans="1:10">
      <c r="A442" t="s">
        <v>51</v>
      </c>
      <c r="B442" t="s">
        <v>137</v>
      </c>
      <c r="C442">
        <v>0</v>
      </c>
      <c r="D442" s="5">
        <v>0</v>
      </c>
      <c r="E442">
        <v>0</v>
      </c>
      <c r="F442">
        <v>0</v>
      </c>
      <c r="G442" s="6">
        <v>0</v>
      </c>
      <c r="H442" s="14">
        <v>0</v>
      </c>
      <c r="I442" s="14">
        <v>0</v>
      </c>
      <c r="J442" s="14">
        <v>0</v>
      </c>
    </row>
    <row r="443" spans="1:10">
      <c r="A443" t="s">
        <v>51</v>
      </c>
      <c r="B443" t="s">
        <v>137</v>
      </c>
      <c r="C443">
        <v>0</v>
      </c>
      <c r="D443" s="5">
        <v>0</v>
      </c>
      <c r="E443">
        <v>0</v>
      </c>
      <c r="F443">
        <v>0</v>
      </c>
      <c r="G443" s="6">
        <v>0</v>
      </c>
      <c r="H443" s="14">
        <v>0</v>
      </c>
      <c r="I443" s="14">
        <v>0</v>
      </c>
      <c r="J443" s="14">
        <v>0</v>
      </c>
    </row>
    <row r="444" spans="1:10">
      <c r="A444" t="s">
        <v>51</v>
      </c>
      <c r="B444" t="s">
        <v>131</v>
      </c>
      <c r="C444">
        <v>0</v>
      </c>
      <c r="D444" s="5">
        <v>0</v>
      </c>
      <c r="E444">
        <v>0</v>
      </c>
      <c r="F444">
        <v>0</v>
      </c>
      <c r="G444" s="6">
        <v>0</v>
      </c>
      <c r="H444" s="14">
        <v>0</v>
      </c>
      <c r="I444" s="14">
        <v>0</v>
      </c>
      <c r="J444" s="14">
        <v>0</v>
      </c>
    </row>
    <row r="445" spans="1:10">
      <c r="A445" t="s">
        <v>51</v>
      </c>
      <c r="B445" t="s">
        <v>134</v>
      </c>
      <c r="C445">
        <v>518</v>
      </c>
      <c r="D445" s="5">
        <v>8.1100000000000005E-2</v>
      </c>
      <c r="E445">
        <v>42</v>
      </c>
      <c r="F445">
        <v>3</v>
      </c>
      <c r="G445" s="6">
        <v>7.1400000000000005E-2</v>
      </c>
      <c r="H445" s="14">
        <v>0.21</v>
      </c>
      <c r="I445" s="14">
        <v>2.91</v>
      </c>
      <c r="J445" s="14">
        <v>8.73</v>
      </c>
    </row>
    <row r="446" spans="1:10">
      <c r="A446" t="s">
        <v>117</v>
      </c>
      <c r="B446" t="s">
        <v>134</v>
      </c>
      <c r="C446">
        <v>128</v>
      </c>
      <c r="D446" s="5">
        <v>5.4699999999999999E-2</v>
      </c>
      <c r="E446">
        <v>7</v>
      </c>
      <c r="F446">
        <v>1</v>
      </c>
      <c r="G446" s="6">
        <v>0.1429</v>
      </c>
      <c r="H446" s="14">
        <v>1.19</v>
      </c>
      <c r="I446" s="14">
        <v>8.33</v>
      </c>
      <c r="J446" s="14">
        <v>8.33</v>
      </c>
    </row>
    <row r="447" spans="1:10">
      <c r="A447" t="s">
        <v>117</v>
      </c>
      <c r="B447" t="s">
        <v>134</v>
      </c>
      <c r="C447">
        <v>236</v>
      </c>
      <c r="D447" s="5">
        <v>2.9700000000000001E-2</v>
      </c>
      <c r="E447">
        <v>7</v>
      </c>
      <c r="F447">
        <v>0</v>
      </c>
      <c r="G447" s="6">
        <v>0</v>
      </c>
      <c r="H447" s="14">
        <v>0</v>
      </c>
      <c r="I447" s="14">
        <v>0</v>
      </c>
      <c r="J447" s="14">
        <v>0</v>
      </c>
    </row>
    <row r="448" spans="1:10">
      <c r="A448" t="s">
        <v>118</v>
      </c>
      <c r="B448" t="s">
        <v>134</v>
      </c>
      <c r="C448">
        <v>1</v>
      </c>
      <c r="D448" s="5">
        <v>0</v>
      </c>
      <c r="E448">
        <v>0</v>
      </c>
      <c r="F448">
        <v>0</v>
      </c>
      <c r="G448" s="6">
        <v>0</v>
      </c>
      <c r="H448" s="14">
        <v>0</v>
      </c>
      <c r="I448" s="14">
        <v>0</v>
      </c>
      <c r="J448" s="14">
        <v>0</v>
      </c>
    </row>
    <row r="449" spans="1:10">
      <c r="A449" t="s">
        <v>54</v>
      </c>
      <c r="B449" t="s">
        <v>134</v>
      </c>
      <c r="C449">
        <v>2480</v>
      </c>
      <c r="D449" s="5">
        <v>0.10440000000000001</v>
      </c>
      <c r="E449">
        <v>259</v>
      </c>
      <c r="F449">
        <v>26</v>
      </c>
      <c r="G449" s="6">
        <v>0.1004</v>
      </c>
      <c r="H449" s="14">
        <v>0.45</v>
      </c>
      <c r="I449" s="14">
        <v>4.47</v>
      </c>
      <c r="J449" s="14">
        <v>116.17</v>
      </c>
    </row>
    <row r="450" spans="1:10">
      <c r="A450" t="s">
        <v>119</v>
      </c>
      <c r="B450" t="s">
        <v>133</v>
      </c>
      <c r="C450">
        <v>308</v>
      </c>
      <c r="D450" s="5">
        <v>6.4899999999999999E-2</v>
      </c>
      <c r="E450">
        <v>20</v>
      </c>
      <c r="F450">
        <v>0</v>
      </c>
      <c r="G450" s="6">
        <v>0</v>
      </c>
      <c r="H450" s="14">
        <v>0</v>
      </c>
      <c r="I450" s="14">
        <v>0</v>
      </c>
      <c r="J450" s="14">
        <v>0</v>
      </c>
    </row>
  </sheetData>
  <autoFilter ref="A1:J450" xr:uid="{00000000-0001-0000-0000-000000000000}">
    <sortState xmlns:xlrd2="http://schemas.microsoft.com/office/spreadsheetml/2017/richdata2" ref="A2:J450">
      <sortCondition ref="A1"/>
    </sortState>
  </autoFilter>
  <pageMargins left="0.7" right="0.7" top="0.75" bottom="0.75" header="0.3" footer="0.3"/>
  <ignoredErrors>
    <ignoredError sqref="H1:J1 A1:G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4E67-398D-48A3-8FB6-AB069EECCDCA}">
  <dimension ref="A2:I118"/>
  <sheetViews>
    <sheetView zoomScale="68" zoomScaleNormal="68" workbookViewId="0">
      <selection activeCell="D7" sqref="D7"/>
    </sheetView>
  </sheetViews>
  <sheetFormatPr defaultRowHeight="15.6"/>
  <cols>
    <col min="1" max="1" width="42.625" bestFit="1" customWidth="1"/>
    <col min="2" max="2" width="30.875" bestFit="1" customWidth="1"/>
    <col min="3" max="3" width="27.75" style="4" bestFit="1" customWidth="1"/>
    <col min="4" max="4" width="41.125" style="4" bestFit="1" customWidth="1"/>
    <col min="5" max="5" width="43" style="5" bestFit="1" customWidth="1"/>
    <col min="6" max="6" width="25" bestFit="1" customWidth="1"/>
    <col min="7" max="7" width="38.125" bestFit="1" customWidth="1"/>
    <col min="8" max="8" width="46.25" style="5" bestFit="1" customWidth="1"/>
    <col min="9" max="9" width="17.375" bestFit="1" customWidth="1"/>
  </cols>
  <sheetData>
    <row r="2" spans="1:9">
      <c r="A2" s="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</row>
    <row r="3" spans="1:9">
      <c r="A3" s="3" t="s">
        <v>61</v>
      </c>
      <c r="B3">
        <v>1091</v>
      </c>
      <c r="C3">
        <v>0.53249999999999997</v>
      </c>
      <c r="D3">
        <v>5.2249999999999996</v>
      </c>
      <c r="E3">
        <v>3.3225000000000005E-2</v>
      </c>
      <c r="F3">
        <v>45</v>
      </c>
      <c r="G3">
        <v>2</v>
      </c>
      <c r="H3">
        <v>4.3799999999999999E-2</v>
      </c>
      <c r="I3" s="9">
        <v>20.9</v>
      </c>
    </row>
    <row r="4" spans="1:9">
      <c r="A4" s="3" t="s">
        <v>68</v>
      </c>
      <c r="B4">
        <v>140</v>
      </c>
      <c r="C4">
        <v>0</v>
      </c>
      <c r="D4">
        <v>0</v>
      </c>
      <c r="E4">
        <v>7.1400000000000005E-2</v>
      </c>
      <c r="F4">
        <v>10</v>
      </c>
      <c r="G4">
        <v>0</v>
      </c>
      <c r="H4">
        <v>0</v>
      </c>
      <c r="I4" s="9">
        <v>0</v>
      </c>
    </row>
    <row r="5" spans="1:9">
      <c r="A5" s="3" t="s">
        <v>34</v>
      </c>
      <c r="B5">
        <v>6095</v>
      </c>
      <c r="C5">
        <v>1.0658823529411765</v>
      </c>
      <c r="D5">
        <v>5.9035294117647066</v>
      </c>
      <c r="E5">
        <v>4.9247058823529408E-2</v>
      </c>
      <c r="F5">
        <v>276</v>
      </c>
      <c r="G5">
        <v>18</v>
      </c>
      <c r="H5">
        <v>7.3405882352941182E-2</v>
      </c>
      <c r="I5" s="9">
        <v>189.3</v>
      </c>
    </row>
    <row r="6" spans="1:9">
      <c r="A6" s="3" t="s">
        <v>69</v>
      </c>
      <c r="B6">
        <v>313</v>
      </c>
      <c r="C6">
        <v>0</v>
      </c>
      <c r="D6">
        <v>0</v>
      </c>
      <c r="E6">
        <v>2.5600000000000001E-2</v>
      </c>
      <c r="F6">
        <v>8</v>
      </c>
      <c r="G6">
        <v>0</v>
      </c>
      <c r="H6">
        <v>0</v>
      </c>
      <c r="I6" s="9">
        <v>0</v>
      </c>
    </row>
    <row r="7" spans="1:9">
      <c r="A7" s="3" t="s">
        <v>14</v>
      </c>
      <c r="B7">
        <v>4667</v>
      </c>
      <c r="C7">
        <v>0.21</v>
      </c>
      <c r="D7">
        <v>5.18</v>
      </c>
      <c r="E7">
        <v>9.9900000000000003E-2</v>
      </c>
      <c r="F7">
        <v>466</v>
      </c>
      <c r="G7">
        <v>19</v>
      </c>
      <c r="H7">
        <v>4.0800000000000003E-2</v>
      </c>
      <c r="I7" s="9">
        <v>98.4</v>
      </c>
    </row>
    <row r="8" spans="1:9">
      <c r="A8" s="3" t="s">
        <v>65</v>
      </c>
      <c r="B8">
        <v>11529</v>
      </c>
      <c r="C8">
        <v>0.33142857142857141</v>
      </c>
      <c r="D8">
        <v>6.3285714285714292</v>
      </c>
      <c r="E8">
        <v>2.4542857142857144E-2</v>
      </c>
      <c r="F8">
        <v>402</v>
      </c>
      <c r="G8">
        <v>28</v>
      </c>
      <c r="H8">
        <v>4.2642857142857142E-2</v>
      </c>
      <c r="I8" s="9">
        <v>175.24</v>
      </c>
    </row>
    <row r="9" spans="1:9">
      <c r="A9" s="3" t="s">
        <v>15</v>
      </c>
      <c r="B9">
        <v>668</v>
      </c>
      <c r="C9">
        <v>0.61</v>
      </c>
      <c r="D9">
        <v>8.3699999999999992</v>
      </c>
      <c r="E9">
        <v>8.2299999999999998E-2</v>
      </c>
      <c r="F9">
        <v>55</v>
      </c>
      <c r="G9">
        <v>4</v>
      </c>
      <c r="H9">
        <v>7.2700000000000001E-2</v>
      </c>
      <c r="I9" s="9">
        <v>33.49</v>
      </c>
    </row>
    <row r="10" spans="1:9">
      <c r="A10" s="3" t="s">
        <v>70</v>
      </c>
      <c r="B10">
        <v>16475</v>
      </c>
      <c r="C10">
        <v>0.22230769230769232</v>
      </c>
      <c r="D10">
        <v>3.3223076923076929</v>
      </c>
      <c r="E10">
        <v>3.9753846153846153E-2</v>
      </c>
      <c r="F10">
        <v>1005</v>
      </c>
      <c r="G10">
        <v>56</v>
      </c>
      <c r="H10">
        <v>4.3015384615384608E-2</v>
      </c>
      <c r="I10" s="9">
        <v>316.57</v>
      </c>
    </row>
    <row r="11" spans="1:9">
      <c r="A11" s="3" t="s">
        <v>16</v>
      </c>
      <c r="B11">
        <v>497</v>
      </c>
      <c r="C11">
        <v>0.62</v>
      </c>
      <c r="D11">
        <v>3.86</v>
      </c>
      <c r="E11">
        <v>2.5149999999999999E-2</v>
      </c>
      <c r="F11">
        <v>25</v>
      </c>
      <c r="G11">
        <v>4</v>
      </c>
      <c r="H11">
        <v>0.08</v>
      </c>
      <c r="I11" s="9">
        <v>30.88</v>
      </c>
    </row>
    <row r="12" spans="1:9">
      <c r="A12" s="3" t="s">
        <v>71</v>
      </c>
      <c r="B12">
        <v>375</v>
      </c>
      <c r="C12">
        <v>0</v>
      </c>
      <c r="D12">
        <v>0</v>
      </c>
      <c r="E12">
        <v>2.6700000000000002E-2</v>
      </c>
      <c r="F12">
        <v>10</v>
      </c>
      <c r="G12">
        <v>0</v>
      </c>
      <c r="H12">
        <v>0</v>
      </c>
      <c r="I12" s="9">
        <v>0</v>
      </c>
    </row>
    <row r="13" spans="1:9">
      <c r="A13" s="3" t="s">
        <v>62</v>
      </c>
      <c r="B13">
        <v>5288</v>
      </c>
      <c r="C13">
        <v>0.3725</v>
      </c>
      <c r="D13">
        <v>6.35</v>
      </c>
      <c r="E13">
        <v>5.5274999999999998E-2</v>
      </c>
      <c r="F13">
        <v>313</v>
      </c>
      <c r="G13">
        <v>19</v>
      </c>
      <c r="H13">
        <v>5.8624999999999997E-2</v>
      </c>
      <c r="I13" s="9">
        <v>123.26000000000002</v>
      </c>
    </row>
    <row r="14" spans="1:9">
      <c r="A14" s="3" t="s">
        <v>72</v>
      </c>
      <c r="B14">
        <v>150</v>
      </c>
      <c r="C14">
        <v>0</v>
      </c>
      <c r="D14">
        <v>0</v>
      </c>
      <c r="E14">
        <v>1.3299999999999999E-2</v>
      </c>
      <c r="F14">
        <v>2</v>
      </c>
      <c r="G14">
        <v>0</v>
      </c>
      <c r="H14">
        <v>0</v>
      </c>
      <c r="I14" s="9">
        <v>0</v>
      </c>
    </row>
    <row r="15" spans="1:9">
      <c r="A15" s="3" t="s">
        <v>73</v>
      </c>
      <c r="B15">
        <v>88</v>
      </c>
      <c r="C15">
        <v>0</v>
      </c>
      <c r="D15">
        <v>0</v>
      </c>
      <c r="E15">
        <v>0.11360000000000001</v>
      </c>
      <c r="F15">
        <v>10</v>
      </c>
      <c r="G15">
        <v>0</v>
      </c>
      <c r="H15">
        <v>0</v>
      </c>
      <c r="I15" s="9">
        <v>0</v>
      </c>
    </row>
    <row r="16" spans="1:9">
      <c r="A16" s="3" t="s">
        <v>74</v>
      </c>
      <c r="B16">
        <v>1138</v>
      </c>
      <c r="C16">
        <v>0.35</v>
      </c>
      <c r="D16">
        <v>7.64</v>
      </c>
      <c r="E16">
        <v>5.7099999999999998E-2</v>
      </c>
      <c r="F16">
        <v>65</v>
      </c>
      <c r="G16">
        <v>3</v>
      </c>
      <c r="H16">
        <v>4.6199999999999998E-2</v>
      </c>
      <c r="I16" s="9">
        <v>22.92</v>
      </c>
    </row>
    <row r="17" spans="1:9">
      <c r="A17" s="3" t="s">
        <v>75</v>
      </c>
      <c r="B17">
        <v>378</v>
      </c>
      <c r="C17">
        <v>0.43</v>
      </c>
      <c r="D17">
        <v>3.84</v>
      </c>
      <c r="E17">
        <v>4.7600000000000003E-2</v>
      </c>
      <c r="F17">
        <v>18</v>
      </c>
      <c r="G17">
        <v>2</v>
      </c>
      <c r="H17">
        <v>0.1111</v>
      </c>
      <c r="I17" s="9">
        <v>7.68</v>
      </c>
    </row>
    <row r="18" spans="1:9">
      <c r="A18" s="3" t="s">
        <v>17</v>
      </c>
      <c r="B18">
        <v>6974</v>
      </c>
      <c r="C18">
        <v>0.33999999999999997</v>
      </c>
      <c r="D18">
        <v>7.2800000000000011</v>
      </c>
      <c r="E18">
        <v>7.4299999999999991E-2</v>
      </c>
      <c r="F18">
        <v>516</v>
      </c>
      <c r="G18">
        <v>22</v>
      </c>
      <c r="H18">
        <v>4.5825000000000005E-2</v>
      </c>
      <c r="I18" s="9">
        <v>182.52</v>
      </c>
    </row>
    <row r="19" spans="1:9">
      <c r="A19" s="3" t="s">
        <v>76</v>
      </c>
      <c r="B19">
        <v>960</v>
      </c>
      <c r="C19">
        <v>0.43</v>
      </c>
      <c r="D19">
        <v>14.47</v>
      </c>
      <c r="E19">
        <v>6.9800000000000001E-2</v>
      </c>
      <c r="F19">
        <v>67</v>
      </c>
      <c r="G19">
        <v>2</v>
      </c>
      <c r="H19">
        <v>2.9899999999999999E-2</v>
      </c>
      <c r="I19" s="9">
        <v>28.94</v>
      </c>
    </row>
    <row r="20" spans="1:9">
      <c r="A20" s="3" t="s">
        <v>66</v>
      </c>
      <c r="B20">
        <v>1556</v>
      </c>
      <c r="C20">
        <v>0.98285714285714287</v>
      </c>
      <c r="D20">
        <v>7.1385714285714288</v>
      </c>
      <c r="E20">
        <v>5.4171428571428572E-2</v>
      </c>
      <c r="F20">
        <v>91</v>
      </c>
      <c r="G20">
        <v>8</v>
      </c>
      <c r="H20">
        <v>8.6571428571428563E-2</v>
      </c>
      <c r="I20" s="9">
        <v>63.48</v>
      </c>
    </row>
    <row r="21" spans="1:9">
      <c r="A21" s="3" t="s">
        <v>46</v>
      </c>
      <c r="B21">
        <v>4758</v>
      </c>
      <c r="C21">
        <v>0.16500000000000001</v>
      </c>
      <c r="D21">
        <v>6.5</v>
      </c>
      <c r="E21">
        <v>5.4099999999999995E-2</v>
      </c>
      <c r="F21">
        <v>250</v>
      </c>
      <c r="G21">
        <v>6</v>
      </c>
      <c r="H21">
        <v>2.0250000000000001E-2</v>
      </c>
      <c r="I21" s="9">
        <v>50.849999999999994</v>
      </c>
    </row>
    <row r="22" spans="1:9">
      <c r="A22" s="3" t="s">
        <v>36</v>
      </c>
      <c r="B22">
        <v>3804</v>
      </c>
      <c r="C22">
        <v>0.31000000000000005</v>
      </c>
      <c r="D22">
        <v>6.3324999999999996</v>
      </c>
      <c r="E22">
        <v>5.8599999999999999E-2</v>
      </c>
      <c r="F22">
        <v>208</v>
      </c>
      <c r="G22">
        <v>9</v>
      </c>
      <c r="H22">
        <v>3.4950000000000002E-2</v>
      </c>
      <c r="I22" s="9">
        <v>88.06</v>
      </c>
    </row>
    <row r="23" spans="1:9">
      <c r="A23" s="3" t="s">
        <v>18</v>
      </c>
      <c r="B23">
        <v>80</v>
      </c>
      <c r="C23">
        <v>0.21</v>
      </c>
      <c r="D23">
        <v>1.7</v>
      </c>
      <c r="E23">
        <v>0.1</v>
      </c>
      <c r="F23">
        <v>8</v>
      </c>
      <c r="G23">
        <v>1</v>
      </c>
      <c r="H23">
        <v>0.125</v>
      </c>
      <c r="I23" s="9">
        <v>1.7</v>
      </c>
    </row>
    <row r="24" spans="1:9">
      <c r="A24" s="3" t="s">
        <v>77</v>
      </c>
      <c r="B24">
        <v>82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9">
        <v>0</v>
      </c>
    </row>
    <row r="25" spans="1:9">
      <c r="A25" s="3" t="s">
        <v>78</v>
      </c>
      <c r="B25">
        <v>231</v>
      </c>
      <c r="C25">
        <v>0.87</v>
      </c>
      <c r="D25">
        <v>7.44</v>
      </c>
      <c r="E25">
        <v>7.3599999999999999E-2</v>
      </c>
      <c r="F25">
        <v>17</v>
      </c>
      <c r="G25">
        <v>2</v>
      </c>
      <c r="H25">
        <v>0.1176</v>
      </c>
      <c r="I25" s="9">
        <v>14.87</v>
      </c>
    </row>
    <row r="26" spans="1:9">
      <c r="A26" s="3" t="s">
        <v>19</v>
      </c>
      <c r="B26">
        <v>13810</v>
      </c>
      <c r="C26">
        <v>0.67249999999999999</v>
      </c>
      <c r="D26">
        <v>7.02</v>
      </c>
      <c r="E26">
        <v>9.0074999999999988E-2</v>
      </c>
      <c r="F26">
        <v>1204</v>
      </c>
      <c r="G26">
        <v>116</v>
      </c>
      <c r="H26">
        <v>9.8449999999999996E-2</v>
      </c>
      <c r="I26" s="9">
        <v>896.75</v>
      </c>
    </row>
    <row r="27" spans="1:9">
      <c r="A27" s="3" t="s">
        <v>79</v>
      </c>
      <c r="B27">
        <v>429</v>
      </c>
      <c r="C27">
        <v>0.74</v>
      </c>
      <c r="D27">
        <v>4.46</v>
      </c>
      <c r="E27">
        <v>5.5899999999999998E-2</v>
      </c>
      <c r="F27">
        <v>24</v>
      </c>
      <c r="G27">
        <v>4</v>
      </c>
      <c r="H27">
        <v>0.16669999999999999</v>
      </c>
      <c r="I27" s="9">
        <v>17.82</v>
      </c>
    </row>
    <row r="28" spans="1:9">
      <c r="A28" s="3" t="s">
        <v>20</v>
      </c>
      <c r="B28">
        <v>2086</v>
      </c>
      <c r="C28">
        <v>0.64500000000000002</v>
      </c>
      <c r="D28">
        <v>7.2650000000000006</v>
      </c>
      <c r="E28">
        <v>6.9449999999999998E-2</v>
      </c>
      <c r="F28">
        <v>134</v>
      </c>
      <c r="G28">
        <v>11</v>
      </c>
      <c r="H28">
        <v>9.5250000000000001E-2</v>
      </c>
      <c r="I28" s="9">
        <v>85.31</v>
      </c>
    </row>
    <row r="29" spans="1:9">
      <c r="A29" s="3" t="s">
        <v>38</v>
      </c>
      <c r="B29">
        <v>4153</v>
      </c>
      <c r="C29">
        <v>0.62187500000000007</v>
      </c>
      <c r="D29">
        <v>5.1462500000000002</v>
      </c>
      <c r="E29">
        <v>2.9624999999999995E-2</v>
      </c>
      <c r="F29">
        <v>235</v>
      </c>
      <c r="G29">
        <v>20</v>
      </c>
      <c r="H29">
        <v>4.4687499999999998E-2</v>
      </c>
      <c r="I29" s="9">
        <v>186.94</v>
      </c>
    </row>
    <row r="30" spans="1:9">
      <c r="A30" s="3" t="s">
        <v>80</v>
      </c>
      <c r="B30">
        <v>266</v>
      </c>
      <c r="C30">
        <v>0.42</v>
      </c>
      <c r="D30">
        <v>4.21</v>
      </c>
      <c r="E30">
        <v>3.7600000000000001E-2</v>
      </c>
      <c r="F30">
        <v>10</v>
      </c>
      <c r="G30">
        <v>1</v>
      </c>
      <c r="H30">
        <v>0.1</v>
      </c>
      <c r="I30" s="9">
        <v>4.21</v>
      </c>
    </row>
    <row r="31" spans="1:9">
      <c r="A31" s="3" t="s">
        <v>81</v>
      </c>
      <c r="B31">
        <v>12374</v>
      </c>
      <c r="C31">
        <v>0.53749999999999998</v>
      </c>
      <c r="D31">
        <v>5.5650000000000004</v>
      </c>
      <c r="E31">
        <v>6.1249999999999999E-2</v>
      </c>
      <c r="F31">
        <v>722</v>
      </c>
      <c r="G31">
        <v>60</v>
      </c>
      <c r="H31">
        <v>9.6225000000000005E-2</v>
      </c>
      <c r="I31" s="9">
        <v>329.41999999999996</v>
      </c>
    </row>
    <row r="32" spans="1:9">
      <c r="A32" s="3" t="s">
        <v>21</v>
      </c>
      <c r="B32">
        <v>5335</v>
      </c>
      <c r="C32">
        <v>0.45333333333333331</v>
      </c>
      <c r="D32">
        <v>7.0233333333333334</v>
      </c>
      <c r="E32">
        <v>0.10593333333333332</v>
      </c>
      <c r="F32">
        <v>526</v>
      </c>
      <c r="G32">
        <v>42</v>
      </c>
      <c r="H32">
        <v>7.6666666666666661E-2</v>
      </c>
      <c r="I32" s="9">
        <v>260.40999999999997</v>
      </c>
    </row>
    <row r="33" spans="1:9">
      <c r="A33" s="3" t="s">
        <v>22</v>
      </c>
      <c r="B33">
        <v>12873</v>
      </c>
      <c r="C33">
        <v>0.40578947368421053</v>
      </c>
      <c r="D33">
        <v>4.8805263157894743</v>
      </c>
      <c r="E33">
        <v>6.5126315789473685E-2</v>
      </c>
      <c r="F33">
        <v>1039</v>
      </c>
      <c r="G33">
        <v>87</v>
      </c>
      <c r="H33">
        <v>6.308421052631577E-2</v>
      </c>
      <c r="I33" s="9">
        <v>674.86999999999989</v>
      </c>
    </row>
    <row r="34" spans="1:9">
      <c r="A34" s="3" t="s">
        <v>23</v>
      </c>
      <c r="B34">
        <v>2080</v>
      </c>
      <c r="C34">
        <v>0.58333333333333337</v>
      </c>
      <c r="D34">
        <v>3.8466666666666662</v>
      </c>
      <c r="E34">
        <v>9.1700000000000004E-2</v>
      </c>
      <c r="F34">
        <v>145</v>
      </c>
      <c r="G34">
        <v>17</v>
      </c>
      <c r="H34">
        <v>0.13783333333333334</v>
      </c>
      <c r="I34" s="9">
        <v>52.37</v>
      </c>
    </row>
    <row r="35" spans="1:9">
      <c r="A35" s="3" t="s">
        <v>24</v>
      </c>
      <c r="B35">
        <v>693</v>
      </c>
      <c r="C35">
        <v>0.21</v>
      </c>
      <c r="D35">
        <v>1.95</v>
      </c>
      <c r="E35">
        <v>7.0800000000000002E-2</v>
      </c>
      <c r="F35">
        <v>50</v>
      </c>
      <c r="G35">
        <v>4</v>
      </c>
      <c r="H35">
        <v>5.4050000000000001E-2</v>
      </c>
      <c r="I35" s="9">
        <v>15.6</v>
      </c>
    </row>
    <row r="36" spans="1:9">
      <c r="A36" s="3" t="s">
        <v>25</v>
      </c>
      <c r="B36">
        <v>2760</v>
      </c>
      <c r="C36">
        <v>1.1316666666666666</v>
      </c>
      <c r="D36">
        <v>10.693333333333333</v>
      </c>
      <c r="E36">
        <v>0.10295</v>
      </c>
      <c r="F36">
        <v>290</v>
      </c>
      <c r="G36">
        <v>24</v>
      </c>
      <c r="H36">
        <v>0.10418333333333334</v>
      </c>
      <c r="I36" s="9">
        <v>212</v>
      </c>
    </row>
    <row r="37" spans="1:9">
      <c r="A37" s="3" t="s">
        <v>26</v>
      </c>
      <c r="B37">
        <v>6939</v>
      </c>
      <c r="C37">
        <v>0.36375000000000002</v>
      </c>
      <c r="D37">
        <v>5.8112500000000002</v>
      </c>
      <c r="E37">
        <v>6.75375E-2</v>
      </c>
      <c r="F37">
        <v>497</v>
      </c>
      <c r="G37">
        <v>30</v>
      </c>
      <c r="H37">
        <v>6.1062499999999999E-2</v>
      </c>
      <c r="I37" s="9">
        <v>203.89999999999998</v>
      </c>
    </row>
    <row r="38" spans="1:9">
      <c r="A38" s="3" t="s">
        <v>27</v>
      </c>
      <c r="B38">
        <v>2114</v>
      </c>
      <c r="C38">
        <v>0.40333333333333332</v>
      </c>
      <c r="D38">
        <v>5.3850000000000007</v>
      </c>
      <c r="E38">
        <v>6.4533333333333331E-2</v>
      </c>
      <c r="F38">
        <v>146</v>
      </c>
      <c r="G38">
        <v>11</v>
      </c>
      <c r="H38">
        <v>7.9450000000000007E-2</v>
      </c>
      <c r="I38" s="9">
        <v>92.580000000000013</v>
      </c>
    </row>
    <row r="39" spans="1:9">
      <c r="A39" s="3" t="s">
        <v>28</v>
      </c>
      <c r="B39">
        <v>11946</v>
      </c>
      <c r="C39">
        <v>0.46499999999999997</v>
      </c>
      <c r="D39">
        <v>6.1</v>
      </c>
      <c r="E39">
        <v>5.1375000000000004E-2</v>
      </c>
      <c r="F39">
        <v>730</v>
      </c>
      <c r="G39">
        <v>63</v>
      </c>
      <c r="H39">
        <v>6.2806250000000008E-2</v>
      </c>
      <c r="I39" s="9">
        <v>448.50999999999993</v>
      </c>
    </row>
    <row r="40" spans="1:9">
      <c r="A40" s="3" t="s">
        <v>82</v>
      </c>
      <c r="B40">
        <v>1024</v>
      </c>
      <c r="C40">
        <v>0.86499999999999999</v>
      </c>
      <c r="D40">
        <v>6.04</v>
      </c>
      <c r="E40">
        <v>3.6299999999999999E-2</v>
      </c>
      <c r="F40">
        <v>33</v>
      </c>
      <c r="G40">
        <v>3</v>
      </c>
      <c r="H40">
        <v>7.145E-2</v>
      </c>
      <c r="I40" s="9">
        <v>36.229999999999997</v>
      </c>
    </row>
    <row r="41" spans="1:9">
      <c r="A41" s="3" t="s">
        <v>83</v>
      </c>
      <c r="B41">
        <v>655</v>
      </c>
      <c r="C41">
        <v>1.37</v>
      </c>
      <c r="D41">
        <v>11.79</v>
      </c>
      <c r="E41">
        <v>6.5600000000000006E-2</v>
      </c>
      <c r="F41">
        <v>43</v>
      </c>
      <c r="G41">
        <v>5</v>
      </c>
      <c r="H41">
        <v>0.1163</v>
      </c>
      <c r="I41" s="9">
        <v>58.94</v>
      </c>
    </row>
    <row r="42" spans="1:9">
      <c r="A42" s="3" t="s">
        <v>29</v>
      </c>
      <c r="B42">
        <v>3787</v>
      </c>
      <c r="C42">
        <v>0.67333333333333334</v>
      </c>
      <c r="D42">
        <v>9.5416666666666679</v>
      </c>
      <c r="E42">
        <v>7.6833333333333323E-2</v>
      </c>
      <c r="F42">
        <v>286</v>
      </c>
      <c r="G42">
        <v>20</v>
      </c>
      <c r="H42">
        <v>7.4966666666666668E-2</v>
      </c>
      <c r="I42" s="9">
        <v>200.59000000000003</v>
      </c>
    </row>
    <row r="43" spans="1:9">
      <c r="A43" s="3" t="s">
        <v>60</v>
      </c>
      <c r="B43">
        <v>1867</v>
      </c>
      <c r="C43">
        <v>9.0000000000000011E-2</v>
      </c>
      <c r="D43">
        <v>1.1399999999999999</v>
      </c>
      <c r="E43">
        <v>1.8033333333333335E-2</v>
      </c>
      <c r="F43">
        <v>101</v>
      </c>
      <c r="G43">
        <v>8</v>
      </c>
      <c r="H43">
        <v>2.6400000000000003E-2</v>
      </c>
      <c r="I43" s="9">
        <v>27.33</v>
      </c>
    </row>
    <row r="44" spans="1:9">
      <c r="A44" s="3" t="s">
        <v>45</v>
      </c>
      <c r="B44">
        <v>3597</v>
      </c>
      <c r="C44">
        <v>0.36333333333333329</v>
      </c>
      <c r="D44">
        <v>6.253333333333333</v>
      </c>
      <c r="E44">
        <v>6.1666666666666668E-2</v>
      </c>
      <c r="F44">
        <v>217</v>
      </c>
      <c r="G44">
        <v>11</v>
      </c>
      <c r="H44">
        <v>5.9433333333333338E-2</v>
      </c>
      <c r="I44" s="9">
        <v>63.129999999999995</v>
      </c>
    </row>
    <row r="45" spans="1:9">
      <c r="A45" s="3" t="s">
        <v>30</v>
      </c>
      <c r="B45">
        <v>3977</v>
      </c>
      <c r="C45">
        <v>0.22500000000000001</v>
      </c>
      <c r="D45">
        <v>3.33</v>
      </c>
      <c r="E45">
        <v>4.48E-2</v>
      </c>
      <c r="F45">
        <v>174</v>
      </c>
      <c r="G45">
        <v>15</v>
      </c>
      <c r="H45">
        <v>9.1375000000000012E-2</v>
      </c>
      <c r="I45" s="9">
        <v>40.11</v>
      </c>
    </row>
    <row r="46" spans="1:9">
      <c r="A46" s="3" t="s">
        <v>84</v>
      </c>
      <c r="B46">
        <v>7058</v>
      </c>
      <c r="C46">
        <v>0.38624999999999998</v>
      </c>
      <c r="D46">
        <v>5.4275000000000002</v>
      </c>
      <c r="E46">
        <v>5.3862500000000001E-2</v>
      </c>
      <c r="F46">
        <v>380</v>
      </c>
      <c r="G46">
        <v>24</v>
      </c>
      <c r="H46">
        <v>7.2787500000000005E-2</v>
      </c>
      <c r="I46" s="9">
        <v>130.97999999999999</v>
      </c>
    </row>
    <row r="47" spans="1:9">
      <c r="A47" s="3" t="s">
        <v>85</v>
      </c>
      <c r="B47">
        <v>6016</v>
      </c>
      <c r="C47">
        <v>0.39333333333333337</v>
      </c>
      <c r="D47">
        <v>4.6988888888888889</v>
      </c>
      <c r="E47">
        <v>5.8577777777777777E-2</v>
      </c>
      <c r="F47">
        <v>337</v>
      </c>
      <c r="G47">
        <v>26</v>
      </c>
      <c r="H47">
        <v>8.2333333333333328E-2</v>
      </c>
      <c r="I47" s="9">
        <v>125.39</v>
      </c>
    </row>
    <row r="48" spans="1:9">
      <c r="A48" s="3" t="s">
        <v>86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9">
        <v>0</v>
      </c>
    </row>
    <row r="49" spans="1:9">
      <c r="A49" s="3" t="s">
        <v>31</v>
      </c>
      <c r="B49">
        <v>286</v>
      </c>
      <c r="C49">
        <v>1.43</v>
      </c>
      <c r="D49">
        <v>3.58</v>
      </c>
      <c r="E49">
        <v>8.7400000000000005E-2</v>
      </c>
      <c r="F49">
        <v>25</v>
      </c>
      <c r="G49">
        <v>10</v>
      </c>
      <c r="H49">
        <v>0.4</v>
      </c>
      <c r="I49" s="9">
        <v>35.75</v>
      </c>
    </row>
    <row r="50" spans="1:9">
      <c r="A50" s="3" t="s">
        <v>57</v>
      </c>
      <c r="B50">
        <v>2195</v>
      </c>
      <c r="C50">
        <v>0.73</v>
      </c>
      <c r="D50">
        <v>8.9949999999999992</v>
      </c>
      <c r="E50">
        <v>7.4099999999999999E-2</v>
      </c>
      <c r="F50">
        <v>140</v>
      </c>
      <c r="G50">
        <v>11</v>
      </c>
      <c r="H50">
        <v>8.6900000000000005E-2</v>
      </c>
      <c r="I50" s="9">
        <v>97.11</v>
      </c>
    </row>
    <row r="51" spans="1:9">
      <c r="A51" s="3" t="s">
        <v>87</v>
      </c>
      <c r="B51">
        <v>131</v>
      </c>
      <c r="C51">
        <v>0</v>
      </c>
      <c r="D51">
        <v>0</v>
      </c>
      <c r="E51">
        <v>2.2600000000000002E-2</v>
      </c>
      <c r="F51">
        <v>3</v>
      </c>
      <c r="G51">
        <v>0</v>
      </c>
      <c r="H51">
        <v>0</v>
      </c>
      <c r="I51" s="9">
        <v>0</v>
      </c>
    </row>
    <row r="52" spans="1:9">
      <c r="A52" s="3" t="s">
        <v>58</v>
      </c>
      <c r="B52">
        <v>1207</v>
      </c>
      <c r="C52">
        <v>0.37</v>
      </c>
      <c r="D52">
        <v>7.2549999999999999</v>
      </c>
      <c r="E52">
        <v>4.5649999999999996E-2</v>
      </c>
      <c r="F52">
        <v>57</v>
      </c>
      <c r="G52">
        <v>2</v>
      </c>
      <c r="H52">
        <v>2.5649999999999999E-2</v>
      </c>
      <c r="I52" s="9">
        <v>29.02</v>
      </c>
    </row>
    <row r="53" spans="1:9">
      <c r="A53" s="3" t="s">
        <v>88</v>
      </c>
      <c r="B53">
        <v>1145</v>
      </c>
      <c r="C53">
        <v>0.17</v>
      </c>
      <c r="D53">
        <v>1.5449999999999999</v>
      </c>
      <c r="E53">
        <v>3.6949999999999997E-2</v>
      </c>
      <c r="F53">
        <v>40</v>
      </c>
      <c r="G53">
        <v>2</v>
      </c>
      <c r="H53">
        <v>5.5550000000000002E-2</v>
      </c>
      <c r="I53" s="9">
        <v>6.18</v>
      </c>
    </row>
    <row r="54" spans="1:9">
      <c r="A54" s="3" t="s">
        <v>32</v>
      </c>
      <c r="B54">
        <v>7846</v>
      </c>
      <c r="C54">
        <v>0.62333333333333341</v>
      </c>
      <c r="D54">
        <v>7.9266666666666667</v>
      </c>
      <c r="E54">
        <v>9.4899999999999998E-2</v>
      </c>
      <c r="F54">
        <v>748</v>
      </c>
      <c r="G54">
        <v>56</v>
      </c>
      <c r="H54">
        <v>7.3933333333333337E-2</v>
      </c>
      <c r="I54" s="9">
        <v>506.95</v>
      </c>
    </row>
    <row r="55" spans="1:9">
      <c r="A55" s="3" t="s">
        <v>89</v>
      </c>
      <c r="B55">
        <v>3965</v>
      </c>
      <c r="C55">
        <v>0.42499999999999999</v>
      </c>
      <c r="D55">
        <v>6.5050000000000008</v>
      </c>
      <c r="E55">
        <v>6.5950000000000009E-2</v>
      </c>
      <c r="F55">
        <v>269</v>
      </c>
      <c r="G55">
        <v>19</v>
      </c>
      <c r="H55">
        <v>6.7000000000000004E-2</v>
      </c>
      <c r="I55" s="9">
        <v>113.33000000000001</v>
      </c>
    </row>
    <row r="56" spans="1:9">
      <c r="A56" s="3" t="s">
        <v>33</v>
      </c>
      <c r="B56">
        <v>13191</v>
      </c>
      <c r="C56">
        <v>0.13250000000000001</v>
      </c>
      <c r="D56">
        <v>5.2575000000000003</v>
      </c>
      <c r="E56">
        <v>8.6925000000000002E-2</v>
      </c>
      <c r="F56">
        <v>1388</v>
      </c>
      <c r="G56">
        <v>45</v>
      </c>
      <c r="H56">
        <v>2.0449999999999999E-2</v>
      </c>
      <c r="I56" s="9">
        <v>287.09000000000003</v>
      </c>
    </row>
    <row r="57" spans="1:9">
      <c r="A57" s="3" t="s">
        <v>35</v>
      </c>
      <c r="B57">
        <v>719</v>
      </c>
      <c r="C57">
        <v>0.47</v>
      </c>
      <c r="D57">
        <v>8.39</v>
      </c>
      <c r="E57">
        <v>2.5000000000000001E-2</v>
      </c>
      <c r="F57">
        <v>18</v>
      </c>
      <c r="G57">
        <v>1</v>
      </c>
      <c r="H57">
        <v>5.5599999999999997E-2</v>
      </c>
      <c r="I57" s="9">
        <v>8.39</v>
      </c>
    </row>
    <row r="58" spans="1:9">
      <c r="A58" s="3" t="s">
        <v>90</v>
      </c>
      <c r="B58">
        <v>300</v>
      </c>
      <c r="C58">
        <v>0.51</v>
      </c>
      <c r="D58">
        <v>7.69</v>
      </c>
      <c r="E58">
        <v>0.05</v>
      </c>
      <c r="F58">
        <v>15</v>
      </c>
      <c r="G58">
        <v>1</v>
      </c>
      <c r="H58">
        <v>6.6699999999999995E-2</v>
      </c>
      <c r="I58" s="9">
        <v>7.69</v>
      </c>
    </row>
    <row r="59" spans="1:9">
      <c r="A59" s="3" t="s">
        <v>91</v>
      </c>
      <c r="B59">
        <v>234</v>
      </c>
      <c r="C59">
        <v>0</v>
      </c>
      <c r="D59">
        <v>0</v>
      </c>
      <c r="E59">
        <v>2.5600000000000001E-2</v>
      </c>
      <c r="F59">
        <v>6</v>
      </c>
      <c r="G59">
        <v>0</v>
      </c>
      <c r="H59">
        <v>0</v>
      </c>
      <c r="I59" s="9">
        <v>0</v>
      </c>
    </row>
    <row r="60" spans="1:9">
      <c r="A60" s="3" t="s">
        <v>92</v>
      </c>
      <c r="B60">
        <v>435</v>
      </c>
      <c r="C60">
        <v>0</v>
      </c>
      <c r="D60">
        <v>0</v>
      </c>
      <c r="E60">
        <v>8.9700000000000002E-2</v>
      </c>
      <c r="F60">
        <v>39</v>
      </c>
      <c r="G60">
        <v>0</v>
      </c>
      <c r="H60">
        <v>0</v>
      </c>
      <c r="I60" s="9">
        <v>0</v>
      </c>
    </row>
    <row r="61" spans="1:9">
      <c r="A61" s="3" t="s">
        <v>93</v>
      </c>
      <c r="B61">
        <v>4732</v>
      </c>
      <c r="C61">
        <v>0.33500000000000002</v>
      </c>
      <c r="D61">
        <v>5.3825000000000003</v>
      </c>
      <c r="E61">
        <v>2.64E-2</v>
      </c>
      <c r="F61">
        <v>170</v>
      </c>
      <c r="G61">
        <v>10</v>
      </c>
      <c r="H61">
        <v>4.7174999999999995E-2</v>
      </c>
      <c r="I61" s="9">
        <v>79.25</v>
      </c>
    </row>
    <row r="62" spans="1:9">
      <c r="A62" s="3" t="s">
        <v>94</v>
      </c>
      <c r="B62">
        <v>1062</v>
      </c>
      <c r="C62">
        <v>0.61</v>
      </c>
      <c r="D62">
        <v>4.9000000000000004</v>
      </c>
      <c r="E62">
        <v>6.7799999999999999E-2</v>
      </c>
      <c r="F62">
        <v>72</v>
      </c>
      <c r="G62">
        <v>9</v>
      </c>
      <c r="H62">
        <v>0.125</v>
      </c>
      <c r="I62" s="9">
        <v>44.12</v>
      </c>
    </row>
    <row r="63" spans="1:9">
      <c r="A63" s="3" t="s">
        <v>37</v>
      </c>
      <c r="B63">
        <v>2686</v>
      </c>
      <c r="C63">
        <v>0.53</v>
      </c>
      <c r="D63">
        <v>6.3050000000000006</v>
      </c>
      <c r="E63">
        <v>3.7069999999999999E-2</v>
      </c>
      <c r="F63">
        <v>135</v>
      </c>
      <c r="G63">
        <v>8</v>
      </c>
      <c r="H63">
        <v>7.077E-2</v>
      </c>
      <c r="I63" s="9">
        <v>90.580000000000013</v>
      </c>
    </row>
    <row r="64" spans="1:9">
      <c r="A64" s="3" t="s">
        <v>67</v>
      </c>
      <c r="B64">
        <v>10746</v>
      </c>
      <c r="C64">
        <v>1.0254545454545454</v>
      </c>
      <c r="D64">
        <v>6.2472727272727271</v>
      </c>
      <c r="E64">
        <v>3.9463636363636367E-2</v>
      </c>
      <c r="F64">
        <v>478</v>
      </c>
      <c r="G64">
        <v>33</v>
      </c>
      <c r="H64">
        <v>0.14426363636363637</v>
      </c>
      <c r="I64" s="9">
        <v>269.75</v>
      </c>
    </row>
    <row r="65" spans="1:9">
      <c r="A65" s="3" t="s">
        <v>48</v>
      </c>
      <c r="B65">
        <v>398</v>
      </c>
      <c r="C65">
        <v>1.125</v>
      </c>
      <c r="D65">
        <v>4.0066666666666668</v>
      </c>
      <c r="E65">
        <v>7.8149999999999997E-2</v>
      </c>
      <c r="F65">
        <v>28</v>
      </c>
      <c r="G65">
        <v>3</v>
      </c>
      <c r="H65">
        <v>8.928333333333334E-2</v>
      </c>
      <c r="I65" s="9">
        <v>44.839999999999996</v>
      </c>
    </row>
    <row r="66" spans="1:9">
      <c r="A66" s="3" t="s">
        <v>95</v>
      </c>
      <c r="B66">
        <v>1377</v>
      </c>
      <c r="C66">
        <v>0.316</v>
      </c>
      <c r="D66">
        <v>3.024</v>
      </c>
      <c r="E66">
        <v>2.596E-2</v>
      </c>
      <c r="F66">
        <v>46</v>
      </c>
      <c r="G66">
        <v>2</v>
      </c>
      <c r="H66">
        <v>3.5520000000000003E-2</v>
      </c>
      <c r="I66" s="9">
        <v>15.120000000000001</v>
      </c>
    </row>
    <row r="67" spans="1:9">
      <c r="A67" s="3" t="s">
        <v>96</v>
      </c>
      <c r="B67">
        <v>459</v>
      </c>
      <c r="C67">
        <v>0.36833333333333335</v>
      </c>
      <c r="D67">
        <v>1.47</v>
      </c>
      <c r="E67">
        <v>5.1666666666666673E-2</v>
      </c>
      <c r="F67">
        <v>21</v>
      </c>
      <c r="G67">
        <v>1</v>
      </c>
      <c r="H67">
        <v>4.1666666666666664E-2</v>
      </c>
      <c r="I67" s="9">
        <v>8.82</v>
      </c>
    </row>
    <row r="68" spans="1:9">
      <c r="A68" s="3" t="s">
        <v>40</v>
      </c>
      <c r="B68">
        <v>13759</v>
      </c>
      <c r="C68">
        <v>0.81149999999999989</v>
      </c>
      <c r="D68">
        <v>7.2840000000000007</v>
      </c>
      <c r="E68">
        <v>4.3084999999999998E-2</v>
      </c>
      <c r="F68">
        <v>754</v>
      </c>
      <c r="G68">
        <v>74</v>
      </c>
      <c r="H68">
        <v>8.7745000000000004E-2</v>
      </c>
      <c r="I68" s="9">
        <v>537.98</v>
      </c>
    </row>
    <row r="69" spans="1:9">
      <c r="A69" s="3" t="s">
        <v>64</v>
      </c>
      <c r="B69">
        <v>1466</v>
      </c>
      <c r="C69">
        <v>0.13500000000000001</v>
      </c>
      <c r="D69">
        <v>1.5366666666666668</v>
      </c>
      <c r="E69">
        <v>4.328333333333334E-2</v>
      </c>
      <c r="F69">
        <v>63</v>
      </c>
      <c r="G69">
        <v>2</v>
      </c>
      <c r="H69">
        <v>3.1949999999999999E-2</v>
      </c>
      <c r="I69" s="9">
        <v>9.2200000000000006</v>
      </c>
    </row>
    <row r="70" spans="1:9">
      <c r="A70" s="3" t="s">
        <v>55</v>
      </c>
      <c r="B70">
        <v>1461</v>
      </c>
      <c r="C70">
        <v>0.69</v>
      </c>
      <c r="D70">
        <v>6.8</v>
      </c>
      <c r="E70">
        <v>4.7199999999999999E-2</v>
      </c>
      <c r="F70">
        <v>69</v>
      </c>
      <c r="G70">
        <v>7</v>
      </c>
      <c r="H70">
        <v>0.1014</v>
      </c>
      <c r="I70" s="9">
        <v>47.6</v>
      </c>
    </row>
    <row r="71" spans="1:9">
      <c r="A71" s="3" t="s">
        <v>97</v>
      </c>
      <c r="B71">
        <v>37</v>
      </c>
      <c r="C71">
        <v>0</v>
      </c>
      <c r="D71">
        <v>0</v>
      </c>
      <c r="E71">
        <v>2.7E-2</v>
      </c>
      <c r="F71">
        <v>1</v>
      </c>
      <c r="G71">
        <v>0</v>
      </c>
      <c r="H71">
        <v>0</v>
      </c>
      <c r="I71" s="9">
        <v>0</v>
      </c>
    </row>
    <row r="72" spans="1:9">
      <c r="A72" s="3" t="s">
        <v>47</v>
      </c>
      <c r="B72">
        <v>3154</v>
      </c>
      <c r="C72">
        <v>0.16</v>
      </c>
      <c r="D72">
        <v>2.5975000000000001</v>
      </c>
      <c r="E72">
        <v>4.6124999999999999E-2</v>
      </c>
      <c r="F72">
        <v>155</v>
      </c>
      <c r="G72">
        <v>9</v>
      </c>
      <c r="H72">
        <v>3.1824999999999999E-2</v>
      </c>
      <c r="I72" s="9">
        <v>46.14</v>
      </c>
    </row>
    <row r="73" spans="1:9">
      <c r="A73" s="3" t="s">
        <v>41</v>
      </c>
      <c r="B73">
        <v>288</v>
      </c>
      <c r="C73">
        <v>1.25</v>
      </c>
      <c r="D73">
        <v>5.01</v>
      </c>
      <c r="E73">
        <v>4.1700000000000001E-2</v>
      </c>
      <c r="F73">
        <v>12</v>
      </c>
      <c r="G73">
        <v>3</v>
      </c>
      <c r="H73">
        <v>0.25</v>
      </c>
      <c r="I73" s="9">
        <v>15.02</v>
      </c>
    </row>
    <row r="74" spans="1:9">
      <c r="A74" s="3" t="s">
        <v>98</v>
      </c>
      <c r="B74">
        <v>643</v>
      </c>
      <c r="C74">
        <v>0</v>
      </c>
      <c r="D74">
        <v>0</v>
      </c>
      <c r="E74">
        <v>3.4849999999999999E-2</v>
      </c>
      <c r="F74">
        <v>23</v>
      </c>
      <c r="G74">
        <v>0</v>
      </c>
      <c r="H74">
        <v>0</v>
      </c>
      <c r="I74" s="9">
        <v>0</v>
      </c>
    </row>
    <row r="75" spans="1:9">
      <c r="A75" s="3" t="s">
        <v>99</v>
      </c>
      <c r="B75">
        <v>771</v>
      </c>
      <c r="C75">
        <v>0.06</v>
      </c>
      <c r="D75">
        <v>1.3325</v>
      </c>
      <c r="E75">
        <v>3.6225E-2</v>
      </c>
      <c r="F75">
        <v>27</v>
      </c>
      <c r="G75">
        <v>1</v>
      </c>
      <c r="H75">
        <v>1.1375E-2</v>
      </c>
      <c r="I75" s="9">
        <v>5.33</v>
      </c>
    </row>
    <row r="76" spans="1:9">
      <c r="A76" s="3" t="s">
        <v>42</v>
      </c>
      <c r="B76">
        <v>13293</v>
      </c>
      <c r="C76">
        <v>0.35300000000000004</v>
      </c>
      <c r="D76">
        <v>7.2360000000000015</v>
      </c>
      <c r="E76">
        <v>9.8980000000000012E-2</v>
      </c>
      <c r="F76">
        <v>1338</v>
      </c>
      <c r="G76">
        <v>59</v>
      </c>
      <c r="H76">
        <v>4.7769999999999993E-2</v>
      </c>
      <c r="I76" s="9">
        <v>433.00000000000011</v>
      </c>
    </row>
    <row r="77" spans="1:9">
      <c r="A77" s="3" t="s">
        <v>59</v>
      </c>
      <c r="B77">
        <v>5401</v>
      </c>
      <c r="C77">
        <v>0.42499999999999999</v>
      </c>
      <c r="D77">
        <v>7.7350000000000003</v>
      </c>
      <c r="E77">
        <v>7.1599999999999997E-2</v>
      </c>
      <c r="F77">
        <v>378</v>
      </c>
      <c r="G77">
        <v>14</v>
      </c>
      <c r="H77">
        <v>5.3150000000000003E-2</v>
      </c>
      <c r="I77" s="9">
        <v>104.35</v>
      </c>
    </row>
    <row r="78" spans="1:9">
      <c r="A78" s="3" t="s">
        <v>100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9">
        <v>0</v>
      </c>
    </row>
    <row r="79" spans="1:9">
      <c r="A79" s="3" t="s">
        <v>101</v>
      </c>
      <c r="B79">
        <v>1116</v>
      </c>
      <c r="C79">
        <v>2.6100000000000003</v>
      </c>
      <c r="D79">
        <v>7.28</v>
      </c>
      <c r="E79">
        <v>1.7399999999999999E-2</v>
      </c>
      <c r="F79">
        <v>25</v>
      </c>
      <c r="G79">
        <v>4</v>
      </c>
      <c r="H79">
        <v>0.31519999999999998</v>
      </c>
      <c r="I79" s="9">
        <v>25.740000000000002</v>
      </c>
    </row>
    <row r="80" spans="1:9">
      <c r="A80" s="3" t="s">
        <v>102</v>
      </c>
      <c r="B80">
        <v>2696</v>
      </c>
      <c r="C80">
        <v>0.69666666666666666</v>
      </c>
      <c r="D80">
        <v>5.7733333333333334</v>
      </c>
      <c r="E80">
        <v>2.6033333333333335E-2</v>
      </c>
      <c r="F80">
        <v>111</v>
      </c>
      <c r="G80">
        <v>13</v>
      </c>
      <c r="H80">
        <v>8.0266666666666667E-2</v>
      </c>
      <c r="I80" s="9">
        <v>106.75</v>
      </c>
    </row>
    <row r="81" spans="1:9">
      <c r="A81" s="3" t="s">
        <v>103</v>
      </c>
      <c r="B81">
        <v>740</v>
      </c>
      <c r="C81">
        <v>0.52</v>
      </c>
      <c r="D81">
        <v>8.44</v>
      </c>
      <c r="E81">
        <v>6.6199999999999995E-2</v>
      </c>
      <c r="F81">
        <v>49</v>
      </c>
      <c r="G81">
        <v>3</v>
      </c>
      <c r="H81">
        <v>6.1199999999999997E-2</v>
      </c>
      <c r="I81" s="9">
        <v>25.32</v>
      </c>
    </row>
    <row r="82" spans="1:9">
      <c r="A82" s="3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9">
        <v>0</v>
      </c>
    </row>
    <row r="83" spans="1:9">
      <c r="A83" s="3" t="s">
        <v>105</v>
      </c>
      <c r="B83">
        <v>307</v>
      </c>
      <c r="C83">
        <v>0</v>
      </c>
      <c r="D83">
        <v>0</v>
      </c>
      <c r="E83">
        <v>4.8899999999999999E-2</v>
      </c>
      <c r="F83">
        <v>15</v>
      </c>
      <c r="G83">
        <v>0</v>
      </c>
      <c r="H83">
        <v>0</v>
      </c>
      <c r="I83" s="9">
        <v>0</v>
      </c>
    </row>
    <row r="84" spans="1:9">
      <c r="A84" s="3" t="s">
        <v>106</v>
      </c>
      <c r="B84">
        <v>470</v>
      </c>
      <c r="C84">
        <v>0.45</v>
      </c>
      <c r="D84">
        <v>5.84</v>
      </c>
      <c r="E84">
        <v>5.1150000000000001E-2</v>
      </c>
      <c r="F84">
        <v>20</v>
      </c>
      <c r="G84">
        <v>1</v>
      </c>
      <c r="H84">
        <v>3.8449999999999998E-2</v>
      </c>
      <c r="I84" s="9">
        <v>11.68</v>
      </c>
    </row>
    <row r="85" spans="1:9">
      <c r="A85" s="3" t="s">
        <v>39</v>
      </c>
      <c r="B85">
        <v>7855</v>
      </c>
      <c r="C85">
        <v>0.17187499999999997</v>
      </c>
      <c r="D85">
        <v>2.2056249999999999</v>
      </c>
      <c r="E85">
        <v>3.60375E-2</v>
      </c>
      <c r="F85">
        <v>346</v>
      </c>
      <c r="G85">
        <v>18</v>
      </c>
      <c r="H85">
        <v>2.8818749999999997E-2</v>
      </c>
      <c r="I85" s="9">
        <v>118.68</v>
      </c>
    </row>
    <row r="86" spans="1:9">
      <c r="A86" s="3" t="s">
        <v>63</v>
      </c>
      <c r="B86">
        <v>1040</v>
      </c>
      <c r="C86">
        <v>0.52749999999999997</v>
      </c>
      <c r="D86">
        <v>3.5125000000000002</v>
      </c>
      <c r="E86">
        <v>3.7449999999999997E-2</v>
      </c>
      <c r="F86">
        <v>38</v>
      </c>
      <c r="G86">
        <v>5</v>
      </c>
      <c r="H86">
        <v>7.6149999999999995E-2</v>
      </c>
      <c r="I86" s="9">
        <v>38.96</v>
      </c>
    </row>
    <row r="87" spans="1:9">
      <c r="A87" s="3" t="s">
        <v>50</v>
      </c>
      <c r="B87">
        <v>1995</v>
      </c>
      <c r="C87">
        <v>0.60111111111111115</v>
      </c>
      <c r="D87">
        <v>5.3177777777777777</v>
      </c>
      <c r="E87">
        <v>7.3844444444444435E-2</v>
      </c>
      <c r="F87">
        <v>141</v>
      </c>
      <c r="G87">
        <v>12</v>
      </c>
      <c r="H87">
        <v>6.9888888888888889E-2</v>
      </c>
      <c r="I87" s="9">
        <v>101.44999999999999</v>
      </c>
    </row>
    <row r="88" spans="1:9">
      <c r="A88" s="3" t="s">
        <v>107</v>
      </c>
      <c r="B88">
        <v>1575</v>
      </c>
      <c r="C88">
        <v>0.26</v>
      </c>
      <c r="D88">
        <v>0.91</v>
      </c>
      <c r="E88">
        <v>1.9749999999999997E-2</v>
      </c>
      <c r="F88">
        <v>33</v>
      </c>
      <c r="G88">
        <v>2</v>
      </c>
      <c r="H88">
        <v>7.1425000000000002E-2</v>
      </c>
      <c r="I88" s="9">
        <v>7.28</v>
      </c>
    </row>
    <row r="89" spans="1:9">
      <c r="A89" s="3" t="s">
        <v>108</v>
      </c>
      <c r="B89">
        <v>774</v>
      </c>
      <c r="C89">
        <v>0.32666666666666666</v>
      </c>
      <c r="D89">
        <v>0.97833333333333339</v>
      </c>
      <c r="E89">
        <v>3.7399999999999996E-2</v>
      </c>
      <c r="F89">
        <v>33</v>
      </c>
      <c r="G89">
        <v>1</v>
      </c>
      <c r="H89">
        <v>5.5549999999999995E-2</v>
      </c>
      <c r="I89" s="9">
        <v>5.87</v>
      </c>
    </row>
    <row r="90" spans="1:9">
      <c r="A90" s="3" t="s">
        <v>109</v>
      </c>
      <c r="B90">
        <v>763</v>
      </c>
      <c r="C90">
        <v>0.81</v>
      </c>
      <c r="D90">
        <v>5.4</v>
      </c>
      <c r="E90">
        <v>4.5999999999999999E-2</v>
      </c>
      <c r="F90">
        <v>33</v>
      </c>
      <c r="G90">
        <v>3</v>
      </c>
      <c r="H90">
        <v>7.4999999999999997E-2</v>
      </c>
      <c r="I90" s="9">
        <v>32.4</v>
      </c>
    </row>
    <row r="91" spans="1:9">
      <c r="A91" s="3" t="s">
        <v>43</v>
      </c>
      <c r="B91">
        <v>4216</v>
      </c>
      <c r="C91">
        <v>0.6</v>
      </c>
      <c r="D91">
        <v>4.6366666666666667</v>
      </c>
      <c r="E91">
        <v>4.9033333333333338E-2</v>
      </c>
      <c r="F91">
        <v>201</v>
      </c>
      <c r="G91">
        <v>11</v>
      </c>
      <c r="H91">
        <v>8.8455555555555551E-2</v>
      </c>
      <c r="I91" s="9">
        <v>71.83</v>
      </c>
    </row>
    <row r="92" spans="1:9">
      <c r="A92" s="3" t="s">
        <v>49</v>
      </c>
      <c r="B92">
        <v>2115</v>
      </c>
      <c r="C92">
        <v>0.4916666666666667</v>
      </c>
      <c r="D92">
        <v>3.8133333333333339</v>
      </c>
      <c r="E92">
        <v>3.719999999999999E-2</v>
      </c>
      <c r="F92">
        <v>80</v>
      </c>
      <c r="G92">
        <v>8</v>
      </c>
      <c r="H92">
        <v>8.1500000000000003E-2</v>
      </c>
      <c r="I92" s="9">
        <v>58.62</v>
      </c>
    </row>
    <row r="93" spans="1:9">
      <c r="A93" s="3" t="s">
        <v>110</v>
      </c>
      <c r="B93">
        <v>546</v>
      </c>
      <c r="C93">
        <v>0.66</v>
      </c>
      <c r="D93">
        <v>5.09</v>
      </c>
      <c r="E93">
        <v>4.2099999999999999E-2</v>
      </c>
      <c r="F93">
        <v>23</v>
      </c>
      <c r="G93">
        <v>3</v>
      </c>
      <c r="H93">
        <v>0.13039999999999999</v>
      </c>
      <c r="I93" s="9">
        <v>15.28</v>
      </c>
    </row>
    <row r="94" spans="1:9">
      <c r="A94" s="3" t="s">
        <v>111</v>
      </c>
      <c r="B94">
        <v>169</v>
      </c>
      <c r="C94">
        <v>1.06</v>
      </c>
      <c r="D94">
        <v>4.24</v>
      </c>
      <c r="E94">
        <v>2.7650000000000001E-2</v>
      </c>
      <c r="F94">
        <v>5</v>
      </c>
      <c r="G94">
        <v>1</v>
      </c>
      <c r="H94">
        <v>0.125</v>
      </c>
      <c r="I94" s="9">
        <v>8.48</v>
      </c>
    </row>
    <row r="95" spans="1:9">
      <c r="A95" s="3" t="s">
        <v>112</v>
      </c>
      <c r="B95">
        <v>397</v>
      </c>
      <c r="C95">
        <v>0</v>
      </c>
      <c r="D95">
        <v>0</v>
      </c>
      <c r="E95">
        <v>4.006666666666666E-2</v>
      </c>
      <c r="F95">
        <v>17</v>
      </c>
      <c r="G95">
        <v>0</v>
      </c>
      <c r="H95">
        <v>0</v>
      </c>
      <c r="I95" s="9">
        <v>0</v>
      </c>
    </row>
    <row r="96" spans="1:9">
      <c r="A96" s="3" t="s">
        <v>113</v>
      </c>
      <c r="B96">
        <v>1594</v>
      </c>
      <c r="C96">
        <v>0.6825</v>
      </c>
      <c r="D96">
        <v>10.3925</v>
      </c>
      <c r="E96">
        <v>5.9274999999999994E-2</v>
      </c>
      <c r="F96">
        <v>80</v>
      </c>
      <c r="G96">
        <v>4</v>
      </c>
      <c r="H96">
        <v>6.2975000000000003E-2</v>
      </c>
      <c r="I96" s="9">
        <v>41.57</v>
      </c>
    </row>
    <row r="97" spans="1:9">
      <c r="A97" s="3" t="s">
        <v>44</v>
      </c>
      <c r="B97">
        <v>11117</v>
      </c>
      <c r="C97">
        <v>0.17999999999999997</v>
      </c>
      <c r="D97">
        <v>5.0283333333333333</v>
      </c>
      <c r="E97">
        <v>5.371666666666667E-2</v>
      </c>
      <c r="F97">
        <v>1108</v>
      </c>
      <c r="G97">
        <v>46</v>
      </c>
      <c r="H97">
        <v>2.4058333333333331E-2</v>
      </c>
      <c r="I97" s="9">
        <v>318.8</v>
      </c>
    </row>
    <row r="98" spans="1:9">
      <c r="A98" s="3" t="s">
        <v>114</v>
      </c>
      <c r="B98">
        <v>358</v>
      </c>
      <c r="C98">
        <v>0</v>
      </c>
      <c r="D98">
        <v>0</v>
      </c>
      <c r="E98">
        <v>6.2149999999999997E-2</v>
      </c>
      <c r="F98">
        <v>23</v>
      </c>
      <c r="G98">
        <v>0</v>
      </c>
      <c r="H98">
        <v>0</v>
      </c>
      <c r="I98" s="9">
        <v>0</v>
      </c>
    </row>
    <row r="99" spans="1:9">
      <c r="A99" s="3" t="s">
        <v>115</v>
      </c>
      <c r="B99">
        <v>321</v>
      </c>
      <c r="C99">
        <v>0</v>
      </c>
      <c r="D99">
        <v>0</v>
      </c>
      <c r="E99">
        <v>4.3249999999999997E-2</v>
      </c>
      <c r="F99">
        <v>13</v>
      </c>
      <c r="G99">
        <v>0</v>
      </c>
      <c r="H99">
        <v>0</v>
      </c>
      <c r="I99" s="9">
        <v>0</v>
      </c>
    </row>
    <row r="100" spans="1:9">
      <c r="A100" s="3" t="s">
        <v>52</v>
      </c>
      <c r="B100">
        <v>8975</v>
      </c>
      <c r="C100">
        <v>1.7550000000000001</v>
      </c>
      <c r="D100">
        <v>18.7425</v>
      </c>
      <c r="E100">
        <v>8.4550000000000014E-2</v>
      </c>
      <c r="F100">
        <v>750</v>
      </c>
      <c r="G100">
        <v>68</v>
      </c>
      <c r="H100">
        <v>8.9624999999999996E-2</v>
      </c>
      <c r="I100" s="9">
        <v>1213.72</v>
      </c>
    </row>
    <row r="101" spans="1:9">
      <c r="A101" s="3" t="s">
        <v>56</v>
      </c>
      <c r="B101">
        <v>247</v>
      </c>
      <c r="C101">
        <v>0.39</v>
      </c>
      <c r="D101">
        <v>3.7</v>
      </c>
      <c r="E101">
        <v>7.6899999999999996E-2</v>
      </c>
      <c r="F101">
        <v>19</v>
      </c>
      <c r="G101">
        <v>2</v>
      </c>
      <c r="H101">
        <v>0.1053</v>
      </c>
      <c r="I101" s="9">
        <v>7.4</v>
      </c>
    </row>
    <row r="102" spans="1:9">
      <c r="A102" s="3" t="s">
        <v>116</v>
      </c>
      <c r="B102">
        <v>1446</v>
      </c>
      <c r="C102">
        <v>0.31</v>
      </c>
      <c r="D102">
        <v>5.33</v>
      </c>
      <c r="E102">
        <v>3.5999999999999997E-2</v>
      </c>
      <c r="F102">
        <v>52</v>
      </c>
      <c r="G102">
        <v>3</v>
      </c>
      <c r="H102">
        <v>5.7700000000000001E-2</v>
      </c>
      <c r="I102" s="9">
        <v>15.98</v>
      </c>
    </row>
    <row r="103" spans="1:9">
      <c r="A103" s="3" t="s">
        <v>53</v>
      </c>
      <c r="B103">
        <v>44677</v>
      </c>
      <c r="C103">
        <v>0.49999999999999994</v>
      </c>
      <c r="D103">
        <v>6.4590909090909072</v>
      </c>
      <c r="E103">
        <v>6.9954545454545464E-2</v>
      </c>
      <c r="F103">
        <v>3737</v>
      </c>
      <c r="G103">
        <v>176</v>
      </c>
      <c r="H103">
        <v>7.5472727272727275E-2</v>
      </c>
      <c r="I103" s="9">
        <v>1161.92</v>
      </c>
    </row>
    <row r="104" spans="1:9">
      <c r="A104" s="3" t="s">
        <v>51</v>
      </c>
      <c r="B104">
        <v>2003</v>
      </c>
      <c r="C104">
        <v>1.2836363636363637</v>
      </c>
      <c r="D104">
        <v>2.6645454545454546</v>
      </c>
      <c r="E104">
        <v>2.8381818181818185E-2</v>
      </c>
      <c r="F104">
        <v>122</v>
      </c>
      <c r="G104">
        <v>19</v>
      </c>
      <c r="H104">
        <v>0.17669090909090907</v>
      </c>
      <c r="I104" s="9">
        <v>74.05</v>
      </c>
    </row>
    <row r="105" spans="1:9">
      <c r="A105" s="3" t="s">
        <v>117</v>
      </c>
      <c r="B105">
        <v>364</v>
      </c>
      <c r="C105">
        <v>0.59499999999999997</v>
      </c>
      <c r="D105">
        <v>4.165</v>
      </c>
      <c r="E105">
        <v>4.2200000000000001E-2</v>
      </c>
      <c r="F105">
        <v>14</v>
      </c>
      <c r="G105">
        <v>1</v>
      </c>
      <c r="H105">
        <v>7.145E-2</v>
      </c>
      <c r="I105" s="9">
        <v>8.33</v>
      </c>
    </row>
    <row r="106" spans="1:9">
      <c r="A106" s="3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9">
        <v>0</v>
      </c>
    </row>
    <row r="107" spans="1:9">
      <c r="A107" s="3" t="s">
        <v>54</v>
      </c>
      <c r="B107">
        <v>2480</v>
      </c>
      <c r="C107">
        <v>0.45</v>
      </c>
      <c r="D107">
        <v>4.47</v>
      </c>
      <c r="E107">
        <v>0.10440000000000001</v>
      </c>
      <c r="F107">
        <v>259</v>
      </c>
      <c r="G107">
        <v>26</v>
      </c>
      <c r="H107">
        <v>0.1004</v>
      </c>
      <c r="I107" s="9">
        <v>116.17</v>
      </c>
    </row>
    <row r="108" spans="1:9">
      <c r="A108" s="3" t="s">
        <v>119</v>
      </c>
      <c r="B108">
        <v>308</v>
      </c>
      <c r="C108">
        <v>0</v>
      </c>
      <c r="D108">
        <v>0</v>
      </c>
      <c r="E108">
        <v>6.4899999999999999E-2</v>
      </c>
      <c r="F108">
        <v>20</v>
      </c>
      <c r="G108">
        <v>0</v>
      </c>
      <c r="H108">
        <v>0</v>
      </c>
      <c r="I108" s="9">
        <v>0</v>
      </c>
    </row>
    <row r="109" spans="1:9">
      <c r="A109" s="3" t="s">
        <v>161</v>
      </c>
      <c r="B109">
        <v>367230</v>
      </c>
      <c r="C109">
        <v>0.52481069042316253</v>
      </c>
      <c r="D109">
        <v>5.0895545657015591</v>
      </c>
      <c r="E109">
        <v>5.2114253897550117E-2</v>
      </c>
      <c r="F109">
        <v>25075</v>
      </c>
      <c r="G109">
        <v>1619</v>
      </c>
      <c r="H109">
        <v>6.7306236080178217E-2</v>
      </c>
      <c r="I109" s="9">
        <v>12041.360000000006</v>
      </c>
    </row>
    <row r="110" spans="1:9">
      <c r="C110"/>
      <c r="D110"/>
      <c r="E110"/>
      <c r="H110"/>
    </row>
    <row r="111" spans="1:9">
      <c r="C111"/>
      <c r="D111"/>
      <c r="E111"/>
      <c r="H111"/>
    </row>
    <row r="112" spans="1:9">
      <c r="C112"/>
      <c r="D112"/>
      <c r="E112"/>
      <c r="H112"/>
    </row>
    <row r="113" customFormat="1"/>
    <row r="114" customFormat="1"/>
    <row r="115" customFormat="1"/>
    <row r="116" customFormat="1"/>
    <row r="117" customFormat="1"/>
    <row r="118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BDC6-C25D-4F99-9D2F-4BB8FB666253}">
  <dimension ref="B2:C110"/>
  <sheetViews>
    <sheetView topLeftCell="A2" workbookViewId="0">
      <selection activeCell="I2" sqref="I1:I1048576"/>
    </sheetView>
  </sheetViews>
  <sheetFormatPr defaultRowHeight="15.6"/>
  <cols>
    <col min="2" max="2" width="39.75" bestFit="1" customWidth="1"/>
    <col min="3" max="3" width="17" bestFit="1" customWidth="1"/>
  </cols>
  <sheetData>
    <row r="2" spans="2:3">
      <c r="B2" s="2" t="s">
        <v>152</v>
      </c>
      <c r="C2" t="s">
        <v>162</v>
      </c>
    </row>
    <row r="3" spans="2:3">
      <c r="B3" s="3" t="s">
        <v>61</v>
      </c>
      <c r="C3">
        <v>4</v>
      </c>
    </row>
    <row r="4" spans="2:3">
      <c r="B4" s="3" t="s">
        <v>68</v>
      </c>
      <c r="C4">
        <v>1</v>
      </c>
    </row>
    <row r="5" spans="2:3">
      <c r="B5" s="3" t="s">
        <v>34</v>
      </c>
      <c r="C5">
        <v>17</v>
      </c>
    </row>
    <row r="6" spans="2:3">
      <c r="B6" s="3" t="s">
        <v>69</v>
      </c>
      <c r="C6">
        <v>1</v>
      </c>
    </row>
    <row r="7" spans="2:3">
      <c r="B7" s="3" t="s">
        <v>14</v>
      </c>
      <c r="C7">
        <v>1</v>
      </c>
    </row>
    <row r="8" spans="2:3">
      <c r="B8" s="3" t="s">
        <v>65</v>
      </c>
      <c r="C8">
        <v>7</v>
      </c>
    </row>
    <row r="9" spans="2:3">
      <c r="B9" s="3" t="s">
        <v>15</v>
      </c>
      <c r="C9">
        <v>1</v>
      </c>
    </row>
    <row r="10" spans="2:3">
      <c r="B10" s="3" t="s">
        <v>70</v>
      </c>
      <c r="C10">
        <v>13</v>
      </c>
    </row>
    <row r="11" spans="2:3">
      <c r="B11" s="3" t="s">
        <v>16</v>
      </c>
      <c r="C11">
        <v>2</v>
      </c>
    </row>
    <row r="12" spans="2:3">
      <c r="B12" s="3" t="s">
        <v>71</v>
      </c>
      <c r="C12">
        <v>1</v>
      </c>
    </row>
    <row r="13" spans="2:3">
      <c r="B13" s="3" t="s">
        <v>62</v>
      </c>
      <c r="C13">
        <v>4</v>
      </c>
    </row>
    <row r="14" spans="2:3">
      <c r="B14" s="3" t="s">
        <v>72</v>
      </c>
      <c r="C14">
        <v>1</v>
      </c>
    </row>
    <row r="15" spans="2:3">
      <c r="B15" s="3" t="s">
        <v>73</v>
      </c>
      <c r="C15">
        <v>1</v>
      </c>
    </row>
    <row r="16" spans="2:3">
      <c r="B16" s="3" t="s">
        <v>74</v>
      </c>
      <c r="C16">
        <v>1</v>
      </c>
    </row>
    <row r="17" spans="2:3">
      <c r="B17" s="3" t="s">
        <v>75</v>
      </c>
      <c r="C17">
        <v>1</v>
      </c>
    </row>
    <row r="18" spans="2:3">
      <c r="B18" s="3" t="s">
        <v>17</v>
      </c>
      <c r="C18">
        <v>4</v>
      </c>
    </row>
    <row r="19" spans="2:3">
      <c r="B19" s="3" t="s">
        <v>76</v>
      </c>
      <c r="C19">
        <v>1</v>
      </c>
    </row>
    <row r="20" spans="2:3">
      <c r="B20" s="3" t="s">
        <v>66</v>
      </c>
      <c r="C20">
        <v>7</v>
      </c>
    </row>
    <row r="21" spans="2:3">
      <c r="B21" s="3" t="s">
        <v>46</v>
      </c>
      <c r="C21">
        <v>4</v>
      </c>
    </row>
    <row r="22" spans="2:3">
      <c r="B22" s="3" t="s">
        <v>36</v>
      </c>
      <c r="C22">
        <v>4</v>
      </c>
    </row>
    <row r="23" spans="2:3">
      <c r="B23" s="3" t="s">
        <v>18</v>
      </c>
      <c r="C23">
        <v>1</v>
      </c>
    </row>
    <row r="24" spans="2:3">
      <c r="B24" s="3" t="s">
        <v>77</v>
      </c>
      <c r="C24">
        <v>1</v>
      </c>
    </row>
    <row r="25" spans="2:3">
      <c r="B25" s="3" t="s">
        <v>78</v>
      </c>
      <c r="C25">
        <v>1</v>
      </c>
    </row>
    <row r="26" spans="2:3">
      <c r="B26" s="3" t="s">
        <v>19</v>
      </c>
      <c r="C26">
        <v>4</v>
      </c>
    </row>
    <row r="27" spans="2:3">
      <c r="B27" s="3" t="s">
        <v>79</v>
      </c>
      <c r="C27">
        <v>1</v>
      </c>
    </row>
    <row r="28" spans="2:3">
      <c r="B28" s="3" t="s">
        <v>20</v>
      </c>
      <c r="C28">
        <v>2</v>
      </c>
    </row>
    <row r="29" spans="2:3">
      <c r="B29" s="3" t="s">
        <v>38</v>
      </c>
      <c r="C29">
        <v>16</v>
      </c>
    </row>
    <row r="30" spans="2:3">
      <c r="B30" s="3" t="s">
        <v>80</v>
      </c>
      <c r="C30">
        <v>1</v>
      </c>
    </row>
    <row r="31" spans="2:3">
      <c r="B31" s="3" t="s">
        <v>81</v>
      </c>
      <c r="C31">
        <v>4</v>
      </c>
    </row>
    <row r="32" spans="2:3">
      <c r="B32" s="3" t="s">
        <v>21</v>
      </c>
      <c r="C32">
        <v>3</v>
      </c>
    </row>
    <row r="33" spans="2:3">
      <c r="B33" s="3" t="s">
        <v>22</v>
      </c>
      <c r="C33">
        <v>19</v>
      </c>
    </row>
    <row r="34" spans="2:3">
      <c r="B34" s="3" t="s">
        <v>23</v>
      </c>
      <c r="C34">
        <v>3</v>
      </c>
    </row>
    <row r="35" spans="2:3">
      <c r="B35" s="3" t="s">
        <v>24</v>
      </c>
      <c r="C35">
        <v>2</v>
      </c>
    </row>
    <row r="36" spans="2:3">
      <c r="B36" s="3" t="s">
        <v>25</v>
      </c>
      <c r="C36">
        <v>6</v>
      </c>
    </row>
    <row r="37" spans="2:3">
      <c r="B37" s="3" t="s">
        <v>26</v>
      </c>
      <c r="C37">
        <v>8</v>
      </c>
    </row>
    <row r="38" spans="2:3">
      <c r="B38" s="3" t="s">
        <v>27</v>
      </c>
      <c r="C38">
        <v>6</v>
      </c>
    </row>
    <row r="39" spans="2:3">
      <c r="B39" s="3" t="s">
        <v>28</v>
      </c>
      <c r="C39">
        <v>16</v>
      </c>
    </row>
    <row r="40" spans="2:3">
      <c r="B40" s="3" t="s">
        <v>82</v>
      </c>
      <c r="C40">
        <v>2</v>
      </c>
    </row>
    <row r="41" spans="2:3">
      <c r="B41" s="3" t="s">
        <v>83</v>
      </c>
      <c r="C41">
        <v>1</v>
      </c>
    </row>
    <row r="42" spans="2:3">
      <c r="B42" s="3" t="s">
        <v>29</v>
      </c>
      <c r="C42">
        <v>6</v>
      </c>
    </row>
    <row r="43" spans="2:3">
      <c r="B43" s="3" t="s">
        <v>60</v>
      </c>
      <c r="C43">
        <v>3</v>
      </c>
    </row>
    <row r="44" spans="2:3">
      <c r="B44" s="3" t="s">
        <v>45</v>
      </c>
      <c r="C44">
        <v>3</v>
      </c>
    </row>
    <row r="45" spans="2:3">
      <c r="B45" s="3" t="s">
        <v>30</v>
      </c>
      <c r="C45">
        <v>4</v>
      </c>
    </row>
    <row r="46" spans="2:3">
      <c r="B46" s="3" t="s">
        <v>84</v>
      </c>
      <c r="C46">
        <v>8</v>
      </c>
    </row>
    <row r="47" spans="2:3">
      <c r="B47" s="3" t="s">
        <v>85</v>
      </c>
      <c r="C47">
        <v>9</v>
      </c>
    </row>
    <row r="48" spans="2:3">
      <c r="B48" s="3" t="s">
        <v>86</v>
      </c>
      <c r="C48">
        <v>1</v>
      </c>
    </row>
    <row r="49" spans="2:3">
      <c r="B49" s="3" t="s">
        <v>31</v>
      </c>
      <c r="C49">
        <v>1</v>
      </c>
    </row>
    <row r="50" spans="2:3">
      <c r="B50" s="3" t="s">
        <v>57</v>
      </c>
      <c r="C50">
        <v>2</v>
      </c>
    </row>
    <row r="51" spans="2:3">
      <c r="B51" s="3" t="s">
        <v>87</v>
      </c>
      <c r="C51">
        <v>2</v>
      </c>
    </row>
    <row r="52" spans="2:3">
      <c r="B52" s="3" t="s">
        <v>58</v>
      </c>
      <c r="C52">
        <v>2</v>
      </c>
    </row>
    <row r="53" spans="2:3">
      <c r="B53" s="3" t="s">
        <v>88</v>
      </c>
      <c r="C53">
        <v>2</v>
      </c>
    </row>
    <row r="54" spans="2:3">
      <c r="B54" s="3" t="s">
        <v>32</v>
      </c>
      <c r="C54">
        <v>3</v>
      </c>
    </row>
    <row r="55" spans="2:3">
      <c r="B55" s="3" t="s">
        <v>89</v>
      </c>
      <c r="C55">
        <v>2</v>
      </c>
    </row>
    <row r="56" spans="2:3">
      <c r="B56" s="3" t="s">
        <v>33</v>
      </c>
      <c r="C56">
        <v>4</v>
      </c>
    </row>
    <row r="57" spans="2:3">
      <c r="B57" s="3" t="s">
        <v>35</v>
      </c>
      <c r="C57">
        <v>1</v>
      </c>
    </row>
    <row r="58" spans="2:3">
      <c r="B58" s="3" t="s">
        <v>90</v>
      </c>
      <c r="C58">
        <v>1</v>
      </c>
    </row>
    <row r="59" spans="2:3">
      <c r="B59" s="3" t="s">
        <v>91</v>
      </c>
      <c r="C59">
        <v>1</v>
      </c>
    </row>
    <row r="60" spans="2:3">
      <c r="B60" s="3" t="s">
        <v>92</v>
      </c>
      <c r="C60">
        <v>1</v>
      </c>
    </row>
    <row r="61" spans="2:3">
      <c r="B61" s="3" t="s">
        <v>93</v>
      </c>
      <c r="C61">
        <v>4</v>
      </c>
    </row>
    <row r="62" spans="2:3">
      <c r="B62" s="3" t="s">
        <v>94</v>
      </c>
      <c r="C62">
        <v>1</v>
      </c>
    </row>
    <row r="63" spans="2:3">
      <c r="B63" s="3" t="s">
        <v>37</v>
      </c>
      <c r="C63">
        <v>10</v>
      </c>
    </row>
    <row r="64" spans="2:3">
      <c r="B64" s="3" t="s">
        <v>67</v>
      </c>
      <c r="C64">
        <v>11</v>
      </c>
    </row>
    <row r="65" spans="2:3">
      <c r="B65" s="3" t="s">
        <v>48</v>
      </c>
      <c r="C65">
        <v>6</v>
      </c>
    </row>
    <row r="66" spans="2:3">
      <c r="B66" s="3" t="s">
        <v>95</v>
      </c>
      <c r="C66">
        <v>5</v>
      </c>
    </row>
    <row r="67" spans="2:3">
      <c r="B67" s="3" t="s">
        <v>96</v>
      </c>
      <c r="C67">
        <v>6</v>
      </c>
    </row>
    <row r="68" spans="2:3">
      <c r="B68" s="3" t="s">
        <v>40</v>
      </c>
      <c r="C68">
        <v>20</v>
      </c>
    </row>
    <row r="69" spans="2:3">
      <c r="B69" s="3" t="s">
        <v>64</v>
      </c>
      <c r="C69">
        <v>6</v>
      </c>
    </row>
    <row r="70" spans="2:3">
      <c r="B70" s="3" t="s">
        <v>55</v>
      </c>
      <c r="C70">
        <v>1</v>
      </c>
    </row>
    <row r="71" spans="2:3">
      <c r="B71" s="3" t="s">
        <v>97</v>
      </c>
      <c r="C71">
        <v>1</v>
      </c>
    </row>
    <row r="72" spans="2:3">
      <c r="B72" s="3" t="s">
        <v>47</v>
      </c>
      <c r="C72">
        <v>4</v>
      </c>
    </row>
    <row r="73" spans="2:3">
      <c r="B73" s="3" t="s">
        <v>41</v>
      </c>
      <c r="C73">
        <v>1</v>
      </c>
    </row>
    <row r="74" spans="2:3">
      <c r="B74" s="3" t="s">
        <v>98</v>
      </c>
      <c r="C74">
        <v>2</v>
      </c>
    </row>
    <row r="75" spans="2:3">
      <c r="B75" s="3" t="s">
        <v>99</v>
      </c>
      <c r="C75">
        <v>4</v>
      </c>
    </row>
    <row r="76" spans="2:3">
      <c r="B76" s="3" t="s">
        <v>42</v>
      </c>
      <c r="C76">
        <v>10</v>
      </c>
    </row>
    <row r="77" spans="2:3">
      <c r="B77" s="3" t="s">
        <v>59</v>
      </c>
      <c r="C77">
        <v>2</v>
      </c>
    </row>
    <row r="78" spans="2:3">
      <c r="B78" s="3" t="s">
        <v>100</v>
      </c>
      <c r="C78">
        <v>1</v>
      </c>
    </row>
    <row r="79" spans="2:3">
      <c r="B79" s="3" t="s">
        <v>101</v>
      </c>
      <c r="C79">
        <v>2</v>
      </c>
    </row>
    <row r="80" spans="2:3">
      <c r="B80" s="3" t="s">
        <v>102</v>
      </c>
      <c r="C80">
        <v>3</v>
      </c>
    </row>
    <row r="81" spans="2:3">
      <c r="B81" s="3" t="s">
        <v>103</v>
      </c>
      <c r="C81">
        <v>1</v>
      </c>
    </row>
    <row r="82" spans="2:3">
      <c r="B82" s="3" t="s">
        <v>104</v>
      </c>
      <c r="C82">
        <v>1</v>
      </c>
    </row>
    <row r="83" spans="2:3">
      <c r="B83" s="3" t="s">
        <v>105</v>
      </c>
      <c r="C83">
        <v>1</v>
      </c>
    </row>
    <row r="84" spans="2:3">
      <c r="B84" s="3" t="s">
        <v>106</v>
      </c>
      <c r="C84">
        <v>2</v>
      </c>
    </row>
    <row r="85" spans="2:3">
      <c r="B85" s="3" t="s">
        <v>39</v>
      </c>
      <c r="C85">
        <v>16</v>
      </c>
    </row>
    <row r="86" spans="2:3">
      <c r="B86" s="3" t="s">
        <v>63</v>
      </c>
      <c r="C86">
        <v>4</v>
      </c>
    </row>
    <row r="87" spans="2:3">
      <c r="B87" s="3" t="s">
        <v>50</v>
      </c>
      <c r="C87">
        <v>9</v>
      </c>
    </row>
    <row r="88" spans="2:3">
      <c r="B88" s="3" t="s">
        <v>107</v>
      </c>
      <c r="C88">
        <v>4</v>
      </c>
    </row>
    <row r="89" spans="2:3">
      <c r="B89" s="3" t="s">
        <v>108</v>
      </c>
      <c r="C89">
        <v>6</v>
      </c>
    </row>
    <row r="90" spans="2:3">
      <c r="B90" s="3" t="s">
        <v>109</v>
      </c>
      <c r="C90">
        <v>2</v>
      </c>
    </row>
    <row r="91" spans="2:3">
      <c r="B91" s="3" t="s">
        <v>43</v>
      </c>
      <c r="C91">
        <v>9</v>
      </c>
    </row>
    <row r="92" spans="2:3">
      <c r="B92" s="3" t="s">
        <v>49</v>
      </c>
      <c r="C92">
        <v>6</v>
      </c>
    </row>
    <row r="93" spans="2:3">
      <c r="B93" s="3" t="s">
        <v>110</v>
      </c>
      <c r="C93">
        <v>1</v>
      </c>
    </row>
    <row r="94" spans="2:3">
      <c r="B94" s="3" t="s">
        <v>111</v>
      </c>
      <c r="C94">
        <v>2</v>
      </c>
    </row>
    <row r="95" spans="2:3">
      <c r="B95" s="3" t="s">
        <v>112</v>
      </c>
      <c r="C95">
        <v>3</v>
      </c>
    </row>
    <row r="96" spans="2:3">
      <c r="B96" s="3" t="s">
        <v>113</v>
      </c>
      <c r="C96">
        <v>4</v>
      </c>
    </row>
    <row r="97" spans="2:3">
      <c r="B97" s="3" t="s">
        <v>44</v>
      </c>
      <c r="C97">
        <v>12</v>
      </c>
    </row>
    <row r="98" spans="2:3">
      <c r="B98" s="3" t="s">
        <v>114</v>
      </c>
      <c r="C98">
        <v>2</v>
      </c>
    </row>
    <row r="99" spans="2:3">
      <c r="B99" s="3" t="s">
        <v>115</v>
      </c>
      <c r="C99">
        <v>2</v>
      </c>
    </row>
    <row r="100" spans="2:3">
      <c r="B100" s="3" t="s">
        <v>52</v>
      </c>
      <c r="C100">
        <v>4</v>
      </c>
    </row>
    <row r="101" spans="2:3">
      <c r="B101" s="3" t="s">
        <v>56</v>
      </c>
      <c r="C101">
        <v>1</v>
      </c>
    </row>
    <row r="102" spans="2:3">
      <c r="B102" s="3" t="s">
        <v>116</v>
      </c>
      <c r="C102">
        <v>1</v>
      </c>
    </row>
    <row r="103" spans="2:3">
      <c r="B103" s="3" t="s">
        <v>53</v>
      </c>
      <c r="C103">
        <v>11</v>
      </c>
    </row>
    <row r="104" spans="2:3">
      <c r="B104" s="3" t="s">
        <v>51</v>
      </c>
      <c r="C104">
        <v>11</v>
      </c>
    </row>
    <row r="105" spans="2:3">
      <c r="B105" s="3" t="s">
        <v>117</v>
      </c>
      <c r="C105">
        <v>2</v>
      </c>
    </row>
    <row r="106" spans="2:3">
      <c r="B106" s="3" t="s">
        <v>118</v>
      </c>
      <c r="C106">
        <v>1</v>
      </c>
    </row>
    <row r="107" spans="2:3">
      <c r="B107" s="3" t="s">
        <v>54</v>
      </c>
      <c r="C107">
        <v>1</v>
      </c>
    </row>
    <row r="108" spans="2:3">
      <c r="B108" s="3" t="s">
        <v>119</v>
      </c>
      <c r="C108">
        <v>1</v>
      </c>
    </row>
    <row r="109" spans="2:3">
      <c r="B109" s="3" t="s">
        <v>163</v>
      </c>
    </row>
    <row r="110" spans="2:3">
      <c r="B110" s="3" t="s">
        <v>161</v>
      </c>
      <c r="C110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Export</dc:title>
  <dc:subject>Report</dc:subject>
  <dc:creator>Indeed</dc:creator>
  <cp:keywords/>
  <dc:description/>
  <cp:lastModifiedBy/>
  <cp:revision/>
  <dcterms:created xsi:type="dcterms:W3CDTF">2025-08-19T07:31:50Z</dcterms:created>
  <dcterms:modified xsi:type="dcterms:W3CDTF">2025-09-23T13:28:15Z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2025-08-19T07:56:01Z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994132bc-7d6d-4032-8e68-64ab3441f71c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</Properties>
</file>