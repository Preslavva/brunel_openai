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ser\Desktop\BrainWave-Brunel\Model\data\"/>
    </mc:Choice>
  </mc:AlternateContent>
  <xr:revisionPtr revIDLastSave="0" documentId="13_ncr:1_{D6698B71-0AA3-477E-89BC-31CA75201A5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Overzicht vacatures" sheetId="2" r:id="rId1"/>
    <sheet name="Budget" sheetId="7" r:id="rId2"/>
    <sheet name="Exported Data" sheetId="1" r:id="rId3"/>
    <sheet name="Draaitabel bron" sheetId="5" r:id="rId4"/>
    <sheet name="Blad2" sheetId="3" r:id="rId5"/>
    <sheet name="Blad3" sheetId="4" r:id="rId6"/>
  </sheets>
  <definedNames>
    <definedName name="_xlnm._FilterDatabase" localSheetId="4" hidden="1">Blad2!$A$1:$L$971</definedName>
  </definedNames>
  <calcPr calcId="191028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11" i="2"/>
  <c r="L10" i="2"/>
  <c r="L9" i="2"/>
  <c r="L13" i="2"/>
  <c r="L12" i="2"/>
  <c r="L14" i="2"/>
  <c r="L17" i="2"/>
  <c r="L16" i="2"/>
  <c r="L15" i="2"/>
  <c r="L18" i="2"/>
  <c r="L23" i="2"/>
  <c r="L22" i="2"/>
  <c r="L21" i="2"/>
  <c r="L19" i="2"/>
  <c r="L20" i="2"/>
  <c r="L26" i="2"/>
  <c r="L24" i="2"/>
  <c r="L25" i="2"/>
  <c r="L28" i="2"/>
  <c r="L27" i="2"/>
  <c r="L37" i="2"/>
  <c r="L36" i="2"/>
  <c r="L35" i="2"/>
  <c r="L29" i="2"/>
  <c r="L30" i="2"/>
  <c r="L31" i="2"/>
  <c r="L32" i="2"/>
  <c r="L33" i="2"/>
  <c r="L34" i="2"/>
  <c r="L71" i="2"/>
  <c r="L68" i="2"/>
  <c r="L69" i="2"/>
  <c r="L70" i="2"/>
  <c r="L67" i="2"/>
  <c r="L64" i="2"/>
  <c r="L65" i="2"/>
  <c r="L66" i="2"/>
  <c r="L60" i="2"/>
  <c r="L61" i="2"/>
  <c r="L62" i="2"/>
  <c r="L63" i="2"/>
  <c r="L54" i="2"/>
  <c r="L55" i="2"/>
  <c r="L56" i="2"/>
  <c r="L57" i="2"/>
  <c r="L58" i="2"/>
  <c r="L59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R6" i="7"/>
  <c r="R5" i="7"/>
  <c r="Q16" i="7"/>
  <c r="P16" i="7"/>
  <c r="P4" i="7"/>
  <c r="N16" i="7"/>
  <c r="M16" i="7"/>
  <c r="L16" i="7"/>
  <c r="K16" i="7"/>
  <c r="J16" i="7"/>
  <c r="I16" i="7"/>
  <c r="H16" i="7"/>
  <c r="G16" i="7"/>
  <c r="F16" i="7"/>
  <c r="E16" i="7"/>
  <c r="D16" i="7"/>
  <c r="C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M2" i="2"/>
  <c r="M3" i="2"/>
  <c r="M4" i="2"/>
  <c r="M5" i="2"/>
  <c r="M6" i="2"/>
  <c r="M7" i="2"/>
  <c r="M8" i="2"/>
  <c r="M11" i="2"/>
  <c r="M10" i="2"/>
  <c r="M9" i="2"/>
  <c r="M13" i="2"/>
  <c r="M12" i="2"/>
  <c r="M14" i="2"/>
  <c r="M17" i="2"/>
  <c r="M16" i="2"/>
  <c r="M15" i="2"/>
  <c r="M18" i="2"/>
  <c r="M23" i="2"/>
  <c r="M22" i="2"/>
  <c r="M21" i="2"/>
  <c r="M19" i="2"/>
  <c r="M20" i="2"/>
  <c r="M26" i="2"/>
  <c r="M24" i="2"/>
  <c r="M25" i="2"/>
  <c r="M28" i="2"/>
  <c r="M27" i="2"/>
  <c r="M37" i="2"/>
  <c r="M36" i="2"/>
  <c r="M35" i="2"/>
  <c r="M29" i="2"/>
  <c r="M30" i="2"/>
  <c r="M31" i="2"/>
  <c r="M32" i="2"/>
  <c r="M33" i="2"/>
  <c r="M34" i="2"/>
  <c r="M71" i="2"/>
  <c r="M68" i="2"/>
  <c r="M69" i="2"/>
  <c r="M70" i="2"/>
  <c r="M67" i="2"/>
  <c r="M64" i="2"/>
  <c r="M65" i="2"/>
  <c r="M66" i="2"/>
  <c r="M60" i="2"/>
  <c r="M61" i="2"/>
  <c r="M62" i="2"/>
  <c r="M63" i="2"/>
  <c r="M54" i="2"/>
  <c r="M55" i="2"/>
  <c r="M56" i="2"/>
  <c r="M57" i="2"/>
  <c r="M58" i="2"/>
  <c r="M59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K168" i="2"/>
  <c r="J168" i="2"/>
  <c r="N168" i="2" s="1"/>
  <c r="I168" i="2"/>
  <c r="H168" i="2"/>
  <c r="G168" i="2"/>
  <c r="F168" i="2"/>
  <c r="E168" i="2"/>
  <c r="D168" i="2"/>
  <c r="C168" i="2"/>
  <c r="B168" i="2"/>
  <c r="D8" i="4"/>
  <c r="E8" i="4"/>
  <c r="F8" i="4"/>
  <c r="G8" i="4"/>
  <c r="H8" i="4"/>
  <c r="I8" i="4"/>
  <c r="J8" i="4"/>
  <c r="K8" i="4"/>
  <c r="L8" i="4"/>
  <c r="M8" i="4"/>
  <c r="N8" i="4"/>
  <c r="C8" i="4"/>
  <c r="D7" i="4"/>
  <c r="E7" i="4"/>
  <c r="F7" i="4"/>
  <c r="G7" i="4"/>
  <c r="H7" i="4"/>
  <c r="I7" i="4"/>
  <c r="J7" i="4"/>
  <c r="K7" i="4"/>
  <c r="L7" i="4"/>
  <c r="M7" i="4"/>
  <c r="N7" i="4"/>
  <c r="C7" i="4"/>
  <c r="O16" i="7" l="1"/>
</calcChain>
</file>

<file path=xl/sharedStrings.xml><?xml version="1.0" encoding="utf-8"?>
<sst xmlns="http://schemas.openxmlformats.org/spreadsheetml/2006/main" count="5865" uniqueCount="529">
  <si>
    <t>Vacature</t>
  </si>
  <si>
    <t>Som van impressies ()</t>
  </si>
  <si>
    <t>Gemiddelde van Cost-per-click</t>
  </si>
  <si>
    <t>Gemiddelde van CTR</t>
  </si>
  <si>
    <t>Som van Clicks ()</t>
  </si>
  <si>
    <t>Som van Kosten (Totaal )</t>
  </si>
  <si>
    <t>CPA</t>
  </si>
  <si>
    <t>Structural Engineer</t>
  </si>
  <si>
    <t>Project Manager</t>
  </si>
  <si>
    <t>Project Engineer</t>
  </si>
  <si>
    <t>Project Control Assistant</t>
  </si>
  <si>
    <t>Maintenance Engineer</t>
  </si>
  <si>
    <t>Supply Chain Project Coordinator</t>
  </si>
  <si>
    <t>Demand Planner</t>
  </si>
  <si>
    <t>Supply Chain Planner</t>
  </si>
  <si>
    <t>Mechanical Engineer</t>
  </si>
  <si>
    <t>Electrical Engineer</t>
  </si>
  <si>
    <t>Java Developer (Spring Boot)</t>
  </si>
  <si>
    <t>DevOps Engineer</t>
  </si>
  <si>
    <t>Werkvoorbereider</t>
  </si>
  <si>
    <t>QA Specialist</t>
  </si>
  <si>
    <t>Proces Engineer</t>
  </si>
  <si>
    <t>Project Coördinator</t>
  </si>
  <si>
    <t>Uitvoerder</t>
  </si>
  <si>
    <t>Equipment Engineer</t>
  </si>
  <si>
    <t>Teamleader Logistics</t>
  </si>
  <si>
    <t>Teamlead logistics</t>
  </si>
  <si>
    <t>Projectondersteuner</t>
  </si>
  <si>
    <t>Automation Engineer</t>
  </si>
  <si>
    <t>Maintenance Planner</t>
  </si>
  <si>
    <t>Supply Chain Manager</t>
  </si>
  <si>
    <t>Electrical Designer</t>
  </si>
  <si>
    <t>Supply Network Planner</t>
  </si>
  <si>
    <t>Control Engineer</t>
  </si>
  <si>
    <t>BIM Engineer</t>
  </si>
  <si>
    <t>Field Service Technician</t>
  </si>
  <si>
    <t>Installation Engineer</t>
  </si>
  <si>
    <t>Logistiek Medewerker</t>
  </si>
  <si>
    <t>Project Lead Engineer</t>
  </si>
  <si>
    <t>Tender Manager</t>
  </si>
  <si>
    <t>Bouwkundig modelleur</t>
  </si>
  <si>
    <t>Software Engineer</t>
  </si>
  <si>
    <t>Projectleider</t>
  </si>
  <si>
    <t>Customer Service</t>
  </si>
  <si>
    <t>Electrical Mechanical Engineer</t>
  </si>
  <si>
    <t>Embedded Software Test Engineer</t>
  </si>
  <si>
    <t>Engine Development Engineer</t>
  </si>
  <si>
    <t>Engineering Manager</t>
  </si>
  <si>
    <t>Integrale supply chain planner</t>
  </si>
  <si>
    <t>Lead Hardware Engineer (Automotive)</t>
  </si>
  <si>
    <t>Manager Technical Site Services</t>
  </si>
  <si>
    <t>Mechanical Design Engineer</t>
  </si>
  <si>
    <t>Modelleur Constructie</t>
  </si>
  <si>
    <t>Process Safety Engineer</t>
  </si>
  <si>
    <t>REVIT Modelleur</t>
  </si>
  <si>
    <t>Site Manager</t>
  </si>
  <si>
    <t>Soldeer Operator</t>
  </si>
  <si>
    <t>Technisch Specialist Windmolens</t>
  </si>
  <si>
    <t>Werktuigbouwkunde</t>
  </si>
  <si>
    <t>Document controller</t>
  </si>
  <si>
    <t>Omgevingsmanager</t>
  </si>
  <si>
    <t>Ordercoördinator</t>
  </si>
  <si>
    <t>Reliability Engineer</t>
  </si>
  <si>
    <t>Strategisch inkoper</t>
  </si>
  <si>
    <t>Well Engineer</t>
  </si>
  <si>
    <t>Civiel Engineer</t>
  </si>
  <si>
    <t>Supply Planner</t>
  </si>
  <si>
    <t>Traineeship Maintenance Engineer</t>
  </si>
  <si>
    <t>Traineeship Reliability Engineering</t>
  </si>
  <si>
    <t>Design Engineer</t>
  </si>
  <si>
    <t>OT Engineer</t>
  </si>
  <si>
    <t>Werktuigkundige</t>
  </si>
  <si>
    <t>Commissioning Engineer</t>
  </si>
  <si>
    <t>Assetmanagement</t>
  </si>
  <si>
    <t>Embedded Software Engineer</t>
  </si>
  <si>
    <t>Maintenance Manager</t>
  </si>
  <si>
    <t>Traineeship Technische Bedrijfskunde</t>
  </si>
  <si>
    <t>Projectorganisator</t>
  </si>
  <si>
    <t>System Engineer</t>
  </si>
  <si>
    <t>Engineer Bouwkunde</t>
  </si>
  <si>
    <t>Traineeship Maintenance en Assetmanagement</t>
  </si>
  <si>
    <t>FPGA Design Engineer</t>
  </si>
  <si>
    <t>Planner</t>
  </si>
  <si>
    <t>Calculator</t>
  </si>
  <si>
    <t>Inspectie Traineeship</t>
  </si>
  <si>
    <t>Operator Energiecentrale</t>
  </si>
  <si>
    <t>Black Belt Quality engineer NPI</t>
  </si>
  <si>
    <t>Constructeur</t>
  </si>
  <si>
    <t>Consultant Industriële Automatisering</t>
  </si>
  <si>
    <t>Hardware Engineer</t>
  </si>
  <si>
    <t>Industrial Engineer NPI</t>
  </si>
  <si>
    <t>Manager Projectbeheersing</t>
  </si>
  <si>
    <t>Manager Realisatie Techniek</t>
  </si>
  <si>
    <t>Pipeline Engineer</t>
  </si>
  <si>
    <t>Principal Software Architect</t>
  </si>
  <si>
    <t>Procurement Manager</t>
  </si>
  <si>
    <t>Project Support Medewerker (site engineering)</t>
  </si>
  <si>
    <t>Recruitment Consultant Bouw-Infra</t>
  </si>
  <si>
    <t>Teammanager Engineering</t>
  </si>
  <si>
    <t>Technical Author</t>
  </si>
  <si>
    <t>Traineeship Werktuigkundige Energiecentrale</t>
  </si>
  <si>
    <t>adviseur Geo techniek</t>
  </si>
  <si>
    <t>Allround Maintenance Technician</t>
  </si>
  <si>
    <t>All-round Service Monteur</t>
  </si>
  <si>
    <t>Assistant Site Leader</t>
  </si>
  <si>
    <t>Assistent Project Manager</t>
  </si>
  <si>
    <t>BIM-Coördinator</t>
  </si>
  <si>
    <t>Bouwkundig Projectleider Utiliteitsbouw</t>
  </si>
  <si>
    <t>Clinical Development Scientist</t>
  </si>
  <si>
    <t>Clinical Research Officer (CRO)</t>
  </si>
  <si>
    <t>Content Manager</t>
  </si>
  <si>
    <t>Contractbeheer</t>
  </si>
  <si>
    <t>Coördinator</t>
  </si>
  <si>
    <t>Data Engineer</t>
  </si>
  <si>
    <t>Development Specialist</t>
  </si>
  <si>
    <t>Directievoerder</t>
  </si>
  <si>
    <t>Document Controller Chemie</t>
  </si>
  <si>
    <t>E&amp;I Technician</t>
  </si>
  <si>
    <t>EL Specialist</t>
  </si>
  <si>
    <t>Elektrotechnisch Monteur</t>
  </si>
  <si>
    <t>EMVI schrijver</t>
  </si>
  <si>
    <t>Engineer W</t>
  </si>
  <si>
    <t>Erfgoedspecialist monumenten</t>
  </si>
  <si>
    <t>ERP Planner</t>
  </si>
  <si>
    <t>Factory Project Leader</t>
  </si>
  <si>
    <t>Firmware Engineer</t>
  </si>
  <si>
    <t>FPGA Engineer</t>
  </si>
  <si>
    <t>Hardware designer</t>
  </si>
  <si>
    <t>HiL Engineer</t>
  </si>
  <si>
    <t>HSE Manager</t>
  </si>
  <si>
    <t>Inkoper</t>
  </si>
  <si>
    <t>Inspecteur NEN2767 BOK III</t>
  </si>
  <si>
    <t>Lead Design Engineer</t>
  </si>
  <si>
    <t>Lead Software Engineer</t>
  </si>
  <si>
    <t>Lean Manufacturing Engineer</t>
  </si>
  <si>
    <t>Locatieleider Gebouwservice</t>
  </si>
  <si>
    <t>Logistics Engineer NPI</t>
  </si>
  <si>
    <t>Machine Learning Engineer</t>
  </si>
  <si>
    <t>Manager Mechanical Engineering</t>
  </si>
  <si>
    <t>Manufacturing engineer NPI (mechanical assy)</t>
  </si>
  <si>
    <t>Mechatronic System Designer</t>
  </si>
  <si>
    <t>Monteur Schadeherstel</t>
  </si>
  <si>
    <t>Netspecialist Elektra</t>
  </si>
  <si>
    <t>Ontwerpleider Infra</t>
  </si>
  <si>
    <t>Order Fulfilment Officer</t>
  </si>
  <si>
    <t>Packaging Specification Specialist</t>
  </si>
  <si>
    <t>PCB Designer</t>
  </si>
  <si>
    <t>Physical Design Engineer</t>
  </si>
  <si>
    <t>PLC Engineer</t>
  </si>
  <si>
    <t>Ploegleider Installatietechniek</t>
  </si>
  <si>
    <t>Procesmanager</t>
  </si>
  <si>
    <t>Productieplanner</t>
  </si>
  <si>
    <t>Quality Process Engineer Manufacturing</t>
  </si>
  <si>
    <t>Quantity Surveyor</t>
  </si>
  <si>
    <t>Recruitment Consultant - Energy, Maritime &amp; Offshore</t>
  </si>
  <si>
    <t>Regional Media &amp; PR Strategy Lead</t>
  </si>
  <si>
    <t>Service Engineer Procesindustrie</t>
  </si>
  <si>
    <t>Service Engineer Software</t>
  </si>
  <si>
    <t>Software Architect</t>
  </si>
  <si>
    <t>Supervisor Maintenance</t>
  </si>
  <si>
    <t>Supply Chain Engineer</t>
  </si>
  <si>
    <t>Team Manager</t>
  </si>
  <si>
    <t>Teamleider Werkplaats</t>
  </si>
  <si>
    <t>Technical Publication Engineer</t>
  </si>
  <si>
    <t>Technicus E&amp;I</t>
  </si>
  <si>
    <t>Technisch Ontwikkelaar Bouw</t>
  </si>
  <si>
    <t>Technisch projectontwikkelaar</t>
  </si>
  <si>
    <t>Technisch specialist E</t>
  </si>
  <si>
    <t>Test Engineer</t>
  </si>
  <si>
    <t>Test Technician</t>
  </si>
  <si>
    <t>Toezichthouder Elektrotechniek</t>
  </si>
  <si>
    <t>Waterbouwkundig Constructeur</t>
  </si>
  <si>
    <t>Werkvergunning Coördinator</t>
  </si>
  <si>
    <t>Totaal</t>
  </si>
  <si>
    <t>Engineering</t>
  </si>
  <si>
    <t>Jan</t>
  </si>
  <si>
    <t>Feb</t>
  </si>
  <si>
    <t>Mar</t>
  </si>
  <si>
    <t>Apr</t>
  </si>
  <si>
    <t>Mei</t>
  </si>
  <si>
    <t>Jun</t>
  </si>
  <si>
    <t>Jul</t>
  </si>
  <si>
    <t>Aug</t>
  </si>
  <si>
    <t>Sep</t>
  </si>
  <si>
    <t>Okt</t>
  </si>
  <si>
    <t>Nov</t>
  </si>
  <si>
    <t>Dec</t>
  </si>
  <si>
    <t>Besparing</t>
  </si>
  <si>
    <t>Herinvestering</t>
  </si>
  <si>
    <t>Delft Carreer Platform</t>
  </si>
  <si>
    <t>Indeed</t>
  </si>
  <si>
    <t>LinkedIn Jobslots</t>
  </si>
  <si>
    <t>Monsterboard</t>
  </si>
  <si>
    <t>NVB</t>
  </si>
  <si>
    <t>Techniekwerkt</t>
  </si>
  <si>
    <t>?</t>
  </si>
  <si>
    <t>GA search</t>
  </si>
  <si>
    <t>GA display</t>
  </si>
  <si>
    <t>GA pmax</t>
  </si>
  <si>
    <t>GA demandgen</t>
  </si>
  <si>
    <t>Meta</t>
  </si>
  <si>
    <t>LinkedIn Ads</t>
  </si>
  <si>
    <t>Reddit</t>
  </si>
  <si>
    <t>Locatie</t>
  </si>
  <si>
    <t>Gesponsord impressies ()</t>
  </si>
  <si>
    <t>GesponsordClick through rate()</t>
  </si>
  <si>
    <t>Gesponsord clicks ()</t>
  </si>
  <si>
    <t>Gestarte sollicitaties Gesponsord</t>
  </si>
  <si>
    <t>Cost-per-click</t>
  </si>
  <si>
    <t>Kosten per gestarte sollicitatie</t>
  </si>
  <si>
    <t>Kosten (Totaal )</t>
  </si>
  <si>
    <t>(Junior) Directievoerder</t>
  </si>
  <si>
    <t>Rotterdam, ZH, NL</t>
  </si>
  <si>
    <t>-</t>
  </si>
  <si>
    <t>(Senior) Project Manager</t>
  </si>
  <si>
    <t>Amsterdam, NH, NL</t>
  </si>
  <si>
    <t>Adviseur Assetmanagement (waterwingebieden)</t>
  </si>
  <si>
    <t>Gouda, ZH, NL</t>
  </si>
  <si>
    <t>Leiden, ZH, NL</t>
  </si>
  <si>
    <t>Oldenzaal, OV, NL</t>
  </si>
  <si>
    <t>Assetmanagement Specialist</t>
  </si>
  <si>
    <t>Delft, ZH, NL</t>
  </si>
  <si>
    <t>Assetmanagement Water</t>
  </si>
  <si>
    <t>Utrecht, UT, NL</t>
  </si>
  <si>
    <t>Heerlen, LI, NL</t>
  </si>
  <si>
    <t>Balkbrug, OV, NL</t>
  </si>
  <si>
    <t>Borculo, GE, NL</t>
  </si>
  <si>
    <t>Wijster, DR, NL</t>
  </si>
  <si>
    <t>Lochem, GE, NL</t>
  </si>
  <si>
    <t>Meppel, DR, NL</t>
  </si>
  <si>
    <t>Gerkesklooster, FR, NL</t>
  </si>
  <si>
    <t>Lutjewinkel, NH, NL</t>
  </si>
  <si>
    <t>Enschede, OV, NL</t>
  </si>
  <si>
    <t>Eindhoven, NB, NL</t>
  </si>
  <si>
    <t>Bouw/Civiel Projectleider</t>
  </si>
  <si>
    <t>Groningen, GR, NL</t>
  </si>
  <si>
    <t>Aldeboarn, FR, NL</t>
  </si>
  <si>
    <t>Bouwkundig Civiel Engineer</t>
  </si>
  <si>
    <t>Arnhem, GE, NL</t>
  </si>
  <si>
    <t>Zwolle, OV, NL</t>
  </si>
  <si>
    <t>bouwkundig Revit modelleur</t>
  </si>
  <si>
    <t>Bouwkundig Werkvoorbereider</t>
  </si>
  <si>
    <t>Bunnik, UT, NL</t>
  </si>
  <si>
    <t>Brand Manager</t>
  </si>
  <si>
    <t>Amersfoort, UT, NL</t>
  </si>
  <si>
    <t>Steenwijk, OV, NL</t>
  </si>
  <si>
    <t>Civiel Engineer Stadswarmte - Amsterdam Noord</t>
  </si>
  <si>
    <t>Haarlem, NH, NL</t>
  </si>
  <si>
    <t>Den Haag, ZH, NL</t>
  </si>
  <si>
    <t>Commissioning Engineer Data Centers – Electrical</t>
  </si>
  <si>
    <t>Commissioning Engineer Jachten</t>
  </si>
  <si>
    <t>Schiedam, ZH, NL</t>
  </si>
  <si>
    <t>Dordrecht, ZH, NL</t>
  </si>
  <si>
    <t>Best, NB, NL</t>
  </si>
  <si>
    <t>Control Engineer DCS</t>
  </si>
  <si>
    <t>Coördinator E/I</t>
  </si>
  <si>
    <t>Delfzijl, GR, NL</t>
  </si>
  <si>
    <t>Coördinator Preventief Onderhoud</t>
  </si>
  <si>
    <t>Doetinchem, GE, NL</t>
  </si>
  <si>
    <t>Waalwijk, NB, NL</t>
  </si>
  <si>
    <t>Data Scientist</t>
  </si>
  <si>
    <t>Den Bosch, NB, NL</t>
  </si>
  <si>
    <t>Amstelveen, NH, NL</t>
  </si>
  <si>
    <t>Boxmeer, NB, NL</t>
  </si>
  <si>
    <t>Hoogeveen, DR, NL</t>
  </si>
  <si>
    <t>Burgum, FR, NL</t>
  </si>
  <si>
    <t>Eemshaven, GR, NL</t>
  </si>
  <si>
    <t>Electrical Interface Engineer</t>
  </si>
  <si>
    <t>Hengelo OV, OV, NL</t>
  </si>
  <si>
    <t>Venlo, LI, NL</t>
  </si>
  <si>
    <t>Emissions Coordinator</t>
  </si>
  <si>
    <t>Engineer Elektrotechniek</t>
  </si>
  <si>
    <t>Schiphol, NH, NL</t>
  </si>
  <si>
    <t>Nijmegen, GE, NL</t>
  </si>
  <si>
    <t>Appingedam, GR, NL</t>
  </si>
  <si>
    <t>FR, NL</t>
  </si>
  <si>
    <t>Deventer, OV, NL</t>
  </si>
  <si>
    <t>Almelo, OV, NL</t>
  </si>
  <si>
    <t>Stroe, GE, NL</t>
  </si>
  <si>
    <t>Geleen, LI, NL</t>
  </si>
  <si>
    <t>Junior adviseur Geo techniek</t>
  </si>
  <si>
    <t>Junior Automation Engineer</t>
  </si>
  <si>
    <t>Workum, FR, NL</t>
  </si>
  <si>
    <t>Junior BIM Engineer</t>
  </si>
  <si>
    <t>Junior Bouwkundig Werkvoorbereider</t>
  </si>
  <si>
    <t>Junior Electrical Engineer</t>
  </si>
  <si>
    <t>Emmen, DR, NL</t>
  </si>
  <si>
    <t>Junior Maintenance Engineer</t>
  </si>
  <si>
    <t>Bedum, GR, NL</t>
  </si>
  <si>
    <t>Beilen, DR, NL</t>
  </si>
  <si>
    <t>Junior PLC Engineer - Maritiem / Industrie</t>
  </si>
  <si>
    <t>Junior Project Coördinator Installatietechniek</t>
  </si>
  <si>
    <t>Junior Project Engineer Bouwkunde</t>
  </si>
  <si>
    <t>Junior Project Engineer Civiele Techniek</t>
  </si>
  <si>
    <t>Junior Project Engineer Duurzame Energie</t>
  </si>
  <si>
    <t>Junior Project Engineer Maintenance</t>
  </si>
  <si>
    <t>Foxhol, GR, NL</t>
  </si>
  <si>
    <t>Gasselternijveen, DR, NL</t>
  </si>
  <si>
    <t>Junior Project Engineer Utiliteit elektrotechniek</t>
  </si>
  <si>
    <t>Junior Project Engineer Utiliteit Werktuigbouwkundig</t>
  </si>
  <si>
    <t>NL</t>
  </si>
  <si>
    <t>Junior Projectleider Warmtenetten</t>
  </si>
  <si>
    <t>Junior Uitvoerder Bouwkunde</t>
  </si>
  <si>
    <t>OV, NL</t>
  </si>
  <si>
    <t>Junior Uitvoerder Civiele Techniek</t>
  </si>
  <si>
    <t>Junior Werkvoorbereider bouwkunde</t>
  </si>
  <si>
    <t>Junior Werkvoorbereider Civiele Techniek</t>
  </si>
  <si>
    <t>Junior Werkvoorbereider Energietransitie</t>
  </si>
  <si>
    <t>Raamsdonksveer, NB, NL</t>
  </si>
  <si>
    <t>Breda, NB, NL</t>
  </si>
  <si>
    <t>Maintenance &amp; Reliability Engineer</t>
  </si>
  <si>
    <t>Oss, NB, NL</t>
  </si>
  <si>
    <t>Wolvega, FR, NL</t>
  </si>
  <si>
    <t>Leeuwarden, FR, NL</t>
  </si>
  <si>
    <t>Marum, GR, NL</t>
  </si>
  <si>
    <t>Drachten, FR, NL</t>
  </si>
  <si>
    <t>Assen, DR, NL</t>
  </si>
  <si>
    <t>Schagen, NH, NL</t>
  </si>
  <si>
    <t>Coevorden, DR, NL</t>
  </si>
  <si>
    <t>Emmeloord, FL, NL</t>
  </si>
  <si>
    <t>Ommen, OV, NL</t>
  </si>
  <si>
    <t>Joure, FR, NL</t>
  </si>
  <si>
    <t>Bolsward, FR, NL</t>
  </si>
  <si>
    <t>Veenendaal, UT, NL</t>
  </si>
  <si>
    <t>Papendrecht, ZH, NL</t>
  </si>
  <si>
    <t>Maastricht, LI, NL</t>
  </si>
  <si>
    <t>Medior / Senior Maintenance Engineer Bouw</t>
  </si>
  <si>
    <t>Medior / Senior Maintenance Engineer E</t>
  </si>
  <si>
    <t>Medior Inspecteur NEN2767 BOK III</t>
  </si>
  <si>
    <t>Medior Maintenance Engineer Projecten MJOP(D)</t>
  </si>
  <si>
    <t>Medior Maintenance Engineer WTB</t>
  </si>
  <si>
    <t>Medior Manager Realisatie Techniek</t>
  </si>
  <si>
    <t>Medior Project Coördinator Installatietechniek</t>
  </si>
  <si>
    <t>Medior Project Engineer</t>
  </si>
  <si>
    <t>Medior Project Engineer Duurzame Energie</t>
  </si>
  <si>
    <t>Medior Project Engineer Energie opwek Elektrotechniek</t>
  </si>
  <si>
    <t>Medior Project Engineer Energie opwek Werktuigbouwkunde</t>
  </si>
  <si>
    <t>Medior Project Engineer Installatietechniek</t>
  </si>
  <si>
    <t>Medior Project Engineer Utiliteit W</t>
  </si>
  <si>
    <t>Medior Projectleider Elektrotechniek Utiliteitsbouw</t>
  </si>
  <si>
    <t>Medior Projectmanager Installatie techniek Utilliteitsbouw</t>
  </si>
  <si>
    <t>Medior Projectmanager Installatietechniek Utiliteitsbouw</t>
  </si>
  <si>
    <t>Medior Projectmanager ondergrondse infra</t>
  </si>
  <si>
    <t>Medior Technisch specialist E</t>
  </si>
  <si>
    <t>Medior Uitvoerder Civiele Techniek</t>
  </si>
  <si>
    <t>Medior Werkvoorbereider Bouwkunde</t>
  </si>
  <si>
    <t>Medior Werkvoorbereider Civiele Techniek</t>
  </si>
  <si>
    <t>Medior Werkvoorbereider Energietransitie</t>
  </si>
  <si>
    <t>Mr. Project Engineer Utiliteit E</t>
  </si>
  <si>
    <t>Mr. Project Engineer Utiliteit W</t>
  </si>
  <si>
    <t>Omgevingsmanager - Energie en Water</t>
  </si>
  <si>
    <t>Omscholingstraject Werktuigkundige Energiecentrale</t>
  </si>
  <si>
    <t>Veghel, NB, NL</t>
  </si>
  <si>
    <t>Wageningen, GE, NL</t>
  </si>
  <si>
    <t>Maarssen, UT, NL</t>
  </si>
  <si>
    <t>UT, NL</t>
  </si>
  <si>
    <t>Veldhoven, NB, NL</t>
  </si>
  <si>
    <t>Principal Software Architect NL</t>
  </si>
  <si>
    <t>Procesmanager Visie Cultureel Centrum</t>
  </si>
  <si>
    <t>Zaandam, NH, NL</t>
  </si>
  <si>
    <t>Procurement Manager (packaging)</t>
  </si>
  <si>
    <t>Maasdam, ZH, NL</t>
  </si>
  <si>
    <t>Duiven, GE, NL</t>
  </si>
  <si>
    <t>Project Coordinator Meet en Regeltechniek</t>
  </si>
  <si>
    <t>Diemen, NH, NL</t>
  </si>
  <si>
    <t>Velsen-Noord, NH, NL</t>
  </si>
  <si>
    <t>Sumar, FR, NL</t>
  </si>
  <si>
    <t>Project Engineer Bouwkunde</t>
  </si>
  <si>
    <t>Project Engineer Civiele Techniek</t>
  </si>
  <si>
    <t>Project Engineer CT</t>
  </si>
  <si>
    <t>Stadskanaal, GR, NL</t>
  </si>
  <si>
    <t>Veendam, GR, NL</t>
  </si>
  <si>
    <t>Heerenveen, FR, NL</t>
  </si>
  <si>
    <t>Project Engineer Duurzame Energie</t>
  </si>
  <si>
    <t>Project Engineer Elektrotechniek</t>
  </si>
  <si>
    <t>Project Engineer Energie opwek Elektrotechniek</t>
  </si>
  <si>
    <t>Project Engineer Energie opwek Mechanisch</t>
  </si>
  <si>
    <t>Project Engineer Energietransitie</t>
  </si>
  <si>
    <t>Project Engineer Heavy Transport</t>
  </si>
  <si>
    <t>Project Engineer Maintenance</t>
  </si>
  <si>
    <t>Project Engineer Offshore Wind</t>
  </si>
  <si>
    <t>Project Engineer Ondergrondseinfra Elektrotechniek</t>
  </si>
  <si>
    <t>Project Engineer Ondergrondseinfra Warmte / Gas</t>
  </si>
  <si>
    <t>Project engineer WTB</t>
  </si>
  <si>
    <t>Projectcoördinator Aardbevingsgebied</t>
  </si>
  <si>
    <t>Projectcoördinator B</t>
  </si>
  <si>
    <t>Projectcoördinator Machinebouw</t>
  </si>
  <si>
    <t>Projectcoordinator Parking</t>
  </si>
  <si>
    <t>Projectleider (energiesector)</t>
  </si>
  <si>
    <t>Projectleider Bouw</t>
  </si>
  <si>
    <t>Lelystad, FL, NL</t>
  </si>
  <si>
    <t>Projectleider Bouwkunde</t>
  </si>
  <si>
    <t>Projectleider Brandveiligheid</t>
  </si>
  <si>
    <t>Projectleider Civiel</t>
  </si>
  <si>
    <t>NH, NL</t>
  </si>
  <si>
    <t>Projectleider Civiele Techniek</t>
  </si>
  <si>
    <t>Projectleider Elektrotechniek</t>
  </si>
  <si>
    <t>Projectleider Elektrotechniek Utiliteitsbouw</t>
  </si>
  <si>
    <t>Projectleider Gebouwgebonden installaties</t>
  </si>
  <si>
    <t>Projectleider Werktuigbouwkunde</t>
  </si>
  <si>
    <t>Projectmanager | Gebiedsontwikkeling</t>
  </si>
  <si>
    <t>Projectmanager Installatietechniek Utiliteitsbouw</t>
  </si>
  <si>
    <t>Projectmanager Installatietechniek Utilliteitsbouw</t>
  </si>
  <si>
    <t>Projectmanager Supply Chain</t>
  </si>
  <si>
    <t>Projectmanager Warmtenetten</t>
  </si>
  <si>
    <t>Projectorganisator Bouw</t>
  </si>
  <si>
    <t>Projectorganisator Bouwkunde</t>
  </si>
  <si>
    <t>Projectorganisator Civiel</t>
  </si>
  <si>
    <t>Projectorganisator Civiel | Randstad</t>
  </si>
  <si>
    <t>Projectorganisator Civiele Techniek</t>
  </si>
  <si>
    <t>Senior Constructeur</t>
  </si>
  <si>
    <t>Budel, NB, NL</t>
  </si>
  <si>
    <t>Senior Control Engineer</t>
  </si>
  <si>
    <t>Senior Development Specialist</t>
  </si>
  <si>
    <t>Senior Electrical Designer</t>
  </si>
  <si>
    <t>Senior Engineer Bouwkunde</t>
  </si>
  <si>
    <t>Witharen, OV, NL</t>
  </si>
  <si>
    <t>Senior Machine Learning Engineer</t>
  </si>
  <si>
    <t>Senior Maintenance Engineer E&amp;I</t>
  </si>
  <si>
    <t>Senior Operator Energiecentrale</t>
  </si>
  <si>
    <t>Senior Project engineer</t>
  </si>
  <si>
    <t>Waddinxveen, ZH, NL</t>
  </si>
  <si>
    <t>Senior Project Engineer Utiliteit Elektrotechniek</t>
  </si>
  <si>
    <t>Senior Project Engineer Utiliteit Werktuigbouwkundig</t>
  </si>
  <si>
    <t>Senior Project Manager Offshore Wind</t>
  </si>
  <si>
    <t>Senior Projectleider E</t>
  </si>
  <si>
    <t>Senior Specialist Process Engineer</t>
  </si>
  <si>
    <t>Senior Technical Author</t>
  </si>
  <si>
    <t>Senior Uitvoerder Bouwkunde</t>
  </si>
  <si>
    <t>Senior Uitvoerder Civiele Techniek</t>
  </si>
  <si>
    <t>Senior Werkvoorbereider B</t>
  </si>
  <si>
    <t>Senior Werkvoorbereider Energietransitie</t>
  </si>
  <si>
    <t>ZH, NL</t>
  </si>
  <si>
    <t>Software PLC Engineer</t>
  </si>
  <si>
    <t>Software solutions engineer</t>
  </si>
  <si>
    <t>Software Test Engineer</t>
  </si>
  <si>
    <t>Software Test Engineer (Automotive)</t>
  </si>
  <si>
    <t>Specialist Assetmanagement IT</t>
  </si>
  <si>
    <t>Specialist Assetmanagement wo</t>
  </si>
  <si>
    <t>Specialist Werktuigbouwkunde ME</t>
  </si>
  <si>
    <t>Sr. Maintenance Engineer</t>
  </si>
  <si>
    <t>Moerdijk, NB, NL</t>
  </si>
  <si>
    <t>Sr. Principal Software Architect</t>
  </si>
  <si>
    <t>Strategisch Inkoper Mechanica</t>
  </si>
  <si>
    <t>Structural Engineer – Design and Construction</t>
  </si>
  <si>
    <t>Structural Engineer Pipeline</t>
  </si>
  <si>
    <t>Leerdam, UT, NL</t>
  </si>
  <si>
    <t>Systeem Engineer Maritiem</t>
  </si>
  <si>
    <t>System Engineer Procesautomatisering</t>
  </si>
  <si>
    <t>System Test Engineer</t>
  </si>
  <si>
    <t>System Verification Engineer (Shipbuilding)</t>
  </si>
  <si>
    <t>Vlissingen, ZE, NL</t>
  </si>
  <si>
    <t>Hoogezand, GR, NL</t>
  </si>
  <si>
    <t>Hengelo GLD, GE, NL</t>
  </si>
  <si>
    <t>Technical Recruiter</t>
  </si>
  <si>
    <t>Zuidhorn, GR, NL</t>
  </si>
  <si>
    <t>Uitvoerder Bouwkunde</t>
  </si>
  <si>
    <t>Uitvoerder Civiele Techniek</t>
  </si>
  <si>
    <t>Uitvoerder Civiele Techniek (senior)</t>
  </si>
  <si>
    <t>Uitvoerder Wegenbouw</t>
  </si>
  <si>
    <t>Uitvoerder Werktuigbouwkunde</t>
  </si>
  <si>
    <t>Wekvoorbereider Maintenance | civiel</t>
  </si>
  <si>
    <t>Wekvoorbereider Maintenance | civiel - Junior</t>
  </si>
  <si>
    <t>Westerbork, DR, NL</t>
  </si>
  <si>
    <t>Well Engineer Junior</t>
  </si>
  <si>
    <t>Werktuigkundige Energiecentrale</t>
  </si>
  <si>
    <t>Tilburg, NB, NL</t>
  </si>
  <si>
    <t>Almere, FL, NL</t>
  </si>
  <si>
    <t>Amsterdam Zuid, NH, NL</t>
  </si>
  <si>
    <t>Werkvoorbereider B</t>
  </si>
  <si>
    <t>Werkvoorbereider Beheer &amp; Onderhoud</t>
  </si>
  <si>
    <t>Werkvoorbereider Beheer &amp; Onderhoud | Schiphol</t>
  </si>
  <si>
    <t>Werkvoorbereider Bouw</t>
  </si>
  <si>
    <t>Werkvoorbereider Civiel</t>
  </si>
  <si>
    <t>Werkvoorbereider Civiele Techniek</t>
  </si>
  <si>
    <t>Werkvoorbereider E</t>
  </si>
  <si>
    <t>Werkvoorbereider E&amp;I</t>
  </si>
  <si>
    <t>Farmsum, GR, NL</t>
  </si>
  <si>
    <t>Werkvoorbereider Elektrotechniek</t>
  </si>
  <si>
    <t>Werkvoorbereider Energiebranche</t>
  </si>
  <si>
    <t>Werkvoorbereider Maintenance</t>
  </si>
  <si>
    <t>GR, NL</t>
  </si>
  <si>
    <t>Werkvoorbereider Multimodale Knoop Schiphol</t>
  </si>
  <si>
    <t>Werkvoorbereider ondergrondse infra</t>
  </si>
  <si>
    <t>Werkvoorbereider Onderhoud en Renovatie</t>
  </si>
  <si>
    <t>t Harde, GE, NL</t>
  </si>
  <si>
    <t>Werkvoorbereider Stadswarmte</t>
  </si>
  <si>
    <t>Werkvoorbereider Utiliteit Junior</t>
  </si>
  <si>
    <t>Werkvoorbereider Utiliteit Medior</t>
  </si>
  <si>
    <t>Werkvoorbereider Werktuigbouwkunde - Schiphol</t>
  </si>
  <si>
    <t>Werkvoorbereider Werktuigbouwkunde Medior</t>
  </si>
  <si>
    <t>Rijlabels</t>
  </si>
  <si>
    <t>Gemiddelde van € per gestarte sollicitatie</t>
  </si>
  <si>
    <t>Som van Gestarte sollicitaties</t>
  </si>
  <si>
    <t>Gemiddelde van % Gestarte sollicitaties</t>
  </si>
  <si>
    <t>Eindtotaal</t>
  </si>
  <si>
    <t>% Gestarte sollicitaties</t>
  </si>
  <si>
    <t>Project engineer</t>
  </si>
  <si>
    <t>Junior Werkvoorbereider</t>
  </si>
  <si>
    <t>Junior Uitvoerder</t>
  </si>
  <si>
    <t>Sponsored clicks</t>
  </si>
  <si>
    <t>Sollicitatie gestart</t>
  </si>
  <si>
    <t>Sollicitatie</t>
  </si>
  <si>
    <t>Kosten</t>
  </si>
  <si>
    <t>Conversiepercentage</t>
  </si>
  <si>
    <t>Aantal van Vacature</t>
  </si>
  <si>
    <t>(leeg)</t>
  </si>
  <si>
    <t>Location</t>
  </si>
  <si>
    <t>Cost per started application</t>
  </si>
  <si>
    <t>Number of Vacancies</t>
  </si>
  <si>
    <t>Total Number of Impressions</t>
  </si>
  <si>
    <t>Average Cost Per Click</t>
  </si>
  <si>
    <t>Average cost per application start</t>
  </si>
  <si>
    <t>Average Click-Through Rate</t>
  </si>
  <si>
    <t>Total Clicks</t>
  </si>
  <si>
    <t>Total started applications</t>
  </si>
  <si>
    <t>Average percentage of started applications</t>
  </si>
  <si>
    <t>Total costs</t>
  </si>
  <si>
    <t>Conversions</t>
  </si>
  <si>
    <t>Conversion Rate</t>
  </si>
  <si>
    <t>Conversion per job vanacy</t>
  </si>
  <si>
    <t>Impressions (sponsored)</t>
  </si>
  <si>
    <t>Click through rate (sponsored)</t>
  </si>
  <si>
    <t>Clicks (sponsored)</t>
  </si>
  <si>
    <t>Started applications (sponsored)</t>
  </si>
  <si>
    <t>Application start rate (sponsored)</t>
  </si>
  <si>
    <t>Cost per click</t>
  </si>
  <si>
    <t>Total cost</t>
  </si>
  <si>
    <t>Job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</si>
</sst>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&quot;€&quot;\ * #,##0.00_ ;_ &quot;€&quot;\ * \-#,##0.00_ ;_ &quot;€&quot;\ * &quot;-&quot;??_ ;_ @_ "/>
    <numFmt numFmtId="165" formatCode="0.0%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353F49"/>
      <name val="Calibri"/>
      <family val="2"/>
    </font>
    <font>
      <sz val="12"/>
      <color rgb="FF353F4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65" fontId="0" fillId="0" borderId="0" xfId="2" applyNumberFormat="1" applyFont="1"/>
    <xf numFmtId="10" fontId="0" fillId="0" borderId="0" xfId="2" applyNumberFormat="1" applyFont="1"/>
    <xf numFmtId="164" fontId="0" fillId="0" borderId="0" xfId="1" applyFont="1"/>
    <xf numFmtId="0" fontId="2" fillId="0" borderId="0" xfId="0" applyFont="1"/>
    <xf numFmtId="164" fontId="2" fillId="0" borderId="0" xfId="1" applyFont="1"/>
    <xf numFmtId="0" fontId="2" fillId="0" borderId="1" xfId="0" applyFont="1" applyBorder="1"/>
    <xf numFmtId="0" fontId="0" fillId="0" borderId="1" xfId="0" applyBorder="1"/>
    <xf numFmtId="164" fontId="0" fillId="0" borderId="1" xfId="1" applyFont="1" applyBorder="1"/>
    <xf numFmtId="10" fontId="0" fillId="0" borderId="1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2" fontId="0" fillId="0" borderId="0" xfId="0" applyNumberFormat="1"/>
    <xf numFmtId="2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1" fontId="0" fillId="0" borderId="0" xfId="2" applyNumberFormat="1" applyFont="1"/>
    <xf numFmtId="0" fontId="3" fillId="2" borderId="1" xfId="0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5" fillId="3" borderId="1" xfId="0" applyFont="1" applyFill="1" applyBorder="1" applyAlignment="1">
      <alignment horizontal="right" wrapText="1"/>
    </xf>
    <xf numFmtId="1" fontId="5" fillId="3" borderId="1" xfId="0" applyNumberFormat="1" applyFont="1" applyFill="1" applyBorder="1" applyAlignment="1">
      <alignment horizontal="right" wrapText="1"/>
    </xf>
    <xf numFmtId="1" fontId="4" fillId="3" borderId="1" xfId="0" applyNumberFormat="1" applyFont="1" applyFill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1" fontId="5" fillId="0" borderId="1" xfId="0" applyNumberFormat="1" applyFont="1" applyBorder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3" fillId="2" borderId="2" xfId="0" applyFont="1" applyFill="1" applyBorder="1" applyAlignment="1">
      <alignment horizontal="right" wrapText="1"/>
    </xf>
    <xf numFmtId="164" fontId="0" fillId="4" borderId="0" xfId="1" applyFont="1" applyFill="1"/>
  </cellXfs>
  <cellStyles count="3">
    <cellStyle name="Currency" xfId="1" builtinId="4"/>
    <cellStyle name="Normal" xfId="0" builtinId="0"/>
    <cellStyle name="Percent" xfId="2" builtinId="5"/>
  </cellStyles>
  <dxfs count="24">
    <dxf>
      <numFmt numFmtId="164" formatCode="_ &quot;€&quot;\ * #,##0.00_ ;_ &quot;€&quot;\ * \-#,##0.00_ ;_ &quot;€&quot;\ * &quot;-&quot;??_ ;_ @_ "/>
    </dxf>
    <dxf>
      <numFmt numFmtId="14" formatCode="0.00%"/>
    </dxf>
    <dxf>
      <numFmt numFmtId="164" formatCode="_ &quot;€&quot;\ * #,##0.00_ ;_ &quot;€&quot;\ * \-#,##0.00_ ;_ &quot;€&quot;\ * &quot;-&quot;??_ ;_ @_ 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numFmt numFmtId="14" formatCode="0.00%"/>
    </dxf>
    <dxf>
      <numFmt numFmtId="164" formatCode="_ &quot;€&quot;\ * #,##0.00_ ;_ &quot;€&quot;\ * \-#,##0.00_ ;_ &quot;€&quot;\ * &quot;-&quot;??_ ;_ @_ "/>
    </dxf>
    <dxf>
      <numFmt numFmtId="14" formatCode="0.00%"/>
    </dxf>
    <dxf>
      <numFmt numFmtId="14" formatCode="0.00%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</dxf>
    <dxf>
      <numFmt numFmtId="14" formatCode="0.00%"/>
    </dxf>
    <dxf>
      <numFmt numFmtId="14" formatCode="0.00%"/>
    </dxf>
    <dxf>
      <numFmt numFmtId="164" formatCode="_ &quot;€&quot;\ * #,##0.00_ ;_ &quot;€&quot;\ * \-#,##0.00_ ;_ &quot;€&quot;\ * &quot;-&quot;??_ ;_ @_ "/>
    </dxf>
    <dxf>
      <numFmt numFmtId="164" formatCode="_ &quot;€&quot;\ * #,##0.00_ ;_ &quot;€&quot;\ * \-#,##0.00_ ;_ &quot;€&quot;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1" defaultTableStyle="TableStyleMedium9" defaultPivotStyle="PivotStyleMedium4">
    <tableStyle name="Tabelstijl 1" pivot="0" count="0" xr9:uid="{60313F7E-E802-4F2D-A03D-3ECCF760B5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iso  Visser" refreshedDate="45860.418548842594" createdVersion="8" refreshedVersion="8" minRefreshableVersion="3" recordCount="970" xr:uid="{B3633461-20F5-4891-9913-2BF167A65F78}">
  <cacheSource type="worksheet">
    <worksheetSource ref="A1:J971" sheet="Blad2"/>
  </cacheSource>
  <cacheFields count="10">
    <cacheField name="Vacature" numFmtId="0">
      <sharedItems count="198">
        <s v="Directievoerder"/>
        <s v="Project Manager"/>
        <s v="Assetmanagement"/>
        <s v="adviseur Geo techniek"/>
        <s v="Allround Maintenance Technician"/>
        <s v="All-round Service Monteur"/>
        <s v="Assistant Site Leader"/>
        <s v="Assistent Project Manager"/>
        <s v="Automation Engineer"/>
        <s v="BIM Engineer"/>
        <s v="BIM-Coördinator"/>
        <s v="Black Belt Quality engineer NPI"/>
        <s v="Bouwkundig modelleur"/>
        <s v="Bouwkundig Projectleider Utiliteitsbouw"/>
        <s v="Brand Manager"/>
        <s v="Calculator"/>
        <s v="Civiel Engineer"/>
        <s v="Clinical Development Scientist"/>
        <s v="Clinical Research Officer (CRO)"/>
        <s v="Commissioning Engineer"/>
        <s v="Constructeur"/>
        <s v="Consultant Industriële Automatisering"/>
        <s v="Content Manager"/>
        <s v="Contractbeheer"/>
        <s v="Control Engineer"/>
        <s v="Coördinator"/>
        <s v="Customer Service"/>
        <s v="Data Engineer"/>
        <s v="Data Scientist"/>
        <s v="Demand Planner"/>
        <s v="Design Engineer"/>
        <s v="Development Specialist"/>
        <s v="DevOps Engineer"/>
        <s v="Document controller"/>
        <s v="Document Controller Chemie"/>
        <s v="E&amp;I Technician"/>
        <s v="EL Specialist"/>
        <s v="Electrical Designer"/>
        <s v="Electrical Engineer"/>
        <s v="Electrical Mechanical Engineer"/>
        <s v="Elektrotechnisch Monteur"/>
        <s v="Embedded Software Engineer"/>
        <s v="Embedded Software Test Engineer"/>
        <s v="EMVI schrijver"/>
        <s v="Engine Development Engineer"/>
        <s v="Engineer Bouwkunde"/>
        <s v="Engineer W"/>
        <s v="Engineering Manager"/>
        <s v="Equipment Engineer"/>
        <s v="Erfgoedspecialist monumenten"/>
        <s v="ERP Planner"/>
        <s v="Factory Project Leader"/>
        <s v="Field Service Technician"/>
        <s v="Firmware Engineer"/>
        <s v="FPGA Design Engineer"/>
        <s v="FPGA Engineer"/>
        <s v="Hardware designer"/>
        <s v="Hardware Engineer"/>
        <s v="HiL Engineer"/>
        <s v="HSE Manager"/>
        <s v="Industrial Engineer NPI"/>
        <s v="Inkoper"/>
        <s v="Inspecteur NEN2767 BOK III"/>
        <s v="Inspectie Traineeship"/>
        <s v="Installation Engineer"/>
        <s v="Integrale supply chain planner"/>
        <s v="Java Developer (Spring Boot)"/>
        <s v="Lead Design Engineer"/>
        <s v="Lead Hardware Engineer (Automotive)"/>
        <s v="Lead Software Engineer"/>
        <s v="Lean Manufacturing Engineer"/>
        <s v="Locatieleider Gebouwservice"/>
        <s v="Logistics Engineer NPI"/>
        <s v="Logistiek Medewerker"/>
        <s v="Machine Learning Engineer"/>
        <s v="Maintenance Engineer"/>
        <s v="Maintenance Manager"/>
        <s v="Maintenance Planner"/>
        <s v="Manager Mechanical Engineering"/>
        <s v="Manager Projectbeheersing"/>
        <s v="Manager Realisatie Techniek"/>
        <s v="Manager Technical Site Services"/>
        <s v="Manufacturing engineer NPI (mechanical assy)"/>
        <s v="Mechanical Design Engineer"/>
        <s v="Mechanical Engineer"/>
        <s v="Mechatronic System Designer"/>
        <s v="Modelleur Constructie"/>
        <s v="Monteur Schadeherstel"/>
        <s v="Netspecialist Elektra"/>
        <s v="Omgevingsmanager"/>
        <s v="Ontwerpleider Infra"/>
        <s v="Operator Energiecentrale"/>
        <s v="Order Fulfilment Officer"/>
        <s v="Ordercoördinator"/>
        <s v="OT Engineer"/>
        <s v="Packaging Specification Specialist"/>
        <s v="PCB Designer"/>
        <s v="Physical Design Engineer"/>
        <s v="Pipeline Engineer"/>
        <s v="Planner"/>
        <s v="PLC Engineer"/>
        <s v="Ploegleider Installatietechniek"/>
        <s v="Principal Software Architect"/>
        <s v="Proces Engineer"/>
        <s v="Procesmanager"/>
        <s v="Process Safety Engineer"/>
        <s v="Procurement Manager"/>
        <s v="Productieplanner"/>
        <s v="Project Control Assistant"/>
        <s v="Project Coördinator"/>
        <s v="Project Engineer"/>
        <s v="Project Lead Engineer"/>
        <s v="Projectleider"/>
        <s v="Project Support Medewerker (site engineering)"/>
        <s v="Projectondersteuner"/>
        <s v="Projectorganisator"/>
        <s v="QA Specialist"/>
        <s v="Quality Process Engineer Manufacturing"/>
        <s v="Quantity Surveyor"/>
        <s v="Recruitment Consultant - Energy, Maritime &amp; Offshore"/>
        <s v="Recruitment Consultant Bouw-Infra"/>
        <s v="Regional Media &amp; PR Strategy Lead"/>
        <s v="Reliability Engineer"/>
        <s v="REVIT Modelleur"/>
        <s v="Service Engineer Procesindustrie"/>
        <s v="Service Engineer Software"/>
        <s v="Site Manager"/>
        <s v="Software Architect"/>
        <s v="Software Engineer"/>
        <s v="Soldeer Operator"/>
        <s v="Werktuigbouwkunde"/>
        <s v="Strategisch inkoper"/>
        <s v="Structural Engineer"/>
        <s v="Supervisor Maintenance"/>
        <s v="Supply Chain Engineer"/>
        <s v="Supply Chain Manager"/>
        <s v="Supply Chain Planner"/>
        <s v="Supply Chain Project Coordinator"/>
        <s v="Supply Network Planner"/>
        <s v="Supply Planner"/>
        <s v="System Engineer"/>
        <s v="Team Manager"/>
        <s v="Teamlead logistics"/>
        <s v="Teamleader Logistics"/>
        <s v="Teamleider Werkplaats"/>
        <s v="Teammanager Engineering"/>
        <s v="Technical Author"/>
        <s v="Technical Publication Engineer"/>
        <s v="Technical Recruiter"/>
        <s v="Technicus E&amp;I"/>
        <s v="Technisch Ontwikkelaar Bouw"/>
        <s v="Technisch projectontwikkelaar"/>
        <s v="Technisch specialist E"/>
        <s v="Technisch Specialist Windmolens"/>
        <s v="Tender Manager"/>
        <s v="Test Engineer"/>
        <s v="Test Technician"/>
        <s v="Toezichthouder Elektrotechniek"/>
        <s v="Traineeship Maintenance en Assetmanagement"/>
        <s v="Traineeship Maintenance Engineer"/>
        <s v="Traineeship Reliability Engineering"/>
        <s v="Traineeship Technische Bedrijfskunde"/>
        <s v="Traineeship Werktuigkundige Energiecentrale"/>
        <s v="Uitvoerder"/>
        <s v="Waterbouwkundig Constructeur"/>
        <s v="Well Engineer"/>
        <s v="Werktuigkundige"/>
        <s v="Werkvergunning Coördinator"/>
        <s v="Werkvoorbereider"/>
        <s v="(Junior) Directievoerder" u="1"/>
        <s v="(Senior) Project Manager" u="1"/>
        <s v="Adviseur Assetmanagement (waterwingebieden)" u="1"/>
        <s v="Control Engineer DCS" u="1"/>
        <s v="Coördinator E/I" u="1"/>
        <s v="Coördinator Preventief Onderhoud" u="1"/>
        <s v="Emissions Coordinator" u="1"/>
        <s v="Project Leider" u="1"/>
        <s v="Project Coördinator Installatietechniek" u="1"/>
        <s v="Omgevingsmanager - Energie en Water" u="1"/>
        <s v="Omscholingstraject Werktuigkundige Energiecentrale" u="1"/>
        <s v="Principal Software Architect NL" u="1"/>
        <s v="Procesmanager Visie Cultureel Centrum" u="1"/>
        <s v="Procurement Manager (packaging)" u="1"/>
        <s v="Project Coordinator Meet en Regeltechniek" u="1"/>
        <s v="Specialist Process Engineer" u="1"/>
        <s v="Software PLC Engineer" u="1"/>
        <s v="Software solutions engineer" u="1"/>
        <s v="Software Test Engineer" u="1"/>
        <s v="Software Test Engineer (Automotive)" u="1"/>
        <s v="Specialist Assetmanagement IT" u="1"/>
        <s v="Specialist Assetmanagement wo" u="1"/>
        <s v="Specialist Werktuigbouwkunde ME" u="1"/>
        <s v="Strategisch Inkoper Mechanica" u="1"/>
        <s v="Werktuigkundige Energiecentrale" u="1"/>
        <s v="/ Maintenance Engineer Bouw" u="1"/>
        <s v="/ Maintenance Engineer E" u="1"/>
        <s v="Maintenance Engineer Projecten MJOP(D)" u="1"/>
        <s v="Maintenance Engineer WTB" u="1"/>
      </sharedItems>
    </cacheField>
    <cacheField name="Locatie" numFmtId="0">
      <sharedItems/>
    </cacheField>
    <cacheField name="Gesponsord impressies ()" numFmtId="0">
      <sharedItems containsSemiMixedTypes="0" containsString="0" containsNumber="1" containsInteger="1" minValue="0" maxValue="11459"/>
    </cacheField>
    <cacheField name="GesponsordClick through rate()" numFmtId="165">
      <sharedItems containsSemiMixedTypes="0" containsString="0" containsNumber="1" minValue="0" maxValue="0.33329999999999999"/>
    </cacheField>
    <cacheField name="Gesponsord clicks ()" numFmtId="0">
      <sharedItems containsSemiMixedTypes="0" containsString="0" containsNumber="1" containsInteger="1" minValue="0" maxValue="821"/>
    </cacheField>
    <cacheField name="Gestarte sollicitaties Gesponsord" numFmtId="0">
      <sharedItems containsSemiMixedTypes="0" containsString="0" containsNumber="1" containsInteger="1" minValue="0" maxValue="72"/>
    </cacheField>
    <cacheField name="% Gestarte sollicitaties" numFmtId="10">
      <sharedItems containsSemiMixedTypes="0" containsString="0" containsNumber="1" minValue="0" maxValue="1"/>
    </cacheField>
    <cacheField name="Cost-per-click" numFmtId="164">
      <sharedItems containsMixedTypes="1" containsNumber="1" minValue="0" maxValue="33.07"/>
    </cacheField>
    <cacheField name="Kosten per gestarte sollicitatie" numFmtId="164">
      <sharedItems containsMixedTypes="1" containsNumber="1" minValue="0" maxValue="173.74"/>
    </cacheField>
    <cacheField name="Kosten (Totaal )" numFmtId="164">
      <sharedItems containsSemiMixedTypes="0" containsString="0" containsNumber="1" minValue="0" maxValue="496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iso  Visser" refreshedDate="45860.420451273145" createdVersion="8" refreshedVersion="8" minRefreshableVersion="3" recordCount="971" xr:uid="{637A2268-13B7-42A2-8E14-397124945A4A}">
  <cacheSource type="worksheet">
    <worksheetSource ref="A1:A1048576" sheet="Blad2"/>
  </cacheSource>
  <cacheFields count="1">
    <cacheField name="Vacature" numFmtId="0">
      <sharedItems containsBlank="1" count="170">
        <s v="Directievoerder"/>
        <s v="Project Manager"/>
        <s v="Assetmanagement"/>
        <s v="adviseur Geo techniek"/>
        <s v="Allround Maintenance Technician"/>
        <s v="All-round Service Monteur"/>
        <s v="Assistant Site Leader"/>
        <s v="Assistent Project Manager"/>
        <s v="Automation Engineer"/>
        <s v="BIM Engineer"/>
        <s v="BIM-Coördinator"/>
        <s v="Black Belt Quality engineer NPI"/>
        <s v="Bouwkundig modelleur"/>
        <s v="Bouwkundig Projectleider Utiliteitsbouw"/>
        <s v="Brand Manager"/>
        <s v="Calculator"/>
        <s v="Civiel Engineer"/>
        <s v="Clinical Development Scientist"/>
        <s v="Clinical Research Officer (CRO)"/>
        <s v="Commissioning Engineer"/>
        <s v="Constructeur"/>
        <s v="Consultant Industriële Automatisering"/>
        <s v="Content Manager"/>
        <s v="Contractbeheer"/>
        <s v="Control Engineer"/>
        <s v="Coördinator"/>
        <s v="Customer Service"/>
        <s v="Data Engineer"/>
        <s v="Data Scientist"/>
        <s v="Demand Planner"/>
        <s v="Design Engineer"/>
        <s v="Development Specialist"/>
        <s v="DevOps Engineer"/>
        <s v="Document controller"/>
        <s v="Document Controller Chemie"/>
        <s v="E&amp;I Technician"/>
        <s v="EL Specialist"/>
        <s v="Electrical Designer"/>
        <s v="Electrical Engineer"/>
        <s v="Electrical Mechanical Engineer"/>
        <s v="Elektrotechnisch Monteur"/>
        <s v="Embedded Software Engineer"/>
        <s v="Embedded Software Test Engineer"/>
        <s v="EMVI schrijver"/>
        <s v="Engine Development Engineer"/>
        <s v="Engineer Bouwkunde"/>
        <s v="Engineer W"/>
        <s v="Engineering Manager"/>
        <s v="Equipment Engineer"/>
        <s v="Erfgoedspecialist monumenten"/>
        <s v="ERP Planner"/>
        <s v="Factory Project Leader"/>
        <s v="Field Service Technician"/>
        <s v="Firmware Engineer"/>
        <s v="FPGA Design Engineer"/>
        <s v="FPGA Engineer"/>
        <s v="Hardware designer"/>
        <s v="Hardware Engineer"/>
        <s v="HiL Engineer"/>
        <s v="HSE Manager"/>
        <s v="Industrial Engineer NPI"/>
        <s v="Inkoper"/>
        <s v="Inspecteur NEN2767 BOK III"/>
        <s v="Inspectie Traineeship"/>
        <s v="Installation Engineer"/>
        <s v="Integrale supply chain planner"/>
        <s v="Java Developer (Spring Boot)"/>
        <s v="Lead Design Engineer"/>
        <s v="Lead Hardware Engineer (Automotive)"/>
        <s v="Lead Software Engineer"/>
        <s v="Lean Manufacturing Engineer"/>
        <s v="Locatieleider Gebouwservice"/>
        <s v="Logistics Engineer NPI"/>
        <s v="Logistiek Medewerker"/>
        <s v="Machine Learning Engineer"/>
        <s v="Maintenance Engineer"/>
        <s v="Maintenance Manager"/>
        <s v="Maintenance Planner"/>
        <s v="Manager Mechanical Engineering"/>
        <s v="Manager Projectbeheersing"/>
        <s v="Manager Realisatie Techniek"/>
        <s v="Manager Technical Site Services"/>
        <s v="Manufacturing engineer NPI (mechanical assy)"/>
        <s v="Mechanical Design Engineer"/>
        <s v="Mechanical Engineer"/>
        <s v="Mechatronic System Designer"/>
        <s v="Modelleur Constructie"/>
        <s v="Monteur Schadeherstel"/>
        <s v="Netspecialist Elektra"/>
        <s v="Omgevingsmanager"/>
        <s v="Ontwerpleider Infra"/>
        <s v="Operator Energiecentrale"/>
        <s v="Order Fulfilment Officer"/>
        <s v="Ordercoördinator"/>
        <s v="OT Engineer"/>
        <s v="Packaging Specification Specialist"/>
        <s v="PCB Designer"/>
        <s v="Physical Design Engineer"/>
        <s v="Pipeline Engineer"/>
        <s v="Planner"/>
        <s v="PLC Engineer"/>
        <s v="Ploegleider Installatietechniek"/>
        <s v="Principal Software Architect"/>
        <s v="Proces Engineer"/>
        <s v="Procesmanager"/>
        <s v="Process Safety Engineer"/>
        <s v="Procurement Manager"/>
        <s v="Productieplanner"/>
        <s v="Project Control Assistant"/>
        <s v="Project Coördinator"/>
        <s v="Project Engineer"/>
        <s v="Project Lead Engineer"/>
        <s v="Projectleider"/>
        <s v="Project Support Medewerker (site engineering)"/>
        <s v="Projectondersteuner"/>
        <s v="Projectorganisator"/>
        <s v="QA Specialist"/>
        <s v="Quality Process Engineer Manufacturing"/>
        <s v="Quantity Surveyor"/>
        <s v="Recruitment Consultant - Energy, Maritime &amp; Offshore"/>
        <s v="Recruitment Consultant Bouw-Infra"/>
        <s v="Regional Media &amp; PR Strategy Lead"/>
        <s v="Reliability Engineer"/>
        <s v="REVIT Modelleur"/>
        <s v="Service Engineer Procesindustrie"/>
        <s v="Service Engineer Software"/>
        <s v="Site Manager"/>
        <s v="Software Architect"/>
        <s v="Software Engineer"/>
        <s v="Soldeer Operator"/>
        <s v="Werktuigbouwkunde"/>
        <s v="Strategisch inkoper"/>
        <s v="Structural Engineer"/>
        <s v="Supervisor Maintenance"/>
        <s v="Supply Chain Engineer"/>
        <s v="Supply Chain Manager"/>
        <s v="Supply Chain Planner"/>
        <s v="Supply Chain Project Coordinator"/>
        <s v="Supply Network Planner"/>
        <s v="Supply Planner"/>
        <s v="System Engineer"/>
        <s v="Team Manager"/>
        <s v="Teamlead logistics"/>
        <s v="Teamleader Logistics"/>
        <s v="Teamleider Werkplaats"/>
        <s v="Teammanager Engineering"/>
        <s v="Technical Author"/>
        <s v="Technical Publication Engineer"/>
        <s v="Technical Recruiter"/>
        <s v="Technicus E&amp;I"/>
        <s v="Technisch Ontwikkelaar Bouw"/>
        <s v="Technisch projectontwikkelaar"/>
        <s v="Technisch specialist E"/>
        <s v="Technisch Specialist Windmolens"/>
        <s v="Tender Manager"/>
        <s v="Test Engineer"/>
        <s v="Test Technician"/>
        <s v="Toezichthouder Elektrotechniek"/>
        <s v="Traineeship Maintenance en Assetmanagement"/>
        <s v="Traineeship Maintenance Engineer"/>
        <s v="Traineeship Reliability Engineering"/>
        <s v="Traineeship Technische Bedrijfskunde"/>
        <s v="Traineeship Werktuigkundige Energiecentrale"/>
        <s v="Uitvoerder"/>
        <s v="Waterbouwkundig Constructeur"/>
        <s v="Well Engineer"/>
        <s v="Werktuigkundige"/>
        <s v="Werkvergunning Coördinator"/>
        <s v="Werkvoorbereid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0">
  <r>
    <x v="0"/>
    <s v="Rotterdam, ZH, NL"/>
    <n v="188"/>
    <n v="7.4499999999999997E-2"/>
    <n v="14"/>
    <n v="0"/>
    <n v="0"/>
    <n v="0"/>
    <s v="-"/>
    <n v="0"/>
  </r>
  <r>
    <x v="1"/>
    <s v="Amsterdam, NH, NL"/>
    <n v="362"/>
    <n v="0.16300000000000001"/>
    <n v="59"/>
    <n v="7"/>
    <n v="0.1186"/>
    <n v="0.2"/>
    <n v="1.7"/>
    <n v="11.9"/>
  </r>
  <r>
    <x v="2"/>
    <s v="Gouda, ZH, NL"/>
    <n v="122"/>
    <n v="6.5599999999999992E-2"/>
    <n v="8"/>
    <n v="1"/>
    <n v="0.125"/>
    <n v="0.35"/>
    <n v="2.81"/>
    <n v="2.81"/>
  </r>
  <r>
    <x v="3"/>
    <s v="Gouda, ZH, NL"/>
    <n v="19"/>
    <n v="0.15789999999999998"/>
    <n v="3"/>
    <n v="0"/>
    <n v="0"/>
    <n v="0"/>
    <s v="-"/>
    <n v="0"/>
  </r>
  <r>
    <x v="4"/>
    <s v="Leiden, ZH, NL"/>
    <n v="112"/>
    <n v="0.1429"/>
    <n v="16"/>
    <n v="1"/>
    <n v="6.25E-2"/>
    <n v="0"/>
    <n v="0"/>
    <n v="0"/>
  </r>
  <r>
    <x v="5"/>
    <s v="Oldenzaal, OV, NL"/>
    <n v="79"/>
    <n v="0.1013"/>
    <n v="8"/>
    <n v="0"/>
    <n v="0"/>
    <n v="0"/>
    <s v="-"/>
    <n v="0"/>
  </r>
  <r>
    <x v="2"/>
    <s v="Delft, ZH, NL"/>
    <n v="160"/>
    <n v="8.1300000000000011E-2"/>
    <n v="13"/>
    <n v="2"/>
    <n v="0.15380000000000002"/>
    <n v="0.2"/>
    <n v="1.27"/>
    <n v="2.54"/>
  </r>
  <r>
    <x v="2"/>
    <s v="Amsterdam, NH, NL"/>
    <n v="436"/>
    <n v="7.3399999999999993E-2"/>
    <n v="32"/>
    <n v="2"/>
    <n v="6.25E-2"/>
    <n v="0.7"/>
    <n v="11.2"/>
    <n v="22.39"/>
  </r>
  <r>
    <x v="2"/>
    <s v="Utrecht, UT, NL"/>
    <n v="415"/>
    <n v="6.2699999999999992E-2"/>
    <n v="26"/>
    <n v="2"/>
    <n v="7.690000000000001E-2"/>
    <n v="0.13"/>
    <n v="1.7"/>
    <n v="3.4"/>
  </r>
  <r>
    <x v="2"/>
    <s v="Delft, ZH, NL"/>
    <n v="455"/>
    <n v="8.7899999999999992E-2"/>
    <n v="40"/>
    <n v="1"/>
    <n v="2.5000000000000001E-2"/>
    <n v="0.13"/>
    <n v="5.03"/>
    <n v="5.03"/>
  </r>
  <r>
    <x v="6"/>
    <s v="Rotterdam, ZH, NL"/>
    <n v="184"/>
    <n v="5.9800000000000006E-2"/>
    <n v="11"/>
    <n v="0"/>
    <n v="0"/>
    <n v="0"/>
    <s v="-"/>
    <n v="0"/>
  </r>
  <r>
    <x v="7"/>
    <s v="Heerlen, LI, NL"/>
    <n v="211"/>
    <n v="0.14219999999999999"/>
    <n v="30"/>
    <n v="3"/>
    <n v="0.1"/>
    <n v="0.82"/>
    <n v="8.18"/>
    <n v="24.55"/>
  </r>
  <r>
    <x v="8"/>
    <s v="Balkbrug, OV, NL"/>
    <n v="196"/>
    <n v="0.15820000000000001"/>
    <n v="31"/>
    <n v="2"/>
    <n v="6.4500000000000002E-2"/>
    <n v="0.17"/>
    <n v="2.69"/>
    <n v="5.37"/>
  </r>
  <r>
    <x v="8"/>
    <s v="Borculo, GE, NL"/>
    <n v="283"/>
    <n v="9.5399999999999985E-2"/>
    <n v="27"/>
    <n v="2"/>
    <n v="7.4099999999999999E-2"/>
    <n v="0.63"/>
    <n v="8.49"/>
    <n v="16.989999999999998"/>
  </r>
  <r>
    <x v="8"/>
    <s v="Balkbrug, OV, NL"/>
    <n v="415"/>
    <n v="0.1157"/>
    <n v="48"/>
    <n v="1"/>
    <n v="2.0799999999999999E-2"/>
    <n v="0.21"/>
    <n v="10.31"/>
    <n v="10.31"/>
  </r>
  <r>
    <x v="8"/>
    <s v="Wijster, DR, NL"/>
    <n v="45"/>
    <n v="8.8900000000000007E-2"/>
    <n v="4"/>
    <n v="1"/>
    <n v="0.25"/>
    <n v="1.3"/>
    <n v="5.18"/>
    <n v="5.18"/>
  </r>
  <r>
    <x v="8"/>
    <s v="Lochem, GE, NL"/>
    <n v="265"/>
    <n v="0.1245"/>
    <n v="33"/>
    <n v="0"/>
    <n v="0"/>
    <n v="0"/>
    <s v="-"/>
    <n v="0"/>
  </r>
  <r>
    <x v="8"/>
    <s v="Meppel, DR, NL"/>
    <n v="139"/>
    <n v="0.13669999999999999"/>
    <n v="19"/>
    <n v="0"/>
    <n v="0"/>
    <n v="0"/>
    <s v="-"/>
    <n v="0"/>
  </r>
  <r>
    <x v="8"/>
    <s v="Gerkesklooster, FR, NL"/>
    <n v="206"/>
    <n v="8.2500000000000004E-2"/>
    <n v="17"/>
    <n v="0"/>
    <n v="0"/>
    <n v="0"/>
    <s v="-"/>
    <n v="0"/>
  </r>
  <r>
    <x v="8"/>
    <s v="Wijster, DR, NL"/>
    <n v="76"/>
    <n v="0.11840000000000001"/>
    <n v="9"/>
    <n v="0"/>
    <n v="0"/>
    <n v="0"/>
    <s v="-"/>
    <n v="0"/>
  </r>
  <r>
    <x v="8"/>
    <s v="Wijster, DR, NL"/>
    <n v="22"/>
    <n v="0.2273"/>
    <n v="5"/>
    <n v="0"/>
    <n v="0"/>
    <n v="0"/>
    <s v="-"/>
    <n v="0"/>
  </r>
  <r>
    <x v="8"/>
    <s v="Wijster, DR, NL"/>
    <n v="16"/>
    <n v="0.25"/>
    <n v="4"/>
    <n v="0"/>
    <n v="0"/>
    <n v="0"/>
    <s v="-"/>
    <n v="0"/>
  </r>
  <r>
    <x v="8"/>
    <s v="Lutjewinkel, NH, NL"/>
    <n v="21"/>
    <n v="9.5199999999999993E-2"/>
    <n v="2"/>
    <n v="0"/>
    <n v="0"/>
    <n v="0"/>
    <s v="-"/>
    <n v="0"/>
  </r>
  <r>
    <x v="8"/>
    <s v="Wijster, DR, NL"/>
    <n v="0"/>
    <n v="0"/>
    <n v="0"/>
    <n v="0"/>
    <n v="0"/>
    <s v="-"/>
    <s v="-"/>
    <n v="0"/>
  </r>
  <r>
    <x v="8"/>
    <s v="Leiden, ZH, NL"/>
    <n v="9"/>
    <n v="0"/>
    <n v="0"/>
    <n v="0"/>
    <n v="0"/>
    <s v="-"/>
    <s v="-"/>
    <n v="0"/>
  </r>
  <r>
    <x v="8"/>
    <s v="Balkbrug, OV, NL"/>
    <n v="20"/>
    <n v="0.2"/>
    <n v="4"/>
    <n v="1"/>
    <n v="0.25"/>
    <n v="1.01"/>
    <n v="4.0599999999999996"/>
    <n v="4.0599999999999996"/>
  </r>
  <r>
    <x v="8"/>
    <s v="Lutjewinkel, NH, NL"/>
    <n v="21"/>
    <n v="0.1905"/>
    <n v="4"/>
    <n v="0"/>
    <n v="0"/>
    <n v="0"/>
    <s v="-"/>
    <n v="0"/>
  </r>
  <r>
    <x v="8"/>
    <s v="Workum, FR, NL"/>
    <n v="19"/>
    <n v="5.2600000000000001E-2"/>
    <n v="1"/>
    <n v="0"/>
    <n v="0"/>
    <n v="0"/>
    <s v="-"/>
    <n v="0"/>
  </r>
  <r>
    <x v="8"/>
    <s v="Lochem, GE, NL"/>
    <n v="10"/>
    <n v="0"/>
    <n v="0"/>
    <n v="0"/>
    <n v="0"/>
    <s v="-"/>
    <s v="-"/>
    <n v="0"/>
  </r>
  <r>
    <x v="8"/>
    <s v="Borculo, GE, NL"/>
    <n v="10"/>
    <n v="0"/>
    <n v="0"/>
    <n v="0"/>
    <n v="0"/>
    <s v="-"/>
    <s v="-"/>
    <n v="0"/>
  </r>
  <r>
    <x v="8"/>
    <s v="Meppel, DR, NL"/>
    <n v="8"/>
    <n v="0"/>
    <n v="0"/>
    <n v="0"/>
    <n v="0"/>
    <s v="-"/>
    <s v="-"/>
    <n v="0"/>
  </r>
  <r>
    <x v="8"/>
    <s v="Gerkesklooster, FR, NL"/>
    <n v="7"/>
    <n v="0"/>
    <n v="0"/>
    <n v="0"/>
    <n v="0"/>
    <s v="-"/>
    <s v="-"/>
    <n v="0"/>
  </r>
  <r>
    <x v="9"/>
    <s v="Den Haag, ZH, NL"/>
    <n v="137"/>
    <n v="0.17519999999999999"/>
    <n v="24"/>
    <n v="5"/>
    <n v="0.20829999999999999"/>
    <n v="1.21"/>
    <n v="5.82"/>
    <n v="29.11"/>
  </r>
  <r>
    <x v="10"/>
    <s v="Enschede, OV, NL"/>
    <n v="208"/>
    <n v="3.3700000000000001E-2"/>
    <n v="7"/>
    <n v="0"/>
    <n v="0"/>
    <n v="0"/>
    <s v="-"/>
    <n v="0"/>
  </r>
  <r>
    <x v="11"/>
    <s v="Eindhoven, NB, NL"/>
    <n v="11"/>
    <n v="0"/>
    <n v="0"/>
    <n v="0"/>
    <n v="0"/>
    <s v="-"/>
    <s v="-"/>
    <n v="0"/>
  </r>
  <r>
    <x v="11"/>
    <s v="Eindhoven, NB, NL"/>
    <n v="5"/>
    <n v="0"/>
    <n v="0"/>
    <n v="0"/>
    <n v="0"/>
    <s v="-"/>
    <s v="-"/>
    <n v="0"/>
  </r>
  <r>
    <x v="12"/>
    <s v="Rotterdam, ZH, NL"/>
    <n v="148"/>
    <n v="8.7799999999999989E-2"/>
    <n v="13"/>
    <n v="5"/>
    <n v="0.3846"/>
    <n v="2.6"/>
    <n v="6.75"/>
    <n v="33.76"/>
  </r>
  <r>
    <x v="12"/>
    <s v="Amsterdam, NH, NL"/>
    <n v="86"/>
    <n v="0.13949999999999999"/>
    <n v="12"/>
    <n v="4"/>
    <n v="0.33329999999999999"/>
    <n v="1.27"/>
    <n v="3.8"/>
    <n v="15.18"/>
  </r>
  <r>
    <x v="12"/>
    <s v="Utrecht, UT, NL"/>
    <n v="72"/>
    <n v="0.18059999999999998"/>
    <n v="13"/>
    <n v="1"/>
    <n v="7.690000000000001E-2"/>
    <n v="0.88"/>
    <n v="11.42"/>
    <n v="11.42"/>
  </r>
  <r>
    <x v="12"/>
    <s v="Delft, ZH, NL"/>
    <n v="102"/>
    <n v="0.1176"/>
    <n v="12"/>
    <n v="3"/>
    <n v="0.25"/>
    <n v="3.87"/>
    <n v="15.48"/>
    <n v="46.44"/>
  </r>
  <r>
    <x v="12"/>
    <s v="Delft, ZH, NL"/>
    <n v="110"/>
    <n v="9.0899999999999995E-2"/>
    <n v="10"/>
    <n v="3"/>
    <n v="0.3"/>
    <n v="3.62"/>
    <n v="12.07"/>
    <n v="36.22"/>
  </r>
  <r>
    <x v="13"/>
    <s v="Zwolle, OV, NL"/>
    <n v="50"/>
    <n v="0"/>
    <n v="0"/>
    <n v="0"/>
    <n v="0"/>
    <s v="-"/>
    <s v="-"/>
    <n v="0"/>
  </r>
  <r>
    <x v="14"/>
    <s v="Amersfoort, UT, NL"/>
    <n v="617"/>
    <n v="7.7800000000000008E-2"/>
    <n v="48"/>
    <n v="2"/>
    <n v="4.1700000000000001E-2"/>
    <n v="7.0000000000000007E-2"/>
    <n v="1.7"/>
    <n v="3.4"/>
  </r>
  <r>
    <x v="15"/>
    <s v="Steenwijk, OV, NL"/>
    <n v="209"/>
    <n v="9.5700000000000007E-2"/>
    <n v="20"/>
    <n v="0"/>
    <n v="0"/>
    <n v="0"/>
    <s v="-"/>
    <n v="0"/>
  </r>
  <r>
    <x v="15"/>
    <s v="Groningen, GR, NL"/>
    <n v="174"/>
    <n v="4.0199999999999993E-2"/>
    <n v="7"/>
    <n v="0"/>
    <n v="0"/>
    <n v="0"/>
    <s v="-"/>
    <n v="0"/>
  </r>
  <r>
    <x v="15"/>
    <s v="Utrecht, UT, NL"/>
    <n v="56"/>
    <n v="3.5699999999999996E-2"/>
    <n v="2"/>
    <n v="0"/>
    <n v="0"/>
    <n v="0"/>
    <s v="-"/>
    <n v="0"/>
  </r>
  <r>
    <x v="16"/>
    <s v="Arnhem, GE, NL"/>
    <n v="144"/>
    <n v="4.1700000000000001E-2"/>
    <n v="6"/>
    <n v="1"/>
    <n v="0.16670000000000001"/>
    <n v="1.29"/>
    <n v="7.72"/>
    <n v="7.72"/>
  </r>
  <r>
    <x v="16"/>
    <s v="Arnhem, GE, NL"/>
    <n v="135"/>
    <n v="4.4400000000000002E-2"/>
    <n v="6"/>
    <n v="0"/>
    <n v="0"/>
    <n v="0"/>
    <s v="-"/>
    <n v="0"/>
  </r>
  <r>
    <x v="16"/>
    <s v="Amsterdam, NH, NL"/>
    <n v="0"/>
    <n v="0"/>
    <n v="0"/>
    <n v="0"/>
    <n v="0"/>
    <s v="-"/>
    <s v="-"/>
    <n v="0"/>
  </r>
  <r>
    <x v="17"/>
    <s v="Eindhoven, NB, NL"/>
    <n v="595"/>
    <n v="0.15629999999999999"/>
    <n v="93"/>
    <n v="11"/>
    <n v="0.1183"/>
    <n v="0.25"/>
    <n v="2.0699999999999998"/>
    <n v="22.8"/>
  </r>
  <r>
    <x v="18"/>
    <s v="Haarlem, NH, NL"/>
    <n v="611"/>
    <n v="0.10800000000000001"/>
    <n v="66"/>
    <n v="9"/>
    <n v="0.13639999999999999"/>
    <n v="0.28000000000000003"/>
    <n v="2.09"/>
    <n v="18.78"/>
  </r>
  <r>
    <x v="19"/>
    <s v="Den Haag, ZH, NL"/>
    <n v="123"/>
    <n v="0.13819999999999999"/>
    <n v="17"/>
    <n v="2"/>
    <n v="0.1176"/>
    <n v="0.28000000000000003"/>
    <n v="2.34"/>
    <n v="4.68"/>
  </r>
  <r>
    <x v="19"/>
    <s v="Den Haag, ZH, NL"/>
    <n v="148"/>
    <n v="0.1081"/>
    <n v="16"/>
    <n v="1"/>
    <n v="6.25E-2"/>
    <n v="0.15"/>
    <n v="2.39"/>
    <n v="2.39"/>
  </r>
  <r>
    <x v="19"/>
    <s v="Den Haag, ZH, NL"/>
    <n v="220"/>
    <n v="0.15"/>
    <n v="33"/>
    <n v="2"/>
    <n v="6.0599999999999994E-2"/>
    <n v="0.28000000000000003"/>
    <n v="4.54"/>
    <n v="9.08"/>
  </r>
  <r>
    <x v="19"/>
    <s v="Den Haag, ZH, NL"/>
    <n v="431"/>
    <n v="6.7299999999999999E-2"/>
    <n v="29"/>
    <n v="2"/>
    <n v="6.9000000000000006E-2"/>
    <n v="0.16"/>
    <n v="2.2799999999999998"/>
    <n v="4.55"/>
  </r>
  <r>
    <x v="19"/>
    <s v="Schiedam, ZH, NL"/>
    <n v="58"/>
    <n v="5.1699999999999996E-2"/>
    <n v="3"/>
    <n v="0"/>
    <n v="0"/>
    <n v="0"/>
    <s v="-"/>
    <n v="0"/>
  </r>
  <r>
    <x v="20"/>
    <s v="Dordrecht, ZH, NL"/>
    <n v="88"/>
    <n v="7.9500000000000001E-2"/>
    <n v="7"/>
    <n v="0"/>
    <n v="0"/>
    <n v="0"/>
    <s v="-"/>
    <n v="0"/>
  </r>
  <r>
    <x v="20"/>
    <s v="Budel, NB, NL"/>
    <n v="84"/>
    <n v="5.9500000000000004E-2"/>
    <n v="5"/>
    <n v="0"/>
    <n v="0"/>
    <n v="0"/>
    <s v="-"/>
    <n v="0"/>
  </r>
  <r>
    <x v="21"/>
    <s v="Best, NB, NL"/>
    <n v="738"/>
    <n v="9.7599999999999992E-2"/>
    <n v="72"/>
    <n v="3"/>
    <n v="4.1700000000000001E-2"/>
    <n v="0.23"/>
    <n v="5.63"/>
    <n v="16.89"/>
  </r>
  <r>
    <x v="21"/>
    <s v="Best, NB, NL"/>
    <n v="295"/>
    <n v="5.0799999999999998E-2"/>
    <n v="15"/>
    <n v="0"/>
    <n v="0"/>
    <n v="0"/>
    <s v="-"/>
    <n v="0"/>
  </r>
  <r>
    <x v="22"/>
    <s v="Best, NB, NL"/>
    <n v="323"/>
    <n v="0.10220000000000001"/>
    <n v="33"/>
    <n v="6"/>
    <n v="0.18179999999999999"/>
    <n v="0.32"/>
    <n v="1.74"/>
    <n v="10.41"/>
  </r>
  <r>
    <x v="23"/>
    <s v="Bunnik, UT, NL"/>
    <n v="379"/>
    <n v="6.8600000000000008E-2"/>
    <n v="26"/>
    <n v="1"/>
    <n v="3.85E-2"/>
    <n v="0.08"/>
    <n v="2"/>
    <n v="2"/>
  </r>
  <r>
    <x v="24"/>
    <s v="Best, NB, NL"/>
    <n v="239"/>
    <n v="5.0199999999999995E-2"/>
    <n v="12"/>
    <n v="0"/>
    <n v="0"/>
    <n v="0"/>
    <s v="-"/>
    <n v="0"/>
  </r>
  <r>
    <x v="24"/>
    <s v="Best, NB, NL"/>
    <n v="398"/>
    <n v="5.0300000000000004E-2"/>
    <n v="20"/>
    <n v="2"/>
    <n v="0.1"/>
    <n v="0.61"/>
    <n v="6.08"/>
    <n v="12.15"/>
  </r>
  <r>
    <x v="24"/>
    <s v="Best, NB, NL"/>
    <n v="214"/>
    <n v="4.2099999999999999E-2"/>
    <n v="9"/>
    <n v="1"/>
    <n v="0.11109999999999999"/>
    <n v="0.67"/>
    <n v="6.05"/>
    <n v="6.05"/>
  </r>
  <r>
    <x v="25"/>
    <s v="Eindhoven, NB, NL"/>
    <n v="1063"/>
    <n v="4.8899999999999999E-2"/>
    <n v="52"/>
    <n v="2"/>
    <n v="3.85E-2"/>
    <n v="0.18"/>
    <n v="4.55"/>
    <n v="9.1"/>
  </r>
  <r>
    <x v="26"/>
    <s v="Waalwijk, NB, NL"/>
    <n v="234"/>
    <n v="0.1026"/>
    <n v="24"/>
    <n v="5"/>
    <n v="0.20829999999999999"/>
    <n v="0.67"/>
    <n v="3.21"/>
    <n v="16.07"/>
  </r>
  <r>
    <x v="27"/>
    <s v="Den Haag, ZH, NL"/>
    <n v="2264"/>
    <n v="0.106"/>
    <n v="240"/>
    <n v="19"/>
    <n v="7.9199999999999993E-2"/>
    <n v="0.18"/>
    <n v="2.31"/>
    <n v="43.94"/>
  </r>
  <r>
    <x v="28"/>
    <s v="Amsterdam, NH, NL"/>
    <n v="5025"/>
    <n v="0.10349999999999999"/>
    <n v="520"/>
    <n v="71"/>
    <n v="0.13650000000000001"/>
    <n v="0.33"/>
    <n v="2.42"/>
    <n v="172.02"/>
  </r>
  <r>
    <x v="29"/>
    <s v="Eindhoven, NB, NL"/>
    <n v="387"/>
    <n v="0.1318"/>
    <n v="51"/>
    <n v="15"/>
    <n v="0.29410000000000003"/>
    <n v="0.92"/>
    <n v="3.12"/>
    <n v="46.75"/>
  </r>
  <r>
    <x v="29"/>
    <s v="Amersfoort, UT, NL"/>
    <n v="349"/>
    <n v="0.12890000000000001"/>
    <n v="45"/>
    <n v="7"/>
    <n v="0.15560000000000002"/>
    <n v="1"/>
    <n v="6.4"/>
    <n v="44.78"/>
  </r>
  <r>
    <x v="29"/>
    <s v="Lochem, GE, NL"/>
    <n v="839"/>
    <n v="8.3400000000000002E-2"/>
    <n v="70"/>
    <n v="5"/>
    <n v="7.1399999999999991E-2"/>
    <n v="0.12"/>
    <n v="1.7"/>
    <n v="8.5"/>
  </r>
  <r>
    <x v="29"/>
    <s v="Amersfoort, UT, NL"/>
    <n v="450"/>
    <n v="0.10439999999999999"/>
    <n v="47"/>
    <n v="3"/>
    <n v="6.3799999999999996E-2"/>
    <n v="0.49"/>
    <n v="7.71"/>
    <n v="23.13"/>
  </r>
  <r>
    <x v="30"/>
    <s v="Den Bosch, NB, NL"/>
    <n v="134"/>
    <n v="0.31340000000000001"/>
    <n v="42"/>
    <n v="2"/>
    <n v="4.7599999999999996E-2"/>
    <n v="0.39"/>
    <n v="8.1"/>
    <n v="16.190000000000001"/>
  </r>
  <r>
    <x v="30"/>
    <s v="Utrecht, UT, NL"/>
    <n v="158"/>
    <n v="0.24679999999999999"/>
    <n v="39"/>
    <n v="1"/>
    <n v="2.5600000000000001E-2"/>
    <n v="0.33"/>
    <n v="12.91"/>
    <n v="12.91"/>
  </r>
  <r>
    <x v="30"/>
    <s v="Utrecht, UT, NL"/>
    <n v="0"/>
    <n v="0"/>
    <n v="0"/>
    <n v="0"/>
    <n v="0"/>
    <s v="-"/>
    <s v="-"/>
    <n v="0"/>
  </r>
  <r>
    <x v="30"/>
    <s v="Den Bosch, NB, NL"/>
    <n v="0"/>
    <n v="0"/>
    <n v="0"/>
    <n v="0"/>
    <n v="0"/>
    <s v="-"/>
    <s v="-"/>
    <n v="0"/>
  </r>
  <r>
    <x v="31"/>
    <s v="Amersfoort, UT, NL"/>
    <n v="386"/>
    <n v="0.10880000000000001"/>
    <n v="42"/>
    <n v="3"/>
    <n v="7.1399999999999991E-2"/>
    <n v="0.46"/>
    <n v="6.49"/>
    <n v="19.46"/>
  </r>
  <r>
    <x v="32"/>
    <s v="Amstelveen, NH, NL"/>
    <n v="1893"/>
    <n v="9.5600000000000004E-2"/>
    <n v="181"/>
    <n v="18"/>
    <n v="9.9399999999999988E-2"/>
    <n v="0.79"/>
    <n v="7.94"/>
    <n v="142.99"/>
  </r>
  <r>
    <x v="32"/>
    <s v="Delft, ZH, NL"/>
    <n v="1107"/>
    <n v="0.1066"/>
    <n v="118"/>
    <n v="10"/>
    <n v="8.4700000000000011E-2"/>
    <n v="0.62"/>
    <n v="7.27"/>
    <n v="72.650000000000006"/>
  </r>
  <r>
    <x v="32"/>
    <s v="Amstelveen, NH, NL"/>
    <n v="583"/>
    <n v="0.10289999999999999"/>
    <n v="60"/>
    <n v="2"/>
    <n v="3.3300000000000003E-2"/>
    <n v="0.09"/>
    <n v="2.56"/>
    <n v="5.1100000000000003"/>
  </r>
  <r>
    <x v="33"/>
    <s v="Enschede, OV, NL"/>
    <n v="1287"/>
    <n v="8.3100000000000007E-2"/>
    <n v="107"/>
    <n v="4"/>
    <n v="3.7400000000000003E-2"/>
    <n v="0.1"/>
    <n v="2.59"/>
    <n v="10.37"/>
  </r>
  <r>
    <x v="33"/>
    <s v="Zwolle, OV, NL"/>
    <n v="259"/>
    <n v="6.5599999999999992E-2"/>
    <n v="17"/>
    <n v="4"/>
    <n v="0.23530000000000001"/>
    <n v="0.72"/>
    <n v="3.07"/>
    <n v="12.27"/>
  </r>
  <r>
    <x v="34"/>
    <s v="Rotterdam, ZH, NL"/>
    <n v="84"/>
    <n v="7.1399999999999991E-2"/>
    <n v="6"/>
    <n v="0"/>
    <n v="0"/>
    <n v="0"/>
    <s v="-"/>
    <n v="0"/>
  </r>
  <r>
    <x v="35"/>
    <s v="Rotterdam, ZH, NL"/>
    <n v="6"/>
    <n v="0"/>
    <n v="0"/>
    <n v="0"/>
    <n v="0"/>
    <s v="-"/>
    <s v="-"/>
    <n v="0"/>
  </r>
  <r>
    <x v="36"/>
    <s v="Boxmeer, NB, NL"/>
    <n v="685"/>
    <n v="5.5500000000000001E-2"/>
    <n v="38"/>
    <n v="3"/>
    <n v="7.8899999999999998E-2"/>
    <n v="0.28999999999999998"/>
    <n v="3.61"/>
    <n v="10.84"/>
  </r>
  <r>
    <x v="37"/>
    <s v="Eindhoven, NB, NL"/>
    <n v="399"/>
    <n v="6.0199999999999997E-2"/>
    <n v="24"/>
    <n v="4"/>
    <n v="0.16670000000000001"/>
    <n v="0.8"/>
    <n v="4.78"/>
    <n v="19.13"/>
  </r>
  <r>
    <x v="37"/>
    <s v="Eindhoven, NB, NL"/>
    <n v="446"/>
    <n v="4.2599999999999999E-2"/>
    <n v="19"/>
    <n v="2"/>
    <n v="0.10529999999999999"/>
    <n v="0.51"/>
    <n v="4.84"/>
    <n v="9.68"/>
  </r>
  <r>
    <x v="38"/>
    <s v="Den Haag, ZH, NL"/>
    <n v="1463"/>
    <n v="0.1183"/>
    <n v="173"/>
    <n v="18"/>
    <n v="0.10400000000000001"/>
    <n v="0.93"/>
    <n v="8.9700000000000006"/>
    <n v="161.5"/>
  </r>
  <r>
    <x v="38"/>
    <s v="Den Haag, ZH, NL"/>
    <n v="356"/>
    <n v="8.43E-2"/>
    <n v="30"/>
    <n v="3"/>
    <n v="0.1"/>
    <n v="0.26"/>
    <n v="2.57"/>
    <n v="7.7"/>
  </r>
  <r>
    <x v="38"/>
    <s v="Eindhoven, NB, NL"/>
    <n v="118"/>
    <n v="0.17800000000000002"/>
    <n v="21"/>
    <n v="2"/>
    <n v="9.5199999999999993E-2"/>
    <n v="0.48"/>
    <n v="5.09"/>
    <n v="10.17"/>
  </r>
  <r>
    <x v="38"/>
    <s v="Eindhoven, NB, NL"/>
    <n v="241"/>
    <n v="0.13689999999999999"/>
    <n v="33"/>
    <n v="1"/>
    <n v="3.0299999999999997E-2"/>
    <n v="7.0000000000000007E-2"/>
    <n v="2.16"/>
    <n v="2.16"/>
  </r>
  <r>
    <x v="38"/>
    <s v="Enschede, OV, NL"/>
    <n v="106"/>
    <n v="0.11320000000000001"/>
    <n v="12"/>
    <n v="1"/>
    <n v="8.3299999999999999E-2"/>
    <n v="1.22"/>
    <n v="14.67"/>
    <n v="14.67"/>
  </r>
  <r>
    <x v="38"/>
    <s v="Lochem, GE, NL"/>
    <n v="161"/>
    <n v="6.83E-2"/>
    <n v="11"/>
    <n v="1"/>
    <n v="9.0899999999999995E-2"/>
    <n v="1.02"/>
    <n v="11.2"/>
    <n v="11.2"/>
  </r>
  <r>
    <x v="38"/>
    <s v="Hoogeveen, DR, NL"/>
    <n v="12"/>
    <n v="0.33329999999999999"/>
    <n v="4"/>
    <n v="1"/>
    <n v="0.25"/>
    <n v="1.18"/>
    <n v="4.7300000000000004"/>
    <n v="4.7300000000000004"/>
  </r>
  <r>
    <x v="38"/>
    <s v="Zwolle, OV, NL"/>
    <n v="10"/>
    <n v="0.2"/>
    <n v="2"/>
    <n v="1"/>
    <n v="0.5"/>
    <n v="1.98"/>
    <n v="3.96"/>
    <n v="3.96"/>
  </r>
  <r>
    <x v="38"/>
    <s v="Burgum, FR, NL"/>
    <n v="20"/>
    <n v="0.1"/>
    <n v="2"/>
    <n v="0"/>
    <n v="0"/>
    <n v="0"/>
    <s v="-"/>
    <n v="0"/>
  </r>
  <r>
    <x v="38"/>
    <s v="Eemshaven, GR, NL"/>
    <n v="21"/>
    <n v="4.7599999999999996E-2"/>
    <n v="1"/>
    <n v="0"/>
    <n v="0"/>
    <n v="0"/>
    <s v="-"/>
    <n v="0"/>
  </r>
  <r>
    <x v="38"/>
    <s v="Den Haag, ZH, NL"/>
    <n v="90"/>
    <n v="0.1"/>
    <n v="9"/>
    <n v="2"/>
    <n v="0.22219999999999998"/>
    <n v="1.01"/>
    <n v="4.55"/>
    <n v="9.09"/>
  </r>
  <r>
    <x v="38"/>
    <s v="Den Haag, ZH, NL"/>
    <n v="83"/>
    <n v="0.1084"/>
    <n v="9"/>
    <n v="1"/>
    <n v="0.11109999999999999"/>
    <n v="0.38"/>
    <n v="3.38"/>
    <n v="3.38"/>
  </r>
  <r>
    <x v="38"/>
    <s v="Groningen, GR, NL"/>
    <n v="168"/>
    <n v="8.3299999999999999E-2"/>
    <n v="14"/>
    <n v="0"/>
    <n v="0"/>
    <n v="0"/>
    <s v="-"/>
    <n v="0"/>
  </r>
  <r>
    <x v="38"/>
    <s v="Emmen, DR, NL"/>
    <n v="10"/>
    <n v="0.1"/>
    <n v="1"/>
    <n v="1"/>
    <n v="1"/>
    <n v="4.7300000000000004"/>
    <n v="4.7300000000000004"/>
    <n v="4.7300000000000004"/>
  </r>
  <r>
    <x v="38"/>
    <s v="Zwolle, OV, NL"/>
    <n v="8"/>
    <n v="0.125"/>
    <n v="1"/>
    <n v="1"/>
    <n v="1"/>
    <n v="3.96"/>
    <n v="3.96"/>
    <n v="3.96"/>
  </r>
  <r>
    <x v="38"/>
    <s v="Eemshaven, GR, NL"/>
    <n v="27"/>
    <n v="0.11109999999999999"/>
    <n v="3"/>
    <n v="0"/>
    <n v="0"/>
    <n v="0"/>
    <s v="-"/>
    <n v="0"/>
  </r>
  <r>
    <x v="38"/>
    <s v="Burgum, FR, NL"/>
    <n v="16"/>
    <n v="6.25E-2"/>
    <n v="1"/>
    <n v="0"/>
    <n v="0"/>
    <n v="0"/>
    <s v="-"/>
    <n v="0"/>
  </r>
  <r>
    <x v="38"/>
    <s v="Hoogeveen, DR, NL"/>
    <n v="10"/>
    <n v="0"/>
    <n v="0"/>
    <n v="0"/>
    <n v="0"/>
    <s v="-"/>
    <s v="-"/>
    <n v="0"/>
  </r>
  <r>
    <x v="39"/>
    <s v="Eindhoven, NB, NL"/>
    <n v="1130"/>
    <n v="6.6400000000000001E-2"/>
    <n v="75"/>
    <n v="6"/>
    <n v="0.08"/>
    <n v="0.55000000000000004"/>
    <n v="6.88"/>
    <n v="41.29"/>
  </r>
  <r>
    <x v="40"/>
    <s v="Hengelo OV, OV, NL"/>
    <n v="30"/>
    <n v="0.16670000000000001"/>
    <n v="5"/>
    <n v="0"/>
    <n v="0"/>
    <n v="0"/>
    <s v="-"/>
    <n v="0"/>
  </r>
  <r>
    <x v="41"/>
    <s v="Eindhoven, NB, NL"/>
    <n v="1289"/>
    <n v="0.1202"/>
    <n v="155"/>
    <n v="19"/>
    <n v="0.1226"/>
    <n v="0.41"/>
    <n v="3.31"/>
    <n v="62.95"/>
  </r>
  <r>
    <x v="41"/>
    <s v="Eindhoven, NB, NL"/>
    <n v="1038"/>
    <n v="9.4399999999999998E-2"/>
    <n v="98"/>
    <n v="19"/>
    <n v="0.19390000000000002"/>
    <n v="0.44"/>
    <n v="2.2799999999999998"/>
    <n v="43.35"/>
  </r>
  <r>
    <x v="41"/>
    <s v="Venlo, LI, NL"/>
    <n v="593"/>
    <n v="0.1079"/>
    <n v="64"/>
    <n v="13"/>
    <n v="0.20309999999999997"/>
    <n v="1.48"/>
    <n v="7.31"/>
    <n v="95"/>
  </r>
  <r>
    <x v="41"/>
    <s v="Eindhoven, NB, NL"/>
    <n v="1059"/>
    <n v="7.9299999999999995E-2"/>
    <n v="84"/>
    <n v="9"/>
    <n v="0.10710000000000001"/>
    <n v="0.49"/>
    <n v="4.62"/>
    <n v="41.54"/>
  </r>
  <r>
    <x v="41"/>
    <s v="Eindhoven, NB, NL"/>
    <n v="554"/>
    <n v="0.1137"/>
    <n v="63"/>
    <n v="6"/>
    <n v="9.5199999999999993E-2"/>
    <n v="0.21"/>
    <n v="2.2000000000000002"/>
    <n v="13.17"/>
  </r>
  <r>
    <x v="41"/>
    <s v="Eindhoven, NB, NL"/>
    <n v="359"/>
    <n v="0.12529999999999999"/>
    <n v="45"/>
    <n v="5"/>
    <n v="0.11109999999999999"/>
    <n v="0.19"/>
    <n v="1.7"/>
    <n v="8.52"/>
  </r>
  <r>
    <x v="41"/>
    <s v="Eindhoven, NB, NL"/>
    <n v="264"/>
    <n v="0.125"/>
    <n v="33"/>
    <n v="5"/>
    <n v="0.1515"/>
    <n v="0.28999999999999998"/>
    <n v="1.94"/>
    <n v="9.69"/>
  </r>
  <r>
    <x v="42"/>
    <s v="Eindhoven, NB, NL"/>
    <n v="1489"/>
    <n v="6.25E-2"/>
    <n v="93"/>
    <n v="10"/>
    <n v="0.1075"/>
    <n v="0.44"/>
    <n v="4.05"/>
    <n v="40.5"/>
  </r>
  <r>
    <x v="43"/>
    <s v="Rotterdam, ZH, NL"/>
    <n v="750"/>
    <n v="7.7300000000000008E-2"/>
    <n v="58"/>
    <n v="1"/>
    <n v="1.72E-2"/>
    <n v="0.19"/>
    <n v="11.08"/>
    <n v="11.08"/>
  </r>
  <r>
    <x v="44"/>
    <s v="Eindhoven, NB, NL"/>
    <n v="865"/>
    <n v="7.7499999999999999E-2"/>
    <n v="67"/>
    <n v="2"/>
    <n v="2.9900000000000003E-2"/>
    <n v="0.06"/>
    <n v="2.0699999999999998"/>
    <n v="4.13"/>
  </r>
  <r>
    <x v="45"/>
    <s v="Arnhem, GE, NL"/>
    <n v="20"/>
    <n v="0.05"/>
    <n v="1"/>
    <n v="0"/>
    <n v="0"/>
    <n v="0"/>
    <s v="-"/>
    <n v="0"/>
  </r>
  <r>
    <x v="45"/>
    <s v="Leeuwarden, FR, NL"/>
    <n v="22"/>
    <n v="0"/>
    <n v="0"/>
    <n v="0"/>
    <n v="0"/>
    <s v="-"/>
    <s v="-"/>
    <n v="0"/>
  </r>
  <r>
    <x v="45"/>
    <s v="Utrecht, UT, NL"/>
    <n v="8"/>
    <n v="0"/>
    <n v="0"/>
    <n v="0"/>
    <n v="0"/>
    <s v="-"/>
    <s v="-"/>
    <n v="0"/>
  </r>
  <r>
    <x v="45"/>
    <s v="Lelystad, FL, NL"/>
    <n v="8"/>
    <n v="0"/>
    <n v="0"/>
    <n v="0"/>
    <n v="0"/>
    <s v="-"/>
    <s v="-"/>
    <n v="0"/>
  </r>
  <r>
    <x v="45"/>
    <s v="Witharen, OV, NL"/>
    <n v="9"/>
    <n v="0"/>
    <n v="0"/>
    <n v="0"/>
    <n v="0"/>
    <s v="-"/>
    <s v="-"/>
    <n v="0"/>
  </r>
  <r>
    <x v="45"/>
    <s v="Zwolle, OV, NL"/>
    <n v="10"/>
    <n v="0"/>
    <n v="0"/>
    <n v="0"/>
    <n v="0"/>
    <s v="-"/>
    <s v="-"/>
    <n v="0"/>
  </r>
  <r>
    <x v="46"/>
    <s v="Schiphol, NH, NL"/>
    <n v="132"/>
    <n v="1.52E-2"/>
    <n v="2"/>
    <n v="0"/>
    <n v="0"/>
    <n v="0"/>
    <s v="-"/>
    <n v="0"/>
  </r>
  <r>
    <x v="47"/>
    <s v="Groningen, GR, NL"/>
    <n v="293"/>
    <n v="0.1263"/>
    <n v="37"/>
    <n v="2"/>
    <n v="5.4100000000000002E-2"/>
    <n v="0.48"/>
    <n v="8.9700000000000006"/>
    <n v="17.940000000000001"/>
  </r>
  <r>
    <x v="48"/>
    <s v="Nijmegen, GE, NL"/>
    <n v="1010"/>
    <n v="9.4100000000000003E-2"/>
    <n v="95"/>
    <n v="6"/>
    <n v="6.3200000000000006E-2"/>
    <n v="0.59"/>
    <n v="9.3000000000000007"/>
    <n v="55.82"/>
  </r>
  <r>
    <x v="49"/>
    <s v="Appingedam, GR, NL"/>
    <n v="455"/>
    <n v="0.1143"/>
    <n v="52"/>
    <n v="5"/>
    <n v="9.6199999999999994E-2"/>
    <n v="0.21"/>
    <n v="2.16"/>
    <n v="10.78"/>
  </r>
  <r>
    <x v="50"/>
    <s v="Hengelo OV, OV, NL"/>
    <n v="541"/>
    <n v="0.1331"/>
    <n v="72"/>
    <n v="1"/>
    <n v="1.3899999999999999E-2"/>
    <n v="0.02"/>
    <n v="1.7"/>
    <n v="1.7"/>
  </r>
  <r>
    <x v="51"/>
    <s v="FR, NL"/>
    <n v="1441"/>
    <n v="5.62E-2"/>
    <n v="81"/>
    <n v="3"/>
    <n v="3.7000000000000005E-2"/>
    <n v="0.1"/>
    <n v="2.63"/>
    <n v="7.89"/>
  </r>
  <r>
    <x v="52"/>
    <s v="Hengelo OV, OV, NL"/>
    <n v="894"/>
    <n v="0.1376"/>
    <n v="123"/>
    <n v="8"/>
    <n v="6.5000000000000002E-2"/>
    <n v="0.67"/>
    <n v="10.23"/>
    <n v="81.86"/>
  </r>
  <r>
    <x v="53"/>
    <s v="Enschede, OV, NL"/>
    <n v="397"/>
    <n v="8.8200000000000001E-2"/>
    <n v="35"/>
    <n v="4"/>
    <n v="0.1143"/>
    <n v="0.19"/>
    <n v="1.71"/>
    <n v="6.82"/>
  </r>
  <r>
    <x v="54"/>
    <s v="Eindhoven, NB, NL"/>
    <n v="457"/>
    <n v="6.5599999999999992E-2"/>
    <n v="30"/>
    <n v="2"/>
    <n v="6.6699999999999995E-2"/>
    <n v="0.45"/>
    <n v="6.8"/>
    <n v="13.59"/>
  </r>
  <r>
    <x v="54"/>
    <s v="Eindhoven, NB, NL"/>
    <n v="318"/>
    <n v="6.2899999999999998E-2"/>
    <n v="20"/>
    <n v="2"/>
    <n v="0.1"/>
    <n v="0.28000000000000003"/>
    <n v="2.85"/>
    <n v="5.69"/>
  </r>
  <r>
    <x v="54"/>
    <s v="Eindhoven, NB, NL"/>
    <n v="299"/>
    <n v="9.0299999999999991E-2"/>
    <n v="27"/>
    <n v="1"/>
    <n v="3.7000000000000005E-2"/>
    <n v="0.36"/>
    <n v="9.85"/>
    <n v="9.85"/>
  </r>
  <r>
    <x v="54"/>
    <s v="Eindhoven, NB, NL"/>
    <n v="425"/>
    <n v="6.1200000000000004E-2"/>
    <n v="26"/>
    <n v="1"/>
    <n v="3.85E-2"/>
    <n v="0.3"/>
    <n v="7.71"/>
    <n v="7.71"/>
  </r>
  <r>
    <x v="55"/>
    <s v="Eindhoven, NB, NL"/>
    <n v="404"/>
    <n v="0.10150000000000001"/>
    <n v="41"/>
    <n v="6"/>
    <n v="0.14630000000000001"/>
    <n v="0.27"/>
    <n v="1.87"/>
    <n v="11.22"/>
  </r>
  <r>
    <x v="56"/>
    <s v="Eindhoven, NB, NL"/>
    <n v="164"/>
    <n v="2.4399999999999998E-2"/>
    <n v="4"/>
    <n v="0"/>
    <n v="0"/>
    <n v="0"/>
    <s v="-"/>
    <n v="0"/>
  </r>
  <r>
    <x v="57"/>
    <s v="Eindhoven, NB, NL"/>
    <n v="891"/>
    <n v="0.10099999999999999"/>
    <n v="90"/>
    <n v="4"/>
    <n v="4.4400000000000002E-2"/>
    <n v="0.11"/>
    <n v="2.39"/>
    <n v="9.56"/>
  </r>
  <r>
    <x v="57"/>
    <s v="Deventer, OV, NL"/>
    <n v="116"/>
    <n v="0.1293"/>
    <n v="15"/>
    <n v="0"/>
    <n v="0"/>
    <n v="0"/>
    <s v="-"/>
    <n v="0"/>
  </r>
  <r>
    <x v="58"/>
    <s v="Eindhoven, NB, NL"/>
    <n v="1350"/>
    <n v="9.3299999999999994E-2"/>
    <n v="126"/>
    <n v="9"/>
    <n v="7.1399999999999991E-2"/>
    <n v="0.37"/>
    <n v="5.19"/>
    <n v="46.74"/>
  </r>
  <r>
    <x v="59"/>
    <s v="Hoogeveen, DR, NL"/>
    <n v="250"/>
    <n v="0.08"/>
    <n v="20"/>
    <n v="1"/>
    <n v="0.05"/>
    <n v="0.6"/>
    <n v="12.05"/>
    <n v="12.05"/>
  </r>
  <r>
    <x v="60"/>
    <s v="Almelo, OV, NL"/>
    <n v="7"/>
    <n v="0"/>
    <n v="0"/>
    <n v="0"/>
    <n v="0"/>
    <s v="-"/>
    <s v="-"/>
    <n v="0"/>
  </r>
  <r>
    <x v="60"/>
    <s v="Eindhoven, NB, NL"/>
    <n v="6"/>
    <n v="0"/>
    <n v="0"/>
    <n v="0"/>
    <n v="0"/>
    <s v="-"/>
    <s v="-"/>
    <n v="0"/>
  </r>
  <r>
    <x v="61"/>
    <s v="Stroe, GE, NL"/>
    <n v="312"/>
    <n v="6.0899999999999996E-2"/>
    <n v="19"/>
    <n v="1"/>
    <n v="5.2600000000000001E-2"/>
    <n v="0.15"/>
    <n v="2.87"/>
    <n v="2.87"/>
  </r>
  <r>
    <x v="62"/>
    <s v="Den Haag, ZH, NL"/>
    <n v="392"/>
    <n v="4.8499999999999995E-2"/>
    <n v="19"/>
    <n v="0"/>
    <n v="0"/>
    <n v="0"/>
    <s v="-"/>
    <n v="0"/>
  </r>
  <r>
    <x v="63"/>
    <s v="Geleen, LI, NL"/>
    <n v="519"/>
    <n v="0.13489999999999999"/>
    <n v="70"/>
    <n v="1"/>
    <n v="1.43E-2"/>
    <n v="0.03"/>
    <n v="1.96"/>
    <n v="1.96"/>
  </r>
  <r>
    <x v="63"/>
    <s v="Geleen, LI, NL"/>
    <n v="438"/>
    <n v="8.900000000000001E-2"/>
    <n v="39"/>
    <n v="0"/>
    <n v="0"/>
    <n v="0"/>
    <s v="-"/>
    <n v="0"/>
  </r>
  <r>
    <x v="63"/>
    <s v="Geleen, LI, NL"/>
    <n v="2"/>
    <n v="0"/>
    <n v="0"/>
    <n v="0"/>
    <n v="0"/>
    <s v="-"/>
    <s v="-"/>
    <n v="0"/>
  </r>
  <r>
    <x v="64"/>
    <s v="Delft, ZH, NL"/>
    <n v="271"/>
    <n v="8.8599999999999998E-2"/>
    <n v="24"/>
    <n v="4"/>
    <n v="0.16670000000000001"/>
    <n v="1.23"/>
    <n v="7.36"/>
    <n v="29.43"/>
  </r>
  <r>
    <x v="65"/>
    <s v="Eindhoven, NB, NL"/>
    <n v="530"/>
    <n v="0.11890000000000001"/>
    <n v="63"/>
    <n v="4"/>
    <n v="6.3500000000000001E-2"/>
    <n v="0.2"/>
    <n v="3.22"/>
    <n v="12.88"/>
  </r>
  <r>
    <x v="66"/>
    <s v="Rotterdam, ZH, NL"/>
    <n v="2873"/>
    <n v="0.1225"/>
    <n v="352"/>
    <n v="40"/>
    <n v="0.11359999999999999"/>
    <n v="0.91"/>
    <n v="8"/>
    <n v="320.05"/>
  </r>
  <r>
    <x v="66"/>
    <s v="Rotterdam, ZH, NL"/>
    <n v="960"/>
    <n v="0.13750000000000001"/>
    <n v="132"/>
    <n v="19"/>
    <n v="0.1439"/>
    <n v="0.34"/>
    <n v="2.37"/>
    <n v="45.02"/>
  </r>
  <r>
    <x v="67"/>
    <s v="Raamsdonksveer, NB, NL"/>
    <n v="0"/>
    <n v="0"/>
    <n v="0"/>
    <n v="0"/>
    <n v="0"/>
    <s v="-"/>
    <s v="-"/>
    <n v="0"/>
  </r>
  <r>
    <x v="68"/>
    <s v="Eindhoven, NB, NL"/>
    <n v="584"/>
    <n v="6.5099999999999991E-2"/>
    <n v="38"/>
    <n v="4"/>
    <n v="0.10529999999999999"/>
    <n v="0.23"/>
    <n v="2.14"/>
    <n v="8.5500000000000007"/>
  </r>
  <r>
    <x v="69"/>
    <s v="Breda, NB, NL"/>
    <n v="489"/>
    <n v="9.6099999999999991E-2"/>
    <n v="47"/>
    <n v="1"/>
    <n v="2.1299999999999999E-2"/>
    <n v="0.05"/>
    <n v="2.31"/>
    <n v="2.31"/>
  </r>
  <r>
    <x v="70"/>
    <s v="NL"/>
    <n v="1145"/>
    <n v="0.12140000000000001"/>
    <n v="139"/>
    <n v="14"/>
    <n v="0.1007"/>
    <n v="0.28000000000000003"/>
    <n v="2.8"/>
    <n v="39.14"/>
  </r>
  <r>
    <x v="71"/>
    <s v="Bunnik, UT, NL"/>
    <n v="541"/>
    <n v="4.6199999999999998E-2"/>
    <n v="25"/>
    <n v="0"/>
    <n v="0"/>
    <n v="0"/>
    <s v="-"/>
    <n v="0"/>
  </r>
  <r>
    <x v="72"/>
    <s v="Eindhoven, NB, NL"/>
    <n v="599"/>
    <n v="4.3400000000000001E-2"/>
    <n v="26"/>
    <n v="0"/>
    <n v="0"/>
    <n v="0"/>
    <s v="-"/>
    <n v="0"/>
  </r>
  <r>
    <x v="73"/>
    <s v="Eindhoven, NB, NL"/>
    <n v="244"/>
    <n v="0.23769999999999999"/>
    <n v="58"/>
    <n v="5"/>
    <n v="8.6199999999999999E-2"/>
    <n v="0.51"/>
    <n v="5.87"/>
    <n v="29.37"/>
  </r>
  <r>
    <x v="74"/>
    <s v="Amstelveen, NH, NL"/>
    <n v="1535"/>
    <n v="5.5999999999999994E-2"/>
    <n v="86"/>
    <n v="3"/>
    <n v="3.49E-2"/>
    <n v="0.05"/>
    <n v="1.49"/>
    <n v="4.47"/>
  </r>
  <r>
    <x v="75"/>
    <s v="Bedum, GR, NL"/>
    <n v="723"/>
    <n v="9.5399999999999985E-2"/>
    <n v="69"/>
    <n v="3"/>
    <n v="4.3499999999999997E-2"/>
    <n v="0.43"/>
    <n v="9.98"/>
    <n v="29.93"/>
  </r>
  <r>
    <x v="75"/>
    <s v="Beilen, DR, NL"/>
    <n v="330"/>
    <n v="8.7899999999999992E-2"/>
    <n v="29"/>
    <n v="1"/>
    <n v="3.4500000000000003E-2"/>
    <n v="0.27"/>
    <n v="7.84"/>
    <n v="7.84"/>
  </r>
  <r>
    <x v="75"/>
    <s v="Gerkesklooster, FR, NL"/>
    <n v="364"/>
    <n v="7.1399999999999991E-2"/>
    <n v="26"/>
    <n v="1"/>
    <n v="3.85E-2"/>
    <n v="0.44"/>
    <n v="11.43"/>
    <n v="11.43"/>
  </r>
  <r>
    <x v="75"/>
    <s v="Borculo, GE, NL"/>
    <n v="61"/>
    <n v="9.8400000000000001E-2"/>
    <n v="6"/>
    <n v="1"/>
    <n v="0.16670000000000001"/>
    <n v="0.79"/>
    <n v="4.72"/>
    <n v="4.72"/>
  </r>
  <r>
    <x v="75"/>
    <s v="Steenwijk, OV, NL"/>
    <n v="15"/>
    <n v="0"/>
    <n v="0"/>
    <n v="0"/>
    <n v="0"/>
    <s v="-"/>
    <s v="-"/>
    <n v="0"/>
  </r>
  <r>
    <x v="75"/>
    <s v="Oss, NB, NL"/>
    <n v="268"/>
    <n v="7.8399999999999997E-2"/>
    <n v="21"/>
    <n v="2"/>
    <n v="9.5199999999999993E-2"/>
    <n v="1.66"/>
    <n v="17.399999999999999"/>
    <n v="34.79"/>
  </r>
  <r>
    <x v="75"/>
    <s v="Delft, ZH, NL"/>
    <n v="499"/>
    <n v="0.1583"/>
    <n v="79"/>
    <n v="13"/>
    <n v="0.1646"/>
    <n v="1.1599999999999999"/>
    <n v="7.03"/>
    <n v="91.35"/>
  </r>
  <r>
    <x v="75"/>
    <s v="Delft, ZH, NL"/>
    <n v="633"/>
    <n v="8.6899999999999991E-2"/>
    <n v="55"/>
    <n v="8"/>
    <n v="0.14550000000000002"/>
    <n v="1.1299999999999999"/>
    <n v="7.74"/>
    <n v="61.9"/>
  </r>
  <r>
    <x v="75"/>
    <s v="Delft, ZH, NL"/>
    <n v="182"/>
    <n v="0.1099"/>
    <n v="20"/>
    <n v="7"/>
    <n v="0.35"/>
    <n v="2"/>
    <n v="5.7"/>
    <n v="39.92"/>
  </r>
  <r>
    <x v="75"/>
    <s v="Delft, ZH, NL"/>
    <n v="527"/>
    <n v="0.129"/>
    <n v="68"/>
    <n v="5"/>
    <n v="7.3499999999999996E-2"/>
    <n v="0.75"/>
    <n v="10.210000000000001"/>
    <n v="51.06"/>
  </r>
  <r>
    <x v="75"/>
    <s v="Meppel, DR, NL"/>
    <n v="213"/>
    <n v="0.1033"/>
    <n v="22"/>
    <n v="4"/>
    <n v="0.18179999999999999"/>
    <n v="1.1499999999999999"/>
    <n v="6.35"/>
    <n v="25.4"/>
  </r>
  <r>
    <x v="75"/>
    <s v="Utrecht, UT, NL"/>
    <n v="137"/>
    <n v="0.13140000000000002"/>
    <n v="18"/>
    <n v="4"/>
    <n v="0.22219999999999998"/>
    <n v="1.25"/>
    <n v="5.61"/>
    <n v="22.45"/>
  </r>
  <r>
    <x v="75"/>
    <s v="Utrecht, UT, NL"/>
    <n v="269"/>
    <n v="0.1115"/>
    <n v="30"/>
    <n v="3"/>
    <n v="0.1"/>
    <n v="0.49"/>
    <n v="4.87"/>
    <n v="14.62"/>
  </r>
  <r>
    <x v="75"/>
    <s v="Bedum, GR, NL"/>
    <n v="336"/>
    <n v="6.5500000000000003E-2"/>
    <n v="22"/>
    <n v="3"/>
    <n v="0.13639999999999999"/>
    <n v="1.32"/>
    <n v="9.7100000000000009"/>
    <n v="29.14"/>
  </r>
  <r>
    <x v="75"/>
    <s v="Rotterdam, ZH, NL"/>
    <n v="371"/>
    <n v="4.3099999999999999E-2"/>
    <n v="16"/>
    <n v="3"/>
    <n v="0.1875"/>
    <n v="0.53"/>
    <n v="2.82"/>
    <n v="8.4600000000000009"/>
  </r>
  <r>
    <x v="75"/>
    <s v="Delft, ZH, NL"/>
    <n v="355"/>
    <n v="0.1099"/>
    <n v="39"/>
    <n v="2"/>
    <n v="5.1299999999999998E-2"/>
    <n v="0.09"/>
    <n v="1.7"/>
    <n v="3.4"/>
  </r>
  <r>
    <x v="75"/>
    <s v="Amsterdam, NH, NL"/>
    <n v="312"/>
    <n v="7.690000000000001E-2"/>
    <n v="24"/>
    <n v="2"/>
    <n v="8.3299999999999999E-2"/>
    <n v="0.7"/>
    <n v="8.35"/>
    <n v="16.7"/>
  </r>
  <r>
    <x v="75"/>
    <s v="Beilen, DR, NL"/>
    <n v="309"/>
    <n v="7.1199999999999999E-2"/>
    <n v="22"/>
    <n v="2"/>
    <n v="9.0899999999999995E-2"/>
    <n v="0.62"/>
    <n v="6.79"/>
    <n v="13.57"/>
  </r>
  <r>
    <x v="75"/>
    <s v="Wolvega, FR, NL"/>
    <n v="242"/>
    <n v="8.6800000000000002E-2"/>
    <n v="21"/>
    <n v="2"/>
    <n v="9.5199999999999993E-2"/>
    <n v="0.88"/>
    <n v="9.1999999999999993"/>
    <n v="18.399999999999999"/>
  </r>
  <r>
    <x v="75"/>
    <s v="Groningen, GR, NL"/>
    <n v="130"/>
    <n v="9.2300000000000007E-2"/>
    <n v="12"/>
    <n v="2"/>
    <n v="0.16670000000000001"/>
    <n v="1.0900000000000001"/>
    <n v="6.54"/>
    <n v="13.08"/>
  </r>
  <r>
    <x v="75"/>
    <s v="Leeuwarden, FR, NL"/>
    <n v="109"/>
    <n v="8.2599999999999993E-2"/>
    <n v="9"/>
    <n v="2"/>
    <n v="0.22219999999999998"/>
    <n v="1.96"/>
    <n v="8.84"/>
    <n v="17.670000000000002"/>
  </r>
  <r>
    <x v="75"/>
    <s v="Deventer, OV, NL"/>
    <n v="101"/>
    <n v="4.9500000000000002E-2"/>
    <n v="5"/>
    <n v="2"/>
    <n v="0.4"/>
    <n v="6.17"/>
    <n v="15.43"/>
    <n v="30.85"/>
  </r>
  <r>
    <x v="75"/>
    <s v="Leeuwarden, FR, NL"/>
    <n v="271"/>
    <n v="5.9000000000000004E-2"/>
    <n v="16"/>
    <n v="1"/>
    <n v="6.25E-2"/>
    <n v="0.4"/>
    <n v="6.41"/>
    <n v="6.41"/>
  </r>
  <r>
    <x v="75"/>
    <s v="Marum, GR, NL"/>
    <n v="240"/>
    <n v="5.8299999999999998E-2"/>
    <n v="14"/>
    <n v="1"/>
    <n v="7.1399999999999991E-2"/>
    <n v="0.75"/>
    <n v="10.48"/>
    <n v="10.48"/>
  </r>
  <r>
    <x v="75"/>
    <s v="Oldenzaal, OV, NL"/>
    <n v="132"/>
    <n v="8.3299999999999999E-2"/>
    <n v="11"/>
    <n v="1"/>
    <n v="9.0899999999999995E-2"/>
    <n v="1.52"/>
    <n v="16.7"/>
    <n v="16.7"/>
  </r>
  <r>
    <x v="75"/>
    <s v="Gouda, ZH, NL"/>
    <n v="136"/>
    <n v="7.3499999999999996E-2"/>
    <n v="10"/>
    <n v="1"/>
    <n v="0.1"/>
    <n v="0.92"/>
    <n v="9.1999999999999993"/>
    <n v="9.1999999999999993"/>
  </r>
  <r>
    <x v="75"/>
    <s v="Drachten, FR, NL"/>
    <n v="169"/>
    <n v="3.5499999999999997E-2"/>
    <n v="6"/>
    <n v="1"/>
    <n v="0.16670000000000001"/>
    <n v="2.52"/>
    <n v="15.13"/>
    <n v="15.13"/>
  </r>
  <r>
    <x v="75"/>
    <s v="Assen, DR, NL"/>
    <n v="56"/>
    <n v="8.929999999999999E-2"/>
    <n v="5"/>
    <n v="1"/>
    <n v="0.2"/>
    <n v="4.99"/>
    <n v="24.94"/>
    <n v="24.94"/>
  </r>
  <r>
    <x v="75"/>
    <s v="Hoogeveen, DR, NL"/>
    <n v="48"/>
    <n v="8.3299999999999999E-2"/>
    <n v="4"/>
    <n v="1"/>
    <n v="0.25"/>
    <n v="6.1"/>
    <n v="24.41"/>
    <n v="24.41"/>
  </r>
  <r>
    <x v="75"/>
    <s v="Assen, DR, NL"/>
    <n v="48"/>
    <n v="8.3299999999999999E-2"/>
    <n v="4"/>
    <n v="1"/>
    <n v="0.25"/>
    <n v="6.04"/>
    <n v="24.17"/>
    <n v="24.17"/>
  </r>
  <r>
    <x v="75"/>
    <s v="Marum, GR, NL"/>
    <n v="55"/>
    <n v="7.2700000000000001E-2"/>
    <n v="4"/>
    <n v="1"/>
    <n v="0.25"/>
    <n v="2.44"/>
    <n v="9.7799999999999994"/>
    <n v="9.7799999999999994"/>
  </r>
  <r>
    <x v="75"/>
    <s v="Meppel, DR, NL"/>
    <n v="41"/>
    <n v="4.8799999999999996E-2"/>
    <n v="2"/>
    <n v="1"/>
    <n v="0.5"/>
    <n v="10.51"/>
    <n v="21.02"/>
    <n v="21.02"/>
  </r>
  <r>
    <x v="75"/>
    <s v="Leeuwarden, FR, NL"/>
    <n v="144"/>
    <n v="6.8999999999999999E-3"/>
    <n v="1"/>
    <n v="1"/>
    <n v="1"/>
    <n v="9.1300000000000008"/>
    <n v="9.1300000000000008"/>
    <n v="9.1300000000000008"/>
  </r>
  <r>
    <x v="75"/>
    <s v="Workum, FR, NL"/>
    <n v="264"/>
    <n v="6.8199999999999997E-2"/>
    <n v="18"/>
    <n v="0"/>
    <n v="0"/>
    <n v="0"/>
    <s v="-"/>
    <n v="0"/>
  </r>
  <r>
    <x v="75"/>
    <s v="Hengelo OV, OV, NL"/>
    <n v="241"/>
    <n v="5.8099999999999999E-2"/>
    <n v="14"/>
    <n v="0"/>
    <n v="0"/>
    <n v="0"/>
    <s v="-"/>
    <n v="0"/>
  </r>
  <r>
    <x v="75"/>
    <s v="Lutjewinkel, NH, NL"/>
    <n v="314"/>
    <n v="3.8199999999999998E-2"/>
    <n v="12"/>
    <n v="0"/>
    <n v="0"/>
    <n v="0"/>
    <s v="-"/>
    <n v="0"/>
  </r>
  <r>
    <x v="75"/>
    <s v="Rotterdam, ZH, NL"/>
    <n v="97"/>
    <n v="0.1134"/>
    <n v="11"/>
    <n v="0"/>
    <n v="0"/>
    <n v="0"/>
    <s v="-"/>
    <n v="0"/>
  </r>
  <r>
    <x v="75"/>
    <s v="Hengelo OV, OV, NL"/>
    <n v="73"/>
    <n v="0.1507"/>
    <n v="11"/>
    <n v="0"/>
    <n v="0"/>
    <n v="0"/>
    <s v="-"/>
    <n v="0"/>
  </r>
  <r>
    <x v="75"/>
    <s v="Zwolle, OV, NL"/>
    <n v="133"/>
    <n v="7.5199999999999989E-2"/>
    <n v="10"/>
    <n v="0"/>
    <n v="0"/>
    <n v="0"/>
    <s v="-"/>
    <n v="0"/>
  </r>
  <r>
    <x v="75"/>
    <s v="Emmen, DR, NL"/>
    <n v="98"/>
    <n v="0.10199999999999999"/>
    <n v="10"/>
    <n v="0"/>
    <n v="0"/>
    <n v="0"/>
    <s v="-"/>
    <n v="0"/>
  </r>
  <r>
    <x v="75"/>
    <s v="Oldenzaal, OV, NL"/>
    <n v="77"/>
    <n v="0.11689999999999999"/>
    <n v="9"/>
    <n v="0"/>
    <n v="0"/>
    <n v="0"/>
    <s v="-"/>
    <n v="0"/>
  </r>
  <r>
    <x v="75"/>
    <s v="Leeuwarden, FR, NL"/>
    <n v="108"/>
    <n v="8.3299999999999999E-2"/>
    <n v="9"/>
    <n v="0"/>
    <n v="0"/>
    <n v="0"/>
    <s v="-"/>
    <n v="0"/>
  </r>
  <r>
    <x v="75"/>
    <s v="Groningen, GR, NL"/>
    <n v="167"/>
    <n v="4.7899999999999998E-2"/>
    <n v="8"/>
    <n v="0"/>
    <n v="0"/>
    <n v="0"/>
    <s v="-"/>
    <n v="0"/>
  </r>
  <r>
    <x v="75"/>
    <s v="Borculo, GE, NL"/>
    <n v="89"/>
    <n v="7.8700000000000006E-2"/>
    <n v="7"/>
    <n v="0"/>
    <n v="0"/>
    <n v="0"/>
    <s v="-"/>
    <n v="0"/>
  </r>
  <r>
    <x v="75"/>
    <s v="Groningen, GR, NL"/>
    <n v="139"/>
    <n v="5.04E-2"/>
    <n v="7"/>
    <n v="0"/>
    <n v="0"/>
    <n v="0"/>
    <s v="-"/>
    <n v="0"/>
  </r>
  <r>
    <x v="75"/>
    <s v="Schagen, NH, NL"/>
    <n v="53"/>
    <n v="0.11320000000000001"/>
    <n v="6"/>
    <n v="0"/>
    <n v="0"/>
    <n v="0"/>
    <s v="-"/>
    <n v="0"/>
  </r>
  <r>
    <x v="75"/>
    <s v="Coevorden, DR, NL"/>
    <n v="144"/>
    <n v="4.1700000000000001E-2"/>
    <n v="6"/>
    <n v="0"/>
    <n v="0"/>
    <n v="0"/>
    <s v="-"/>
    <n v="0"/>
  </r>
  <r>
    <x v="75"/>
    <s v="Delft, ZH, NL"/>
    <n v="80"/>
    <n v="7.4999999999999997E-2"/>
    <n v="6"/>
    <n v="0"/>
    <n v="0"/>
    <n v="0"/>
    <s v="-"/>
    <n v="0"/>
  </r>
  <r>
    <x v="75"/>
    <s v="Deventer, OV, NL"/>
    <n v="67"/>
    <n v="7.46E-2"/>
    <n v="5"/>
    <n v="0"/>
    <n v="0"/>
    <n v="0"/>
    <s v="-"/>
    <n v="0"/>
  </r>
  <r>
    <x v="75"/>
    <s v="Beilen, DR, NL"/>
    <n v="83"/>
    <n v="6.0199999999999997E-2"/>
    <n v="5"/>
    <n v="0"/>
    <n v="0"/>
    <n v="0"/>
    <s v="-"/>
    <n v="0"/>
  </r>
  <r>
    <x v="75"/>
    <s v="Emmeloord, FL, NL"/>
    <n v="26"/>
    <n v="0.1923"/>
    <n v="5"/>
    <n v="0"/>
    <n v="0"/>
    <n v="0"/>
    <s v="-"/>
    <n v="0"/>
  </r>
  <r>
    <x v="75"/>
    <s v="Borculo, GE, NL"/>
    <n v="63"/>
    <n v="7.9399999999999998E-2"/>
    <n v="5"/>
    <n v="0"/>
    <n v="0"/>
    <n v="0"/>
    <s v="-"/>
    <n v="0"/>
  </r>
  <r>
    <x v="75"/>
    <s v="Emmen, DR, NL"/>
    <n v="117"/>
    <n v="3.4200000000000001E-2"/>
    <n v="4"/>
    <n v="0"/>
    <n v="0"/>
    <n v="0"/>
    <s v="-"/>
    <n v="0"/>
  </r>
  <r>
    <x v="75"/>
    <s v="Schagen, NH, NL"/>
    <n v="74"/>
    <n v="5.4100000000000002E-2"/>
    <n v="4"/>
    <n v="0"/>
    <n v="0"/>
    <n v="0"/>
    <s v="-"/>
    <n v="0"/>
  </r>
  <r>
    <x v="75"/>
    <s v="Ommen, OV, NL"/>
    <n v="53"/>
    <n v="7.5499999999999998E-2"/>
    <n v="4"/>
    <n v="0"/>
    <n v="0"/>
    <n v="0"/>
    <s v="-"/>
    <n v="0"/>
  </r>
  <r>
    <x v="75"/>
    <s v="Marum, GR, NL"/>
    <n v="40"/>
    <n v="0.1"/>
    <n v="4"/>
    <n v="0"/>
    <n v="0"/>
    <n v="0"/>
    <s v="-"/>
    <n v="0"/>
  </r>
  <r>
    <x v="75"/>
    <s v="Wolvega, FR, NL"/>
    <n v="61"/>
    <n v="6.5599999999999992E-2"/>
    <n v="4"/>
    <n v="0"/>
    <n v="0"/>
    <n v="0"/>
    <s v="-"/>
    <n v="0"/>
  </r>
  <r>
    <x v="75"/>
    <s v="Zwolle, OV, NL"/>
    <n v="58"/>
    <n v="6.9000000000000006E-2"/>
    <n v="4"/>
    <n v="0"/>
    <n v="0"/>
    <n v="0"/>
    <s v="-"/>
    <n v="0"/>
  </r>
  <r>
    <x v="75"/>
    <s v="Groningen, GR, NL"/>
    <n v="61"/>
    <n v="6.5599999999999992E-2"/>
    <n v="4"/>
    <n v="0"/>
    <n v="0"/>
    <n v="0"/>
    <s v="-"/>
    <n v="0"/>
  </r>
  <r>
    <x v="75"/>
    <s v="Groningen, GR, NL"/>
    <n v="74"/>
    <n v="5.4100000000000002E-2"/>
    <n v="4"/>
    <n v="0"/>
    <n v="0"/>
    <n v="0"/>
    <s v="-"/>
    <n v="0"/>
  </r>
  <r>
    <x v="75"/>
    <s v="Delfzijl, GR, NL"/>
    <n v="59"/>
    <n v="6.7799999999999999E-2"/>
    <n v="4"/>
    <n v="0"/>
    <n v="0"/>
    <n v="0"/>
    <s v="-"/>
    <n v="0"/>
  </r>
  <r>
    <x v="75"/>
    <s v="Deventer, OV, NL"/>
    <n v="57"/>
    <n v="7.0199999999999999E-2"/>
    <n v="4"/>
    <n v="0"/>
    <n v="0"/>
    <n v="0"/>
    <s v="-"/>
    <n v="0"/>
  </r>
  <r>
    <x v="75"/>
    <s v="Delft, ZH, NL"/>
    <n v="135"/>
    <n v="2.9600000000000001E-2"/>
    <n v="4"/>
    <n v="0"/>
    <n v="0"/>
    <n v="0"/>
    <s v="-"/>
    <n v="0"/>
  </r>
  <r>
    <x v="75"/>
    <s v="Workum, FR, NL"/>
    <n v="25"/>
    <n v="0.12"/>
    <n v="3"/>
    <n v="0"/>
    <n v="0"/>
    <n v="0"/>
    <s v="-"/>
    <n v="0"/>
  </r>
  <r>
    <x v="75"/>
    <s v="Emmen, DR, NL"/>
    <n v="74"/>
    <n v="4.0500000000000001E-2"/>
    <n v="3"/>
    <n v="0"/>
    <n v="0"/>
    <n v="0"/>
    <s v="-"/>
    <n v="0"/>
  </r>
  <r>
    <x v="75"/>
    <s v="Steenwijk, OV, NL"/>
    <n v="35"/>
    <n v="8.5699999999999998E-2"/>
    <n v="3"/>
    <n v="0"/>
    <n v="0"/>
    <n v="0"/>
    <s v="-"/>
    <n v="0"/>
  </r>
  <r>
    <x v="75"/>
    <s v="Bedum, GR, NL"/>
    <n v="25"/>
    <n v="0.12"/>
    <n v="3"/>
    <n v="0"/>
    <n v="0"/>
    <n v="0"/>
    <s v="-"/>
    <n v="0"/>
  </r>
  <r>
    <x v="75"/>
    <s v="Joure, FR, NL"/>
    <n v="42"/>
    <n v="7.1399999999999991E-2"/>
    <n v="3"/>
    <n v="0"/>
    <n v="0"/>
    <n v="0"/>
    <s v="-"/>
    <n v="0"/>
  </r>
  <r>
    <x v="75"/>
    <s v="Workum, FR, NL"/>
    <n v="48"/>
    <n v="6.25E-2"/>
    <n v="3"/>
    <n v="0"/>
    <n v="0"/>
    <n v="0"/>
    <s v="-"/>
    <n v="0"/>
  </r>
  <r>
    <x v="75"/>
    <s v="Bedum, GR, NL"/>
    <n v="72"/>
    <n v="4.1700000000000001E-2"/>
    <n v="3"/>
    <n v="0"/>
    <n v="0"/>
    <n v="0"/>
    <s v="-"/>
    <n v="0"/>
  </r>
  <r>
    <x v="75"/>
    <s v="Assen, DR, NL"/>
    <n v="71"/>
    <n v="4.2300000000000004E-2"/>
    <n v="3"/>
    <n v="0"/>
    <n v="0"/>
    <n v="0"/>
    <s v="-"/>
    <n v="0"/>
  </r>
  <r>
    <x v="75"/>
    <s v="Bedum, GR, NL"/>
    <n v="38"/>
    <n v="7.8899999999999998E-2"/>
    <n v="3"/>
    <n v="0"/>
    <n v="0"/>
    <n v="0"/>
    <s v="-"/>
    <n v="0"/>
  </r>
  <r>
    <x v="75"/>
    <s v="Marum, GR, NL"/>
    <n v="121"/>
    <n v="2.4799999999999999E-2"/>
    <n v="3"/>
    <n v="0"/>
    <n v="0"/>
    <n v="0"/>
    <s v="-"/>
    <n v="0"/>
  </r>
  <r>
    <x v="75"/>
    <s v="Meppel, DR, NL"/>
    <n v="60"/>
    <n v="0.05"/>
    <n v="3"/>
    <n v="0"/>
    <n v="0"/>
    <n v="0"/>
    <s v="-"/>
    <n v="0"/>
  </r>
  <r>
    <x v="75"/>
    <s v="Emmen, DR, NL"/>
    <n v="59"/>
    <n v="5.0799999999999998E-2"/>
    <n v="3"/>
    <n v="0"/>
    <n v="0"/>
    <n v="0"/>
    <s v="-"/>
    <n v="0"/>
  </r>
  <r>
    <x v="75"/>
    <s v="Delfzijl, GR, NL"/>
    <n v="43"/>
    <n v="6.9800000000000001E-2"/>
    <n v="3"/>
    <n v="0"/>
    <n v="0"/>
    <n v="0"/>
    <s v="-"/>
    <n v="0"/>
  </r>
  <r>
    <x v="75"/>
    <s v="Steenwijk, OV, NL"/>
    <n v="58"/>
    <n v="5.1699999999999996E-2"/>
    <n v="3"/>
    <n v="0"/>
    <n v="0"/>
    <n v="0"/>
    <s v="-"/>
    <n v="0"/>
  </r>
  <r>
    <x v="75"/>
    <s v="Drachten, FR, NL"/>
    <n v="12"/>
    <n v="0.16670000000000001"/>
    <n v="2"/>
    <n v="0"/>
    <n v="0"/>
    <n v="0"/>
    <s v="-"/>
    <n v="0"/>
  </r>
  <r>
    <x v="75"/>
    <s v="Meppel, DR, NL"/>
    <n v="27"/>
    <n v="7.4099999999999999E-2"/>
    <n v="2"/>
    <n v="0"/>
    <n v="0"/>
    <n v="0"/>
    <s v="-"/>
    <n v="0"/>
  </r>
  <r>
    <x v="75"/>
    <s v="Wolvega, FR, NL"/>
    <n v="41"/>
    <n v="4.8799999999999996E-2"/>
    <n v="2"/>
    <n v="0"/>
    <n v="0"/>
    <n v="0"/>
    <s v="-"/>
    <n v="0"/>
  </r>
  <r>
    <x v="75"/>
    <s v="Wolvega, FR, NL"/>
    <n v="58"/>
    <n v="3.4500000000000003E-2"/>
    <n v="2"/>
    <n v="0"/>
    <n v="0"/>
    <n v="0"/>
    <s v="-"/>
    <n v="0"/>
  </r>
  <r>
    <x v="75"/>
    <s v="Hoogeveen, DR, NL"/>
    <n v="77"/>
    <n v="2.6000000000000002E-2"/>
    <n v="2"/>
    <n v="0"/>
    <n v="0"/>
    <n v="0"/>
    <s v="-"/>
    <n v="0"/>
  </r>
  <r>
    <x v="75"/>
    <s v="Workum, FR, NL"/>
    <n v="57"/>
    <n v="3.5099999999999999E-2"/>
    <n v="2"/>
    <n v="0"/>
    <n v="0"/>
    <n v="0"/>
    <s v="-"/>
    <n v="0"/>
  </r>
  <r>
    <x v="75"/>
    <s v="Emmen, DR, NL"/>
    <n v="37"/>
    <n v="5.4100000000000002E-2"/>
    <n v="2"/>
    <n v="0"/>
    <n v="0"/>
    <n v="0"/>
    <s v="-"/>
    <n v="0"/>
  </r>
  <r>
    <x v="75"/>
    <s v="Borculo, GE, NL"/>
    <n v="23"/>
    <n v="8.6999999999999994E-2"/>
    <n v="2"/>
    <n v="0"/>
    <n v="0"/>
    <n v="0"/>
    <s v="-"/>
    <n v="0"/>
  </r>
  <r>
    <x v="75"/>
    <s v="Emmen, DR, NL"/>
    <n v="4"/>
    <n v="0.25"/>
    <n v="1"/>
    <n v="0"/>
    <n v="0"/>
    <n v="0"/>
    <s v="-"/>
    <n v="0"/>
  </r>
  <r>
    <x v="75"/>
    <s v="Emmeloord, FL, NL"/>
    <n v="50"/>
    <n v="0.02"/>
    <n v="1"/>
    <n v="0"/>
    <n v="0"/>
    <n v="0"/>
    <s v="-"/>
    <n v="0"/>
  </r>
  <r>
    <x v="75"/>
    <s v="Ommen, OV, NL"/>
    <n v="7"/>
    <n v="0.1429"/>
    <n v="1"/>
    <n v="0"/>
    <n v="0"/>
    <n v="0"/>
    <s v="-"/>
    <n v="0"/>
  </r>
  <r>
    <x v="75"/>
    <s v="Coevorden, DR, NL"/>
    <n v="79"/>
    <n v="1.2699999999999999E-2"/>
    <n v="1"/>
    <n v="0"/>
    <n v="0"/>
    <n v="0"/>
    <s v="-"/>
    <n v="0"/>
  </r>
  <r>
    <x v="75"/>
    <s v="Lutjewinkel, NH, NL"/>
    <n v="22"/>
    <n v="4.5499999999999999E-2"/>
    <n v="1"/>
    <n v="0"/>
    <n v="0"/>
    <n v="0"/>
    <s v="-"/>
    <n v="0"/>
  </r>
  <r>
    <x v="75"/>
    <s v="Leeuwarden, FR, NL"/>
    <n v="0"/>
    <n v="0"/>
    <n v="0"/>
    <n v="0"/>
    <n v="0"/>
    <s v="-"/>
    <s v="-"/>
    <n v="0"/>
  </r>
  <r>
    <x v="75"/>
    <s v="Emmen, DR, NL"/>
    <n v="0"/>
    <n v="0"/>
    <n v="0"/>
    <n v="0"/>
    <n v="0"/>
    <s v="-"/>
    <s v="-"/>
    <n v="0"/>
  </r>
  <r>
    <x v="75"/>
    <s v="Lutjewinkel, NH, NL"/>
    <n v="0"/>
    <n v="0"/>
    <n v="0"/>
    <n v="0"/>
    <n v="0"/>
    <s v="-"/>
    <s v="-"/>
    <n v="0"/>
  </r>
  <r>
    <x v="75"/>
    <s v="Groningen, GR, NL"/>
    <n v="0"/>
    <n v="0"/>
    <n v="0"/>
    <n v="0"/>
    <n v="0"/>
    <s v="-"/>
    <s v="-"/>
    <n v="0"/>
  </r>
  <r>
    <x v="75"/>
    <s v="Leeuwarden, FR, NL"/>
    <n v="0"/>
    <n v="0"/>
    <n v="0"/>
    <n v="0"/>
    <n v="0"/>
    <s v="-"/>
    <s v="-"/>
    <n v="0"/>
  </r>
  <r>
    <x v="75"/>
    <s v="Drachten, FR, NL"/>
    <n v="0"/>
    <n v="0"/>
    <n v="0"/>
    <n v="0"/>
    <n v="0"/>
    <s v="-"/>
    <s v="-"/>
    <n v="0"/>
  </r>
  <r>
    <x v="75"/>
    <s v="Groningen, GR, NL"/>
    <n v="0"/>
    <n v="0"/>
    <n v="0"/>
    <n v="0"/>
    <n v="0"/>
    <s v="-"/>
    <s v="-"/>
    <n v="0"/>
  </r>
  <r>
    <x v="75"/>
    <s v="Emmen, DR, NL"/>
    <n v="0"/>
    <n v="0"/>
    <n v="0"/>
    <n v="0"/>
    <n v="0"/>
    <s v="-"/>
    <s v="-"/>
    <n v="0"/>
  </r>
  <r>
    <x v="75"/>
    <s v="Schagen, NH, NL"/>
    <n v="0"/>
    <n v="0"/>
    <n v="0"/>
    <n v="0"/>
    <n v="0"/>
    <s v="-"/>
    <s v="-"/>
    <n v="0"/>
  </r>
  <r>
    <x v="75"/>
    <s v="Leeuwarden, FR, NL"/>
    <n v="0"/>
    <n v="0"/>
    <n v="0"/>
    <n v="0"/>
    <n v="0"/>
    <s v="-"/>
    <s v="-"/>
    <n v="0"/>
  </r>
  <r>
    <x v="75"/>
    <s v="Coevorden, DR, NL"/>
    <n v="0"/>
    <n v="0"/>
    <n v="0"/>
    <n v="0"/>
    <n v="0"/>
    <s v="-"/>
    <s v="-"/>
    <n v="0"/>
  </r>
  <r>
    <x v="75"/>
    <s v="Bedum, GR, NL"/>
    <n v="0"/>
    <n v="0"/>
    <n v="0"/>
    <n v="0"/>
    <n v="0"/>
    <s v="-"/>
    <s v="-"/>
    <n v="0"/>
  </r>
  <r>
    <x v="75"/>
    <s v="Emmeloord, FL, NL"/>
    <n v="0"/>
    <n v="0"/>
    <n v="0"/>
    <n v="0"/>
    <n v="0"/>
    <s v="-"/>
    <s v="-"/>
    <n v="0"/>
  </r>
  <r>
    <x v="75"/>
    <s v="Delfzijl, GR, NL"/>
    <n v="0"/>
    <n v="0"/>
    <n v="0"/>
    <n v="0"/>
    <n v="0"/>
    <s v="-"/>
    <s v="-"/>
    <n v="0"/>
  </r>
  <r>
    <x v="75"/>
    <s v="Groningen, GR, NL"/>
    <n v="0"/>
    <n v="0"/>
    <n v="0"/>
    <n v="0"/>
    <n v="0"/>
    <s v="-"/>
    <s v="-"/>
    <n v="0"/>
  </r>
  <r>
    <x v="75"/>
    <s v="Marum, GR, NL"/>
    <n v="0"/>
    <n v="0"/>
    <n v="0"/>
    <n v="0"/>
    <n v="0"/>
    <s v="-"/>
    <s v="-"/>
    <n v="0"/>
  </r>
  <r>
    <x v="75"/>
    <s v="Workum, FR, NL"/>
    <n v="0"/>
    <n v="0"/>
    <n v="0"/>
    <n v="0"/>
    <n v="0"/>
    <s v="-"/>
    <s v="-"/>
    <n v="0"/>
  </r>
  <r>
    <x v="75"/>
    <s v="Meppel, DR, NL"/>
    <n v="0"/>
    <n v="0"/>
    <n v="0"/>
    <n v="0"/>
    <n v="0"/>
    <s v="-"/>
    <s v="-"/>
    <n v="0"/>
  </r>
  <r>
    <x v="75"/>
    <s v="Wolvega, FR, NL"/>
    <n v="0"/>
    <n v="0"/>
    <n v="0"/>
    <n v="0"/>
    <n v="0"/>
    <s v="-"/>
    <s v="-"/>
    <n v="0"/>
  </r>
  <r>
    <x v="75"/>
    <s v="Assen, DR, NL"/>
    <n v="0"/>
    <n v="0"/>
    <n v="0"/>
    <n v="0"/>
    <n v="0"/>
    <s v="-"/>
    <s v="-"/>
    <n v="0"/>
  </r>
  <r>
    <x v="75"/>
    <s v="Oldenzaal, OV, NL"/>
    <n v="0"/>
    <n v="0"/>
    <n v="0"/>
    <n v="0"/>
    <n v="0"/>
    <s v="-"/>
    <s v="-"/>
    <n v="0"/>
  </r>
  <r>
    <x v="75"/>
    <s v="Hoogeveen, DR, NL"/>
    <n v="0"/>
    <n v="0"/>
    <n v="0"/>
    <n v="0"/>
    <n v="0"/>
    <s v="-"/>
    <s v="-"/>
    <n v="0"/>
  </r>
  <r>
    <x v="75"/>
    <s v="Steenwijk, OV, NL"/>
    <n v="0"/>
    <n v="0"/>
    <n v="0"/>
    <n v="0"/>
    <n v="0"/>
    <s v="-"/>
    <s v="-"/>
    <n v="0"/>
  </r>
  <r>
    <x v="75"/>
    <s v="Emmen, DR, NL"/>
    <n v="0"/>
    <n v="0"/>
    <n v="0"/>
    <n v="0"/>
    <n v="0"/>
    <s v="-"/>
    <s v="-"/>
    <n v="0"/>
  </r>
  <r>
    <x v="75"/>
    <s v="Ommen, OV, NL"/>
    <n v="0"/>
    <n v="0"/>
    <n v="0"/>
    <n v="0"/>
    <n v="0"/>
    <s v="-"/>
    <s v="-"/>
    <n v="0"/>
  </r>
  <r>
    <x v="75"/>
    <s v="Zwolle, OV, NL"/>
    <n v="0"/>
    <n v="0"/>
    <n v="0"/>
    <n v="0"/>
    <n v="0"/>
    <s v="-"/>
    <s v="-"/>
    <n v="0"/>
  </r>
  <r>
    <x v="75"/>
    <s v="Oldenzaal, OV, NL"/>
    <n v="2"/>
    <n v="0"/>
    <n v="0"/>
    <n v="0"/>
    <n v="0"/>
    <s v="-"/>
    <s v="-"/>
    <n v="0"/>
  </r>
  <r>
    <x v="75"/>
    <s v="Oldenzaal, OV, NL"/>
    <n v="6"/>
    <n v="0"/>
    <n v="0"/>
    <n v="0"/>
    <n v="0"/>
    <s v="-"/>
    <s v="-"/>
    <n v="0"/>
  </r>
  <r>
    <x v="75"/>
    <s v="Amsterdam, NH, NL"/>
    <n v="98"/>
    <n v="4.0800000000000003E-2"/>
    <n v="4"/>
    <n v="0"/>
    <n v="0"/>
    <n v="0"/>
    <s v="-"/>
    <n v="0"/>
  </r>
  <r>
    <x v="75"/>
    <s v="Amsterdam, NH, NL"/>
    <n v="119"/>
    <n v="0.1008"/>
    <n v="12"/>
    <n v="1"/>
    <n v="8.3299999999999999E-2"/>
    <n v="0.56000000000000005"/>
    <n v="6.68"/>
    <n v="6.68"/>
  </r>
  <r>
    <x v="75"/>
    <s v="Amsterdam, NH, NL"/>
    <n v="132"/>
    <n v="3.7900000000000003E-2"/>
    <n v="5"/>
    <n v="0"/>
    <n v="0"/>
    <n v="0"/>
    <s v="-"/>
    <n v="0"/>
  </r>
  <r>
    <x v="75"/>
    <s v="Amsterdam, NH, NL"/>
    <n v="244"/>
    <n v="9.0200000000000002E-2"/>
    <n v="22"/>
    <n v="0"/>
    <n v="0"/>
    <n v="0"/>
    <s v="-"/>
    <n v="0"/>
  </r>
  <r>
    <x v="75"/>
    <s v="Rotterdam, ZH, NL"/>
    <n v="31"/>
    <n v="9.6799999999999997E-2"/>
    <n v="3"/>
    <n v="0"/>
    <n v="0"/>
    <n v="4.82"/>
    <n v="14.46"/>
    <n v="14.46"/>
  </r>
  <r>
    <x v="75"/>
    <s v="Rotterdam, ZH, NL"/>
    <n v="1250"/>
    <n v="8.1600000000000006E-2"/>
    <n v="102"/>
    <n v="16"/>
    <n v="0.15689999999999998"/>
    <n v="1.79"/>
    <n v="11.43"/>
    <n v="182.86"/>
  </r>
  <r>
    <x v="75"/>
    <s v="Rotterdam, ZH, NL"/>
    <n v="114"/>
    <n v="7.0199999999999999E-2"/>
    <n v="8"/>
    <n v="1"/>
    <n v="0.125"/>
    <n v="0.43"/>
    <n v="3.47"/>
    <n v="3.47"/>
  </r>
  <r>
    <x v="75"/>
    <s v="Moerdijk, NB, NL"/>
    <n v="93"/>
    <n v="0.1075"/>
    <n v="10"/>
    <n v="1"/>
    <n v="0.1"/>
    <n v="1.03"/>
    <n v="10.32"/>
    <n v="10.32"/>
  </r>
  <r>
    <x v="75"/>
    <s v="Moerdijk, NB, NL"/>
    <n v="43"/>
    <n v="0.1628"/>
    <n v="7"/>
    <n v="0"/>
    <n v="0"/>
    <n v="0"/>
    <s v="-"/>
    <n v="0"/>
  </r>
  <r>
    <x v="75"/>
    <s v="Moerdijk, NB, NL"/>
    <n v="0"/>
    <n v="0"/>
    <n v="0"/>
    <n v="0"/>
    <n v="0"/>
    <s v="-"/>
    <s v="-"/>
    <n v="0"/>
  </r>
  <r>
    <x v="76"/>
    <s v="Waalwijk, NB, NL"/>
    <n v="220"/>
    <n v="0.1545"/>
    <n v="34"/>
    <n v="5"/>
    <n v="0.14710000000000001"/>
    <n v="0.64"/>
    <n v="4.33"/>
    <n v="21.67"/>
  </r>
  <r>
    <x v="76"/>
    <s v="Waalwijk, NB, NL"/>
    <n v="239"/>
    <n v="0.10460000000000001"/>
    <n v="25"/>
    <n v="3"/>
    <n v="0.12"/>
    <n v="0.2"/>
    <n v="1.7"/>
    <n v="5.0999999999999996"/>
  </r>
  <r>
    <x v="76"/>
    <s v="Bolsward, FR, NL"/>
    <n v="390"/>
    <n v="7.690000000000001E-2"/>
    <n v="30"/>
    <n v="1"/>
    <n v="3.3300000000000003E-2"/>
    <n v="0.28999999999999998"/>
    <n v="8.81"/>
    <n v="8.81"/>
  </r>
  <r>
    <x v="76"/>
    <s v="Veenendaal, UT, NL"/>
    <n v="534"/>
    <n v="4.87E-2"/>
    <n v="26"/>
    <n v="1"/>
    <n v="3.85E-2"/>
    <n v="0.48"/>
    <n v="12.38"/>
    <n v="12.38"/>
  </r>
  <r>
    <x v="76"/>
    <s v="Waalwijk, NB, NL"/>
    <n v="67"/>
    <n v="7.46E-2"/>
    <n v="5"/>
    <n v="1"/>
    <n v="0.2"/>
    <n v="1.54"/>
    <n v="7.71"/>
    <n v="7.71"/>
  </r>
  <r>
    <x v="76"/>
    <s v="Waalwijk, NB, NL"/>
    <n v="123"/>
    <n v="0.13819999999999999"/>
    <n v="17"/>
    <n v="0"/>
    <n v="0"/>
    <n v="0"/>
    <s v="-"/>
    <n v="0"/>
  </r>
  <r>
    <x v="76"/>
    <s v="Bolsward, FR, NL"/>
    <n v="9"/>
    <n v="0"/>
    <n v="0"/>
    <n v="0"/>
    <n v="0"/>
    <s v="-"/>
    <s v="-"/>
    <n v="0"/>
  </r>
  <r>
    <x v="77"/>
    <s v="Arnhem, GE, NL"/>
    <n v="1005"/>
    <n v="0.10550000000000001"/>
    <n v="106"/>
    <n v="6"/>
    <n v="5.6600000000000004E-2"/>
    <n v="0.12"/>
    <n v="2.06"/>
    <n v="12.34"/>
  </r>
  <r>
    <x v="78"/>
    <s v="Hengelo OV, OV, NL"/>
    <n v="1041"/>
    <n v="9.5100000000000004E-2"/>
    <n v="99"/>
    <n v="8"/>
    <n v="8.0799999999999997E-2"/>
    <n v="0.2"/>
    <n v="2.42"/>
    <n v="19.329999999999998"/>
  </r>
  <r>
    <x v="79"/>
    <s v="Papendrecht, ZH, NL"/>
    <n v="248"/>
    <n v="6.8499999999999991E-2"/>
    <n v="17"/>
    <n v="1"/>
    <n v="5.8799999999999998E-2"/>
    <n v="0.16"/>
    <n v="2.79"/>
    <n v="2.79"/>
  </r>
  <r>
    <x v="79"/>
    <s v="Papendrecht, ZH, NL"/>
    <n v="502"/>
    <n v="6.3700000000000007E-2"/>
    <n v="32"/>
    <n v="0"/>
    <n v="0"/>
    <n v="0"/>
    <s v="-"/>
    <n v="0"/>
  </r>
  <r>
    <x v="80"/>
    <s v="Bunnik, UT, NL"/>
    <n v="101"/>
    <n v="0.1386"/>
    <n v="14"/>
    <n v="2"/>
    <n v="0.1429"/>
    <n v="0.28000000000000003"/>
    <n v="1.96"/>
    <n v="3.92"/>
  </r>
  <r>
    <x v="80"/>
    <s v="Bunnik, UT, NL"/>
    <n v="47"/>
    <n v="4.2599999999999999E-2"/>
    <n v="2"/>
    <n v="0"/>
    <n v="0"/>
    <n v="0"/>
    <s v="-"/>
    <n v="0"/>
  </r>
  <r>
    <x v="81"/>
    <s v="Maastricht, LI, NL"/>
    <n v="299"/>
    <n v="0.1371"/>
    <n v="41"/>
    <n v="3"/>
    <n v="7.3200000000000001E-2"/>
    <n v="0.68"/>
    <n v="9.33"/>
    <n v="28"/>
  </r>
  <r>
    <x v="82"/>
    <s v="Eindhoven, NB, NL"/>
    <n v="5"/>
    <n v="0"/>
    <n v="0"/>
    <n v="0"/>
    <n v="0"/>
    <s v="-"/>
    <s v="-"/>
    <n v="0"/>
  </r>
  <r>
    <x v="83"/>
    <s v="Eindhoven, NB, NL"/>
    <n v="549"/>
    <n v="0.11109999999999999"/>
    <n v="61"/>
    <n v="5"/>
    <n v="8.199999999999999E-2"/>
    <n v="0.55000000000000004"/>
    <n v="6.65"/>
    <n v="33.270000000000003"/>
  </r>
  <r>
    <x v="84"/>
    <s v="Venlo, LI, NL"/>
    <n v="1438"/>
    <n v="8.900000000000001E-2"/>
    <n v="128"/>
    <n v="22"/>
    <n v="0.17190000000000003"/>
    <n v="1.3"/>
    <n v="7.56"/>
    <n v="166.27"/>
  </r>
  <r>
    <x v="84"/>
    <s v="Eindhoven, NB, NL"/>
    <n v="1128"/>
    <n v="0.1082"/>
    <n v="122"/>
    <n v="21"/>
    <n v="0.1721"/>
    <n v="0.73"/>
    <n v="4.26"/>
    <n v="89.46"/>
  </r>
  <r>
    <x v="84"/>
    <s v="Lochem, GE, NL"/>
    <n v="136"/>
    <n v="9.5600000000000004E-2"/>
    <n v="13"/>
    <n v="5"/>
    <n v="0.3846"/>
    <n v="1.25"/>
    <n v="3.24"/>
    <n v="16.190000000000001"/>
  </r>
  <r>
    <x v="84"/>
    <s v="Enschede, OV, NL"/>
    <n v="276"/>
    <n v="9.06E-2"/>
    <n v="25"/>
    <n v="4"/>
    <n v="0.16"/>
    <n v="1.1100000000000001"/>
    <n v="6.94"/>
    <n v="27.75"/>
  </r>
  <r>
    <x v="84"/>
    <s v="Hengelo OV, OV, NL"/>
    <n v="75"/>
    <n v="9.3299999999999994E-2"/>
    <n v="7"/>
    <n v="1"/>
    <n v="0.1429"/>
    <n v="1.05"/>
    <n v="7.32"/>
    <n v="7.32"/>
  </r>
  <r>
    <x v="85"/>
    <s v="Eindhoven, NB, NL"/>
    <n v="947"/>
    <n v="3.1699999999999999E-2"/>
    <n v="30"/>
    <n v="2"/>
    <n v="6.6699999999999995E-2"/>
    <n v="0.18"/>
    <n v="2.69"/>
    <n v="5.38"/>
  </r>
  <r>
    <x v="86"/>
    <s v="Dordrecht, ZH, NL"/>
    <n v="90"/>
    <n v="6.6699999999999995E-2"/>
    <n v="6"/>
    <n v="1"/>
    <n v="0.16670000000000001"/>
    <n v="2.0699999999999998"/>
    <n v="12.43"/>
    <n v="12.43"/>
  </r>
  <r>
    <x v="87"/>
    <s v="Meppel, DR, NL"/>
    <n v="0"/>
    <n v="0"/>
    <n v="0"/>
    <n v="0"/>
    <n v="0"/>
    <s v="-"/>
    <s v="-"/>
    <n v="0"/>
  </r>
  <r>
    <x v="88"/>
    <s v="Amsterdam, NH, NL"/>
    <n v="78"/>
    <n v="3.85E-2"/>
    <n v="3"/>
    <n v="0"/>
    <n v="0"/>
    <n v="0"/>
    <s v="-"/>
    <n v="0"/>
  </r>
  <r>
    <x v="89"/>
    <s v="Utrecht, UT, NL"/>
    <n v="1432"/>
    <n v="7.4700000000000003E-2"/>
    <n v="107"/>
    <n v="4"/>
    <n v="3.7400000000000003E-2"/>
    <n v="0.27"/>
    <n v="7.26"/>
    <n v="29.02"/>
  </r>
  <r>
    <x v="89"/>
    <s v="Zwolle, OV, NL"/>
    <n v="647"/>
    <n v="5.8700000000000002E-2"/>
    <n v="38"/>
    <n v="0"/>
    <n v="0"/>
    <n v="0"/>
    <s v="-"/>
    <n v="0"/>
  </r>
  <r>
    <x v="90"/>
    <s v="Breda, NB, NL"/>
    <n v="0"/>
    <n v="0"/>
    <n v="0"/>
    <n v="0"/>
    <n v="0"/>
    <s v="-"/>
    <s v="-"/>
    <n v="0"/>
  </r>
  <r>
    <x v="91"/>
    <s v="Den Haag, ZH, NL"/>
    <n v="106"/>
    <n v="0.1226"/>
    <n v="13"/>
    <n v="2"/>
    <n v="0.15380000000000002"/>
    <n v="1.2"/>
    <n v="7.79"/>
    <n v="15.58"/>
  </r>
  <r>
    <x v="91"/>
    <s v="Leiden, ZH, NL"/>
    <n v="118"/>
    <n v="0.1186"/>
    <n v="14"/>
    <n v="1"/>
    <n v="7.1399999999999991E-2"/>
    <n v="0.88"/>
    <n v="12.28"/>
    <n v="12.28"/>
  </r>
  <r>
    <x v="91"/>
    <s v="Leiden, ZH, NL"/>
    <n v="4"/>
    <n v="0"/>
    <n v="0"/>
    <n v="0"/>
    <n v="0"/>
    <s v="-"/>
    <s v="-"/>
    <n v="0"/>
  </r>
  <r>
    <x v="92"/>
    <s v="Veghel, NB, NL"/>
    <n v="183"/>
    <n v="7.6499999999999999E-2"/>
    <n v="14"/>
    <n v="1"/>
    <n v="7.1399999999999991E-2"/>
    <n v="0.79"/>
    <n v="11.03"/>
    <n v="11.03"/>
  </r>
  <r>
    <x v="93"/>
    <s v="Veghel, NB, NL"/>
    <n v="275"/>
    <n v="0.08"/>
    <n v="22"/>
    <n v="5"/>
    <n v="0.2273"/>
    <n v="1.24"/>
    <n v="5.47"/>
    <n v="27.34"/>
  </r>
  <r>
    <x v="93"/>
    <s v="Veghel, NB, NL"/>
    <n v="149"/>
    <n v="0.11410000000000001"/>
    <n v="17"/>
    <n v="2"/>
    <n v="0.1176"/>
    <n v="0.6"/>
    <n v="5.0999999999999996"/>
    <n v="10.199999999999999"/>
  </r>
  <r>
    <x v="94"/>
    <s v="Borculo, GE, NL"/>
    <n v="319"/>
    <n v="6.2699999999999992E-2"/>
    <n v="20"/>
    <n v="1"/>
    <n v="0.05"/>
    <n v="0.36"/>
    <n v="7.1"/>
    <n v="7.1"/>
  </r>
  <r>
    <x v="94"/>
    <s v="Borculo, GE, NL"/>
    <n v="131"/>
    <n v="7.6299999999999993E-2"/>
    <n v="10"/>
    <n v="0"/>
    <n v="0"/>
    <n v="0"/>
    <s v="-"/>
    <n v="0"/>
  </r>
  <r>
    <x v="94"/>
    <s v="Wijster, DR, NL"/>
    <n v="44"/>
    <n v="9.0899999999999995E-2"/>
    <n v="4"/>
    <n v="0"/>
    <n v="0"/>
    <n v="0"/>
    <s v="-"/>
    <n v="0"/>
  </r>
  <r>
    <x v="94"/>
    <s v="Wijster, DR, NL"/>
    <n v="95"/>
    <n v="2.1099999999999997E-2"/>
    <n v="2"/>
    <n v="0"/>
    <n v="0"/>
    <n v="0"/>
    <s v="-"/>
    <n v="0"/>
  </r>
  <r>
    <x v="95"/>
    <s v="Wageningen, GE, NL"/>
    <n v="728"/>
    <n v="7.9699999999999993E-2"/>
    <n v="58"/>
    <n v="10"/>
    <n v="0.1724"/>
    <n v="0.26"/>
    <n v="1.53"/>
    <n v="15.3"/>
  </r>
  <r>
    <x v="96"/>
    <s v="Eindhoven, NB, NL"/>
    <n v="0"/>
    <n v="0"/>
    <n v="0"/>
    <n v="0"/>
    <n v="0"/>
    <s v="-"/>
    <s v="-"/>
    <n v="0"/>
  </r>
  <r>
    <x v="97"/>
    <s v="Eindhoven, NB, NL"/>
    <n v="363"/>
    <n v="7.1599999999999997E-2"/>
    <n v="26"/>
    <n v="3"/>
    <n v="0.11539999999999999"/>
    <n v="0.65"/>
    <n v="5.59"/>
    <n v="16.78"/>
  </r>
  <r>
    <x v="98"/>
    <s v="Groningen, GR, NL"/>
    <n v="28"/>
    <n v="7.1399999999999991E-2"/>
    <n v="2"/>
    <n v="0"/>
    <n v="0"/>
    <n v="0"/>
    <s v="-"/>
    <n v="0"/>
  </r>
  <r>
    <x v="98"/>
    <s v="Maarssen, UT, NL"/>
    <n v="6"/>
    <n v="0.16670000000000001"/>
    <n v="1"/>
    <n v="0"/>
    <n v="0"/>
    <n v="0"/>
    <s v="-"/>
    <n v="0"/>
  </r>
  <r>
    <x v="99"/>
    <s v="Amersfoort, UT, NL"/>
    <n v="414"/>
    <n v="0.13289999999999999"/>
    <n v="55"/>
    <n v="3"/>
    <n v="5.45E-2"/>
    <n v="0.36"/>
    <n v="6.6"/>
    <n v="19.8"/>
  </r>
  <r>
    <x v="99"/>
    <s v="UT, NL"/>
    <n v="174"/>
    <n v="0.13789999999999999"/>
    <n v="24"/>
    <n v="3"/>
    <n v="0.125"/>
    <n v="0.33"/>
    <n v="2.66"/>
    <n v="7.98"/>
  </r>
  <r>
    <x v="99"/>
    <s v="Amersfoort, UT, NL"/>
    <n v="443"/>
    <n v="0.1016"/>
    <n v="45"/>
    <n v="2"/>
    <n v="4.4400000000000002E-2"/>
    <n v="0.13"/>
    <n v="2.95"/>
    <n v="5.9"/>
  </r>
  <r>
    <x v="99"/>
    <s v="UT, NL"/>
    <n v="42"/>
    <n v="4.7599999999999996E-2"/>
    <n v="2"/>
    <n v="0"/>
    <n v="0"/>
    <n v="0"/>
    <s v="-"/>
    <n v="0"/>
  </r>
  <r>
    <x v="100"/>
    <s v="Nijmegen, GE, NL"/>
    <n v="131"/>
    <n v="4.58E-2"/>
    <n v="6"/>
    <n v="0"/>
    <n v="0"/>
    <n v="0"/>
    <s v="-"/>
    <n v="0"/>
  </r>
  <r>
    <x v="101"/>
    <s v="Veldhoven, NB, NL"/>
    <n v="37"/>
    <n v="0"/>
    <n v="0"/>
    <n v="0"/>
    <n v="0"/>
    <s v="-"/>
    <s v="-"/>
    <n v="0"/>
  </r>
  <r>
    <x v="102"/>
    <s v="Eindhoven, NB, NL"/>
    <n v="335"/>
    <n v="6.5700000000000008E-2"/>
    <n v="22"/>
    <n v="0"/>
    <n v="0"/>
    <n v="0"/>
    <s v="-"/>
    <n v="0"/>
  </r>
  <r>
    <x v="102"/>
    <s v="Eindhoven, NB, NL"/>
    <n v="258"/>
    <n v="5.8099999999999999E-2"/>
    <n v="15"/>
    <n v="2"/>
    <n v="0.1333"/>
    <n v="0.46"/>
    <n v="3.46"/>
    <n v="6.92"/>
  </r>
  <r>
    <x v="103"/>
    <s v="Venlo, LI, NL"/>
    <n v="1180"/>
    <n v="8.8100000000000012E-2"/>
    <n v="104"/>
    <n v="5"/>
    <n v="4.8099999999999997E-2"/>
    <n v="0.28000000000000003"/>
    <n v="5.75"/>
    <n v="28.74"/>
  </r>
  <r>
    <x v="103"/>
    <s v="Hoogeveen, DR, NL"/>
    <n v="150"/>
    <n v="0.1"/>
    <n v="15"/>
    <n v="2"/>
    <n v="0.1333"/>
    <n v="1.3"/>
    <n v="9.74"/>
    <n v="19.47"/>
  </r>
  <r>
    <x v="103"/>
    <s v="Groningen, GR, NL"/>
    <n v="95"/>
    <n v="0.10529999999999999"/>
    <n v="10"/>
    <n v="2"/>
    <n v="0.2"/>
    <n v="1.54"/>
    <n v="7.69"/>
    <n v="15.38"/>
  </r>
  <r>
    <x v="103"/>
    <s v="Drachten, FR, NL"/>
    <n v="124"/>
    <n v="0.121"/>
    <n v="15"/>
    <n v="1"/>
    <n v="6.6699999999999995E-2"/>
    <n v="0.64"/>
    <n v="9.5500000000000007"/>
    <n v="9.5500000000000007"/>
  </r>
  <r>
    <x v="103"/>
    <s v="Emmeloord, FL, NL"/>
    <n v="19"/>
    <n v="5.2600000000000001E-2"/>
    <n v="1"/>
    <n v="1"/>
    <n v="1"/>
    <n v="9.5500000000000007"/>
    <n v="9.5500000000000007"/>
    <n v="9.5500000000000007"/>
  </r>
  <r>
    <x v="104"/>
    <s v="Zaandam, NH, NL"/>
    <n v="4078"/>
    <n v="6.4500000000000002E-2"/>
    <n v="263"/>
    <n v="15"/>
    <n v="5.7000000000000002E-2"/>
    <n v="0.28999999999999998"/>
    <n v="5.08"/>
    <n v="76.260000000000005"/>
  </r>
  <r>
    <x v="105"/>
    <s v="Groningen, GR, NL"/>
    <n v="664"/>
    <n v="0.11449999999999999"/>
    <n v="76"/>
    <n v="2"/>
    <n v="2.63E-2"/>
    <n v="0.05"/>
    <n v="1.76"/>
    <n v="3.51"/>
  </r>
  <r>
    <x v="106"/>
    <s v="Hengelo OV, OV, NL"/>
    <n v="3373"/>
    <n v="9.69E-2"/>
    <n v="327"/>
    <n v="28"/>
    <n v="8.5600000000000009E-2"/>
    <n v="0.28000000000000003"/>
    <n v="3.25"/>
    <n v="90.9"/>
  </r>
  <r>
    <x v="106"/>
    <s v="Amersfoort, UT, NL"/>
    <n v="976"/>
    <n v="6.0499999999999998E-2"/>
    <n v="59"/>
    <n v="7"/>
    <n v="0.1186"/>
    <n v="0.35"/>
    <n v="2.99"/>
    <n v="20.93"/>
  </r>
  <r>
    <x v="107"/>
    <s v="Maasdam, ZH, NL"/>
    <n v="299"/>
    <n v="5.0199999999999995E-2"/>
    <n v="15"/>
    <n v="0"/>
    <n v="0"/>
    <n v="0"/>
    <s v="-"/>
    <n v="0"/>
  </r>
  <r>
    <x v="108"/>
    <s v="Delft, ZH, NL"/>
    <n v="4602"/>
    <n v="0.12210000000000001"/>
    <n v="562"/>
    <n v="72"/>
    <n v="0.12809999999999999"/>
    <n v="0.32"/>
    <n v="2.4900000000000002"/>
    <n v="179.12"/>
  </r>
  <r>
    <x v="109"/>
    <s v="Delfzijl, GR, NL"/>
    <n v="140"/>
    <n v="6.4299999999999996E-2"/>
    <n v="9"/>
    <n v="0"/>
    <n v="0"/>
    <n v="0"/>
    <s v="-"/>
    <n v="0"/>
  </r>
  <r>
    <x v="109"/>
    <s v="Doetinchem, GE, NL"/>
    <n v="2303"/>
    <n v="9.4200000000000006E-2"/>
    <n v="217"/>
    <n v="3"/>
    <n v="1.38E-2"/>
    <n v="0.06"/>
    <n v="4.32"/>
    <n v="12.96"/>
  </r>
  <r>
    <x v="109"/>
    <s v="Amsterdam, NH, NL"/>
    <n v="983"/>
    <n v="6.0999999999999999E-2"/>
    <n v="60"/>
    <n v="8"/>
    <n v="0.1333"/>
    <n v="1.18"/>
    <n v="8.82"/>
    <n v="70.59"/>
  </r>
  <r>
    <x v="109"/>
    <s v="Delft, ZH, NL"/>
    <n v="1451"/>
    <n v="5.1699999999999996E-2"/>
    <n v="75"/>
    <n v="6"/>
    <n v="0.08"/>
    <n v="1.34"/>
    <n v="16.79"/>
    <n v="100.76"/>
  </r>
  <r>
    <x v="109"/>
    <s v="Leiden, ZH, NL"/>
    <n v="1370"/>
    <n v="3.5799999999999998E-2"/>
    <n v="49"/>
    <n v="4"/>
    <n v="8.1600000000000006E-2"/>
    <n v="2.0499999999999998"/>
    <n v="25.17"/>
    <n v="100.67"/>
  </r>
  <r>
    <x v="109"/>
    <s v="Delft, ZH, NL"/>
    <n v="154"/>
    <n v="3.9E-2"/>
    <n v="6"/>
    <n v="1"/>
    <n v="0.16670000000000001"/>
    <n v="1.1599999999999999"/>
    <n v="6.94"/>
    <n v="6.94"/>
  </r>
  <r>
    <x v="109"/>
    <s v="Delft, ZH, NL"/>
    <n v="60"/>
    <n v="6.6699999999999995E-2"/>
    <n v="4"/>
    <n v="0"/>
    <n v="0"/>
    <n v="0"/>
    <s v="-"/>
    <n v="0"/>
  </r>
  <r>
    <x v="109"/>
    <s v="Rotterdam, ZH, NL"/>
    <n v="22"/>
    <n v="4.5499999999999999E-2"/>
    <n v="1"/>
    <n v="0"/>
    <n v="0"/>
    <n v="0"/>
    <s v="-"/>
    <n v="0"/>
  </r>
  <r>
    <x v="109"/>
    <s v="Dordrecht, ZH, NL"/>
    <n v="817"/>
    <n v="8.6899999999999991E-2"/>
    <n v="71"/>
    <n v="2"/>
    <n v="2.8199999999999999E-2"/>
    <n v="0.35"/>
    <n v="12.3"/>
    <n v="24.6"/>
  </r>
  <r>
    <x v="109"/>
    <s v="Duiven, GE, NL"/>
    <n v="476"/>
    <n v="0.14499999999999999"/>
    <n v="69"/>
    <n v="1"/>
    <n v="1.4499999999999999E-2"/>
    <n v="0.16"/>
    <n v="10.97"/>
    <n v="10.97"/>
  </r>
  <r>
    <x v="109"/>
    <s v="Dordrecht, ZH, NL"/>
    <n v="260"/>
    <n v="0.1231"/>
    <n v="32"/>
    <n v="1"/>
    <n v="3.1300000000000001E-2"/>
    <n v="0.57999999999999996"/>
    <n v="18.48"/>
    <n v="18.48"/>
  </r>
  <r>
    <x v="109"/>
    <s v="Amsterdam, NH, NL"/>
    <n v="564"/>
    <n v="3.9E-2"/>
    <n v="22"/>
    <n v="2"/>
    <n v="9.0899999999999995E-2"/>
    <n v="0.66"/>
    <n v="7.26"/>
    <n v="14.51"/>
  </r>
  <r>
    <x v="109"/>
    <s v="Diemen, NH, NL"/>
    <n v="485"/>
    <n v="2.2700000000000001E-2"/>
    <n v="11"/>
    <n v="1"/>
    <n v="9.0899999999999995E-2"/>
    <n v="1.66"/>
    <n v="18.260000000000002"/>
    <n v="18.260000000000002"/>
  </r>
  <r>
    <x v="109"/>
    <s v="Amsterdam, NH, NL"/>
    <n v="161"/>
    <n v="4.3499999999999997E-2"/>
    <n v="7"/>
    <n v="1"/>
    <n v="0.1429"/>
    <n v="0.73"/>
    <n v="5.0999999999999996"/>
    <n v="5.0999999999999996"/>
  </r>
  <r>
    <x v="109"/>
    <s v="Velsen-Noord, NH, NL"/>
    <n v="99"/>
    <n v="3.0299999999999997E-2"/>
    <n v="3"/>
    <n v="0"/>
    <n v="0"/>
    <n v="0"/>
    <s v="-"/>
    <n v="0"/>
  </r>
  <r>
    <x v="109"/>
    <s v="Groningen, GR, NL"/>
    <n v="1663"/>
    <n v="9.0800000000000006E-2"/>
    <n v="151"/>
    <n v="4"/>
    <n v="2.6499999999999999E-2"/>
    <n v="0.17"/>
    <n v="6.29"/>
    <n v="25.17"/>
  </r>
  <r>
    <x v="109"/>
    <s v="Groningen, GR, NL"/>
    <n v="1049"/>
    <n v="7.4400000000000008E-2"/>
    <n v="78"/>
    <n v="0"/>
    <n v="0"/>
    <n v="0"/>
    <s v="-"/>
    <n v="0"/>
  </r>
  <r>
    <x v="109"/>
    <s v="Enschede, OV, NL"/>
    <n v="472"/>
    <n v="2.9700000000000001E-2"/>
    <n v="14"/>
    <n v="2"/>
    <n v="0.1429"/>
    <n v="0.92"/>
    <n v="6.42"/>
    <n v="12.84"/>
  </r>
  <r>
    <x v="109"/>
    <s v="Schiphol, NH, NL"/>
    <n v="809"/>
    <n v="6.0599999999999994E-2"/>
    <n v="49"/>
    <n v="2"/>
    <n v="4.0800000000000003E-2"/>
    <n v="0.18"/>
    <n v="4.53"/>
    <n v="9.0500000000000007"/>
  </r>
  <r>
    <x v="110"/>
    <s v="Amsterdam, NH, NL"/>
    <n v="120"/>
    <n v="9.1700000000000004E-2"/>
    <n v="11"/>
    <n v="1"/>
    <n v="9.0899999999999995E-2"/>
    <n v="1.19"/>
    <n v="13.07"/>
    <n v="13.07"/>
  </r>
  <r>
    <x v="110"/>
    <s v="Amsterdam, NH, NL"/>
    <n v="69"/>
    <n v="0.1449"/>
    <n v="10"/>
    <n v="4"/>
    <n v="0.4"/>
    <n v="1.65"/>
    <n v="4.1100000000000003"/>
    <n v="16.45"/>
  </r>
  <r>
    <x v="110"/>
    <s v="Delft, ZH, NL"/>
    <n v="145"/>
    <n v="0.1724"/>
    <n v="25"/>
    <n v="4"/>
    <n v="0.16"/>
    <n v="1.43"/>
    <n v="8.9499999999999993"/>
    <n v="35.799999999999997"/>
  </r>
  <r>
    <x v="110"/>
    <s v="Delft, ZH, NL"/>
    <n v="753"/>
    <n v="0.1328"/>
    <n v="100"/>
    <n v="3"/>
    <n v="0.03"/>
    <n v="0.11"/>
    <n v="3.75"/>
    <n v="11.24"/>
  </r>
  <r>
    <x v="110"/>
    <s v="Utrecht, UT, NL"/>
    <n v="422"/>
    <n v="0.11609999999999999"/>
    <n v="49"/>
    <n v="3"/>
    <n v="6.1200000000000004E-2"/>
    <n v="0.36"/>
    <n v="5.89"/>
    <n v="17.66"/>
  </r>
  <r>
    <x v="110"/>
    <s v="Foxhol, GR, NL"/>
    <n v="25"/>
    <n v="0.24"/>
    <n v="6"/>
    <n v="1"/>
    <n v="0.16670000000000001"/>
    <n v="0.28000000000000003"/>
    <n v="1.7"/>
    <n v="1.7"/>
  </r>
  <r>
    <x v="110"/>
    <s v="Groningen, GR, NL"/>
    <n v="35"/>
    <n v="5.7099999999999998E-2"/>
    <n v="2"/>
    <n v="0"/>
    <n v="0"/>
    <n v="0"/>
    <s v="-"/>
    <n v="0"/>
  </r>
  <r>
    <x v="110"/>
    <s v="Gasselternijveen, DR, NL"/>
    <n v="33"/>
    <n v="6.0599999999999994E-2"/>
    <n v="2"/>
    <n v="0"/>
    <n v="0"/>
    <n v="0"/>
    <s v="-"/>
    <n v="0"/>
  </r>
  <r>
    <x v="110"/>
    <s v="Utrecht, UT, NL"/>
    <n v="7"/>
    <n v="0"/>
    <n v="0"/>
    <n v="0"/>
    <n v="0"/>
    <s v="-"/>
    <s v="-"/>
    <n v="0"/>
  </r>
  <r>
    <x v="110"/>
    <s v="Amsterdam, NH, NL"/>
    <n v="665"/>
    <n v="5.7099999999999998E-2"/>
    <n v="38"/>
    <n v="2"/>
    <n v="5.2600000000000001E-2"/>
    <n v="1.02"/>
    <n v="19.29"/>
    <n v="38.58"/>
  </r>
  <r>
    <x v="110"/>
    <s v="Utrecht, UT, NL"/>
    <n v="470"/>
    <n v="3.6200000000000003E-2"/>
    <n v="17"/>
    <n v="2"/>
    <n v="0.1176"/>
    <n v="2.85"/>
    <n v="24.22"/>
    <n v="48.43"/>
  </r>
  <r>
    <x v="110"/>
    <s v="Utrecht, UT, NL"/>
    <n v="90"/>
    <n v="3.3300000000000003E-2"/>
    <n v="3"/>
    <n v="2"/>
    <n v="0.66670000000000007"/>
    <n v="13.64"/>
    <n v="20.46"/>
    <n v="40.92"/>
  </r>
  <r>
    <x v="110"/>
    <s v="Amsterdam, NH, NL"/>
    <n v="49"/>
    <n v="8.1600000000000006E-2"/>
    <n v="4"/>
    <n v="0"/>
    <n v="0"/>
    <n v="0"/>
    <s v="-"/>
    <n v="0"/>
  </r>
  <r>
    <x v="110"/>
    <s v="Amsterdam, NH, NL"/>
    <n v="13"/>
    <n v="7.690000000000001E-2"/>
    <n v="1"/>
    <n v="0"/>
    <n v="0"/>
    <n v="0"/>
    <s v="-"/>
    <n v="0"/>
  </r>
  <r>
    <x v="110"/>
    <s v="Utrecht, UT, NL"/>
    <n v="30"/>
    <n v="0.2"/>
    <n v="6"/>
    <n v="0"/>
    <n v="0"/>
    <n v="2.91"/>
    <n v="4.37"/>
    <n v="17.48"/>
  </r>
  <r>
    <x v="110"/>
    <s v="Rotterdam, ZH, NL"/>
    <n v="28"/>
    <n v="0.10710000000000001"/>
    <n v="3"/>
    <n v="0"/>
    <n v="0"/>
    <n v="0"/>
    <n v="0"/>
    <n v="0"/>
  </r>
  <r>
    <x v="110"/>
    <s v="Amsterdam, NH, NL"/>
    <n v="1461"/>
    <n v="8.4199999999999997E-2"/>
    <n v="123"/>
    <n v="14"/>
    <n v="0.11380000000000001"/>
    <n v="1.72"/>
    <n v="15.12"/>
    <n v="211.65"/>
  </r>
  <r>
    <x v="110"/>
    <s v="Rotterdam, ZH, NL"/>
    <n v="1395"/>
    <n v="0.1176"/>
    <n v="164"/>
    <n v="12"/>
    <n v="7.3200000000000001E-2"/>
    <n v="0.87"/>
    <n v="11.9"/>
    <n v="142.80000000000001"/>
  </r>
  <r>
    <x v="110"/>
    <s v="NL"/>
    <n v="2045"/>
    <n v="9.0500000000000011E-2"/>
    <n v="185"/>
    <n v="11"/>
    <n v="5.9500000000000004E-2"/>
    <n v="0.27"/>
    <n v="4.62"/>
    <n v="50.86"/>
  </r>
  <r>
    <x v="110"/>
    <s v="Utrecht, UT, NL"/>
    <n v="1034"/>
    <n v="0.10640000000000001"/>
    <n v="110"/>
    <n v="7"/>
    <n v="6.3600000000000004E-2"/>
    <n v="1.1100000000000001"/>
    <n v="17.45"/>
    <n v="122.14"/>
  </r>
  <r>
    <x v="110"/>
    <s v="Rotterdam, ZH, NL"/>
    <n v="247"/>
    <n v="8.5000000000000006E-2"/>
    <n v="21"/>
    <n v="3"/>
    <n v="0.1429"/>
    <n v="0.33"/>
    <n v="2.2999999999999998"/>
    <n v="6.91"/>
  </r>
  <r>
    <x v="110"/>
    <s v="Utrecht, UT, NL"/>
    <n v="227"/>
    <n v="6.6100000000000006E-2"/>
    <n v="15"/>
    <n v="0"/>
    <n v="0"/>
    <n v="0"/>
    <s v="-"/>
    <n v="0"/>
  </r>
  <r>
    <x v="110"/>
    <s v="Rotterdam, ZH, NL"/>
    <n v="70"/>
    <n v="0.12859999999999999"/>
    <n v="9"/>
    <n v="0"/>
    <n v="0"/>
    <n v="0"/>
    <s v="-"/>
    <n v="0"/>
  </r>
  <r>
    <x v="110"/>
    <s v="Amsterdam, NH, NL"/>
    <n v="115"/>
    <n v="6.0899999999999996E-2"/>
    <n v="7"/>
    <n v="0"/>
    <n v="0"/>
    <n v="0"/>
    <s v="-"/>
    <n v="0"/>
  </r>
  <r>
    <x v="110"/>
    <s v="Utrecht, UT, NL"/>
    <n v="108"/>
    <n v="5.5599999999999997E-2"/>
    <n v="6"/>
    <n v="0"/>
    <n v="0"/>
    <n v="0"/>
    <s v="-"/>
    <n v="0"/>
  </r>
  <r>
    <x v="110"/>
    <s v="Amsterdam, NH, NL"/>
    <n v="28"/>
    <n v="0.10710000000000001"/>
    <n v="3"/>
    <n v="0"/>
    <n v="0"/>
    <n v="0"/>
    <s v="-"/>
    <n v="0"/>
  </r>
  <r>
    <x v="110"/>
    <s v="Amsterdam, NH, NL"/>
    <n v="426"/>
    <n v="5.8700000000000002E-2"/>
    <n v="25"/>
    <n v="2"/>
    <n v="0.08"/>
    <n v="0.97"/>
    <n v="12.13"/>
    <n v="24.26"/>
  </r>
  <r>
    <x v="110"/>
    <s v="Rotterdam, ZH, NL"/>
    <n v="81"/>
    <n v="9.8800000000000013E-2"/>
    <n v="8"/>
    <n v="0"/>
    <n v="0"/>
    <n v="0"/>
    <s v="-"/>
    <n v="0"/>
  </r>
  <r>
    <x v="110"/>
    <s v="Amsterdam, NH, NL"/>
    <n v="59"/>
    <n v="5.0799999999999998E-2"/>
    <n v="3"/>
    <n v="0"/>
    <n v="0"/>
    <n v="0"/>
    <s v="-"/>
    <n v="0"/>
  </r>
  <r>
    <x v="110"/>
    <s v="Amsterdam, NH, NL"/>
    <n v="4"/>
    <n v="0.25"/>
    <n v="1"/>
    <n v="0"/>
    <n v="0"/>
    <n v="0"/>
    <s v="-"/>
    <n v="0"/>
  </r>
  <r>
    <x v="110"/>
    <s v="Delft, ZH, NL"/>
    <n v="170"/>
    <n v="3.5299999999999998E-2"/>
    <n v="6"/>
    <n v="1"/>
    <n v="0.16670000000000001"/>
    <n v="1.0900000000000001"/>
    <n v="6.53"/>
    <n v="6.53"/>
  </r>
  <r>
    <x v="110"/>
    <s v="Delft, ZH, NL"/>
    <n v="150"/>
    <n v="2.6699999999999998E-2"/>
    <n v="4"/>
    <n v="1"/>
    <n v="0.25"/>
    <n v="1.01"/>
    <n v="4.03"/>
    <n v="4.03"/>
  </r>
  <r>
    <x v="110"/>
    <s v="Delft, ZH, NL"/>
    <n v="324"/>
    <n v="4.0099999999999997E-2"/>
    <n v="13"/>
    <n v="0"/>
    <n v="0"/>
    <n v="0"/>
    <s v="-"/>
    <n v="0"/>
  </r>
  <r>
    <x v="110"/>
    <s v="Amsterdam, NH, NL"/>
    <n v="167"/>
    <n v="5.9900000000000002E-2"/>
    <n v="10"/>
    <n v="0"/>
    <n v="0"/>
    <n v="0"/>
    <s v="-"/>
    <n v="0"/>
  </r>
  <r>
    <x v="110"/>
    <s v="Delft, ZH, NL"/>
    <n v="111"/>
    <n v="4.4999999999999998E-2"/>
    <n v="5"/>
    <n v="0"/>
    <n v="0"/>
    <n v="0"/>
    <s v="-"/>
    <n v="0"/>
  </r>
  <r>
    <x v="110"/>
    <s v="Delft, ZH, NL"/>
    <n v="65"/>
    <n v="3.0800000000000001E-2"/>
    <n v="2"/>
    <n v="0"/>
    <n v="0"/>
    <n v="0"/>
    <s v="-"/>
    <n v="0"/>
  </r>
  <r>
    <x v="110"/>
    <s v="Delft, ZH, NL"/>
    <n v="36"/>
    <n v="5.5599999999999997E-2"/>
    <n v="2"/>
    <n v="0"/>
    <n v="0"/>
    <n v="0"/>
    <s v="-"/>
    <n v="0"/>
  </r>
  <r>
    <x v="110"/>
    <s v="Delft, ZH, NL"/>
    <n v="22"/>
    <n v="4.5499999999999999E-2"/>
    <n v="1"/>
    <n v="0"/>
    <n v="0"/>
    <n v="0"/>
    <s v="-"/>
    <n v="0"/>
  </r>
  <r>
    <x v="110"/>
    <s v="Amsterdam, NH, NL"/>
    <n v="74"/>
    <n v="6.7599999999999993E-2"/>
    <n v="5"/>
    <n v="0"/>
    <n v="0"/>
    <n v="0"/>
    <s v="-"/>
    <n v="0"/>
  </r>
  <r>
    <x v="110"/>
    <s v="Delft, ZH, NL"/>
    <n v="108"/>
    <n v="2.7799999999999998E-2"/>
    <n v="3"/>
    <n v="0"/>
    <n v="0"/>
    <n v="0"/>
    <s v="-"/>
    <n v="0"/>
  </r>
  <r>
    <x v="110"/>
    <s v="Delft, ZH, NL"/>
    <n v="39"/>
    <n v="7.690000000000001E-2"/>
    <n v="3"/>
    <n v="0"/>
    <n v="0"/>
    <n v="0"/>
    <s v="-"/>
    <n v="0"/>
  </r>
  <r>
    <x v="110"/>
    <s v="Delft, ZH, NL"/>
    <n v="64"/>
    <n v="4.6900000000000004E-2"/>
    <n v="3"/>
    <n v="0"/>
    <n v="0"/>
    <n v="0"/>
    <s v="-"/>
    <n v="0"/>
  </r>
  <r>
    <x v="110"/>
    <s v="Delft, ZH, NL"/>
    <n v="27"/>
    <n v="3.7000000000000005E-2"/>
    <n v="1"/>
    <n v="0"/>
    <n v="0"/>
    <n v="0"/>
    <s v="-"/>
    <n v="0"/>
  </r>
  <r>
    <x v="110"/>
    <s v="Delft, ZH, NL"/>
    <n v="47"/>
    <n v="0"/>
    <n v="0"/>
    <n v="0"/>
    <n v="0"/>
    <s v="-"/>
    <s v="-"/>
    <n v="0"/>
  </r>
  <r>
    <x v="110"/>
    <s v="Delft, ZH, NL"/>
    <n v="19"/>
    <n v="0"/>
    <n v="0"/>
    <n v="0"/>
    <n v="0"/>
    <s v="-"/>
    <s v="-"/>
    <n v="0"/>
  </r>
  <r>
    <x v="110"/>
    <s v="Delft, ZH, NL"/>
    <n v="454"/>
    <n v="7.4900000000000008E-2"/>
    <n v="34"/>
    <n v="3"/>
    <n v="8.8200000000000001E-2"/>
    <n v="0.66"/>
    <n v="7.43"/>
    <n v="22.28"/>
  </r>
  <r>
    <x v="110"/>
    <s v="Delft, ZH, NL"/>
    <n v="241"/>
    <n v="5.3899999999999997E-2"/>
    <n v="13"/>
    <n v="2"/>
    <n v="0.15380000000000002"/>
    <n v="0.61"/>
    <n v="3.95"/>
    <n v="7.9"/>
  </r>
  <r>
    <x v="110"/>
    <s v="Delft, ZH, NL"/>
    <n v="306"/>
    <n v="7.1900000000000006E-2"/>
    <n v="22"/>
    <n v="1"/>
    <n v="4.5499999999999999E-2"/>
    <n v="0.51"/>
    <n v="11.28"/>
    <n v="11.28"/>
  </r>
  <r>
    <x v="110"/>
    <s v="Delft, ZH, NL"/>
    <n v="129"/>
    <n v="7.7499999999999999E-2"/>
    <n v="10"/>
    <n v="1"/>
    <n v="0.1"/>
    <n v="1.5"/>
    <n v="15.04"/>
    <n v="15.04"/>
  </r>
  <r>
    <x v="110"/>
    <s v="Delft, ZH, NL"/>
    <n v="185"/>
    <n v="5.4100000000000002E-2"/>
    <n v="10"/>
    <n v="1"/>
    <n v="0.1"/>
    <n v="0.45"/>
    <n v="4.4800000000000004"/>
    <n v="4.4800000000000004"/>
  </r>
  <r>
    <x v="110"/>
    <s v="Delft, ZH, NL"/>
    <n v="112"/>
    <n v="7.1399999999999991E-2"/>
    <n v="8"/>
    <n v="1"/>
    <n v="0.125"/>
    <n v="1.48"/>
    <n v="11.81"/>
    <n v="11.81"/>
  </r>
  <r>
    <x v="110"/>
    <s v="Amsterdam, NH, NL"/>
    <n v="169"/>
    <n v="4.1399999999999999E-2"/>
    <n v="7"/>
    <n v="0"/>
    <n v="0"/>
    <n v="0"/>
    <s v="-"/>
    <n v="0"/>
  </r>
  <r>
    <x v="110"/>
    <s v="Delft, ZH, NL"/>
    <n v="50"/>
    <n v="0.12"/>
    <n v="6"/>
    <n v="0"/>
    <n v="0"/>
    <n v="0"/>
    <s v="-"/>
    <n v="0"/>
  </r>
  <r>
    <x v="110"/>
    <s v="Utrecht, UT, NL"/>
    <n v="1"/>
    <n v="0"/>
    <n v="0"/>
    <n v="0"/>
    <n v="0"/>
    <s v="-"/>
    <s v="-"/>
    <n v="0"/>
  </r>
  <r>
    <x v="110"/>
    <s v="Utrecht, UT, NL"/>
    <n v="303"/>
    <n v="8.2500000000000004E-2"/>
    <n v="25"/>
    <n v="1"/>
    <n v="0.04"/>
    <n v="0.81"/>
    <n v="20.13"/>
    <n v="20.13"/>
  </r>
  <r>
    <x v="110"/>
    <s v="Utrecht, UT, NL"/>
    <n v="68"/>
    <n v="4.41E-2"/>
    <n v="3"/>
    <n v="0"/>
    <n v="0"/>
    <n v="0"/>
    <s v="-"/>
    <n v="0"/>
  </r>
  <r>
    <x v="110"/>
    <s v="Rotterdam, ZH, NL"/>
    <n v="71"/>
    <n v="4.2300000000000004E-2"/>
    <n v="3"/>
    <n v="1"/>
    <n v="0.33329999999999999"/>
    <n v="2.1"/>
    <n v="6.29"/>
    <n v="6.29"/>
  </r>
  <r>
    <x v="110"/>
    <s v="Amsterdam, NH, NL"/>
    <n v="88"/>
    <n v="4.5499999999999999E-2"/>
    <n v="4"/>
    <n v="0"/>
    <n v="0"/>
    <n v="0"/>
    <s v="-"/>
    <n v="0"/>
  </r>
  <r>
    <x v="110"/>
    <s v="Utrecht, UT, NL"/>
    <n v="83"/>
    <n v="3.61E-2"/>
    <n v="3"/>
    <n v="0"/>
    <n v="0"/>
    <n v="0"/>
    <s v="-"/>
    <n v="0"/>
  </r>
  <r>
    <x v="110"/>
    <s v="Amsterdam, NH, NL"/>
    <n v="104"/>
    <n v="2.8799999999999999E-2"/>
    <n v="3"/>
    <n v="1"/>
    <n v="0.33329999999999999"/>
    <n v="2.13"/>
    <n v="6.38"/>
    <n v="6.38"/>
  </r>
  <r>
    <x v="110"/>
    <s v="Utrecht, UT, NL"/>
    <n v="92"/>
    <n v="6.5199999999999994E-2"/>
    <n v="6"/>
    <n v="0"/>
    <n v="0"/>
    <n v="0"/>
    <s v="-"/>
    <n v="0"/>
  </r>
  <r>
    <x v="110"/>
    <s v="Rotterdam, ZH, NL"/>
    <n v="197"/>
    <n v="8.1199999999999994E-2"/>
    <n v="16"/>
    <n v="0"/>
    <n v="0"/>
    <n v="0"/>
    <s v="-"/>
    <n v="0"/>
  </r>
  <r>
    <x v="110"/>
    <s v="Sumar, FR, NL"/>
    <n v="26"/>
    <n v="0.23079999999999998"/>
    <n v="6"/>
    <n v="0"/>
    <n v="0"/>
    <n v="0"/>
    <s v="-"/>
    <n v="0"/>
  </r>
  <r>
    <x v="110"/>
    <s v="Amersfoort, UT, NL"/>
    <n v="0"/>
    <n v="0"/>
    <n v="0"/>
    <n v="0"/>
    <n v="0"/>
    <s v="-"/>
    <s v="-"/>
    <n v="0"/>
  </r>
  <r>
    <x v="110"/>
    <s v="Amsterdam, NH, NL"/>
    <n v="85"/>
    <n v="7.0599999999999996E-2"/>
    <n v="6"/>
    <n v="0"/>
    <n v="0"/>
    <n v="0"/>
    <s v="-"/>
    <n v="0"/>
  </r>
  <r>
    <x v="110"/>
    <s v="Amsterdam, NH, NL"/>
    <n v="77"/>
    <n v="5.1900000000000002E-2"/>
    <n v="4"/>
    <n v="1"/>
    <n v="0.25"/>
    <n v="2.89"/>
    <n v="11.57"/>
    <n v="11.57"/>
  </r>
  <r>
    <x v="110"/>
    <s v="Groningen, GR, NL"/>
    <n v="141"/>
    <n v="5.67E-2"/>
    <n v="8"/>
    <n v="3"/>
    <n v="0.375"/>
    <n v="5.83"/>
    <n v="15.55"/>
    <n v="46.64"/>
  </r>
  <r>
    <x v="110"/>
    <s v="Groningen, GR, NL"/>
    <n v="136"/>
    <n v="8.8200000000000001E-2"/>
    <n v="12"/>
    <n v="1"/>
    <n v="8.3299999999999999E-2"/>
    <n v="0.35"/>
    <n v="4.21"/>
    <n v="4.21"/>
  </r>
  <r>
    <x v="110"/>
    <s v="Stadskanaal, GR, NL"/>
    <n v="134"/>
    <n v="8.2100000000000006E-2"/>
    <n v="11"/>
    <n v="1"/>
    <n v="9.0899999999999995E-2"/>
    <n v="0.86"/>
    <n v="9.44"/>
    <n v="9.44"/>
  </r>
  <r>
    <x v="110"/>
    <s v="Veendam, GR, NL"/>
    <n v="147"/>
    <n v="6.1200000000000004E-2"/>
    <n v="9"/>
    <n v="1"/>
    <n v="0.11109999999999999"/>
    <n v="0.86"/>
    <n v="7.75"/>
    <n v="7.75"/>
  </r>
  <r>
    <x v="110"/>
    <s v="Assen, DR, NL"/>
    <n v="125"/>
    <n v="5.5999999999999994E-2"/>
    <n v="7"/>
    <n v="1"/>
    <n v="0.1429"/>
    <n v="1.5"/>
    <n v="10.52"/>
    <n v="10.52"/>
  </r>
  <r>
    <x v="110"/>
    <s v="Leeuwarden, FR, NL"/>
    <n v="128"/>
    <n v="4.6900000000000004E-2"/>
    <n v="6"/>
    <n v="1"/>
    <n v="0.16670000000000001"/>
    <n v="2.15"/>
    <n v="12.91"/>
    <n v="12.91"/>
  </r>
  <r>
    <x v="110"/>
    <s v="Coevorden, DR, NL"/>
    <n v="136"/>
    <n v="3.6799999999999999E-2"/>
    <n v="5"/>
    <n v="1"/>
    <n v="0.2"/>
    <n v="1.73"/>
    <n v="8.6300000000000008"/>
    <n v="8.6300000000000008"/>
  </r>
  <r>
    <x v="110"/>
    <s v="Leeuwarden, FR, NL"/>
    <n v="48"/>
    <n v="6.25E-2"/>
    <n v="3"/>
    <n v="1"/>
    <n v="0.33329999999999999"/>
    <n v="3.38"/>
    <n v="10.14"/>
    <n v="10.14"/>
  </r>
  <r>
    <x v="110"/>
    <s v="Delfzijl, GR, NL"/>
    <n v="55"/>
    <n v="1.8200000000000001E-2"/>
    <n v="1"/>
    <n v="1"/>
    <n v="1"/>
    <n v="8.35"/>
    <n v="8.35"/>
    <n v="8.35"/>
  </r>
  <r>
    <x v="110"/>
    <s v="Drachten, FR, NL"/>
    <n v="165"/>
    <n v="5.45E-2"/>
    <n v="9"/>
    <n v="0"/>
    <n v="0"/>
    <n v="0"/>
    <s v="-"/>
    <n v="0"/>
  </r>
  <r>
    <x v="110"/>
    <s v="Emmen, DR, NL"/>
    <n v="139"/>
    <n v="5.7599999999999998E-2"/>
    <n v="8"/>
    <n v="0"/>
    <n v="0"/>
    <n v="0"/>
    <s v="-"/>
    <n v="0"/>
  </r>
  <r>
    <x v="110"/>
    <s v="Meppel, DR, NL"/>
    <n v="156"/>
    <n v="5.1299999999999998E-2"/>
    <n v="8"/>
    <n v="0"/>
    <n v="0"/>
    <n v="0"/>
    <s v="-"/>
    <n v="0"/>
  </r>
  <r>
    <x v="110"/>
    <s v="Wijster, DR, NL"/>
    <n v="182"/>
    <n v="4.4000000000000004E-2"/>
    <n v="8"/>
    <n v="0"/>
    <n v="0"/>
    <n v="0"/>
    <s v="-"/>
    <n v="0"/>
  </r>
  <r>
    <x v="110"/>
    <s v="Leeuwarden, FR, NL"/>
    <n v="157"/>
    <n v="4.4600000000000001E-2"/>
    <n v="7"/>
    <n v="0"/>
    <n v="0"/>
    <n v="0"/>
    <s v="-"/>
    <n v="0"/>
  </r>
  <r>
    <x v="110"/>
    <s v="Zwolle, OV, NL"/>
    <n v="93"/>
    <n v="6.4500000000000002E-2"/>
    <n v="6"/>
    <n v="0"/>
    <n v="0"/>
    <n v="0"/>
    <s v="-"/>
    <n v="0"/>
  </r>
  <r>
    <x v="110"/>
    <s v="Coevorden, DR, NL"/>
    <n v="59"/>
    <n v="6.7799999999999999E-2"/>
    <n v="4"/>
    <n v="0"/>
    <n v="0"/>
    <n v="0"/>
    <s v="-"/>
    <n v="0"/>
  </r>
  <r>
    <x v="110"/>
    <s v="Meppel, DR, NL"/>
    <n v="46"/>
    <n v="8.6999999999999994E-2"/>
    <n v="4"/>
    <n v="0"/>
    <n v="0"/>
    <n v="0"/>
    <s v="-"/>
    <n v="0"/>
  </r>
  <r>
    <x v="110"/>
    <s v="Drachten, FR, NL"/>
    <n v="69"/>
    <n v="4.3499999999999997E-2"/>
    <n v="3"/>
    <n v="0"/>
    <n v="0"/>
    <n v="0"/>
    <s v="-"/>
    <n v="0"/>
  </r>
  <r>
    <x v="110"/>
    <s v="Veendam, GR, NL"/>
    <n v="91"/>
    <n v="3.3000000000000002E-2"/>
    <n v="3"/>
    <n v="0"/>
    <n v="0"/>
    <n v="0"/>
    <s v="-"/>
    <n v="0"/>
  </r>
  <r>
    <x v="110"/>
    <s v="Heerenveen, FR, NL"/>
    <n v="69"/>
    <n v="4.3499999999999997E-2"/>
    <n v="3"/>
    <n v="0"/>
    <n v="0"/>
    <n v="0"/>
    <s v="-"/>
    <n v="0"/>
  </r>
  <r>
    <x v="110"/>
    <s v="Wijster, DR, NL"/>
    <n v="107"/>
    <n v="2.7999999999999997E-2"/>
    <n v="3"/>
    <n v="0"/>
    <n v="0"/>
    <n v="0"/>
    <s v="-"/>
    <n v="0"/>
  </r>
  <r>
    <x v="110"/>
    <s v="Emmen, DR, NL"/>
    <n v="33"/>
    <n v="9.0899999999999995E-2"/>
    <n v="3"/>
    <n v="0"/>
    <n v="0"/>
    <n v="0"/>
    <s v="-"/>
    <n v="0"/>
  </r>
  <r>
    <x v="110"/>
    <s v="Meppel, DR, NL"/>
    <n v="12"/>
    <n v="0.16670000000000001"/>
    <n v="2"/>
    <n v="0"/>
    <n v="0"/>
    <n v="0"/>
    <s v="-"/>
    <n v="0"/>
  </r>
  <r>
    <x v="110"/>
    <s v="Assen, DR, NL"/>
    <n v="41"/>
    <n v="4.8799999999999996E-2"/>
    <n v="2"/>
    <n v="0"/>
    <n v="0"/>
    <n v="0"/>
    <s v="-"/>
    <n v="0"/>
  </r>
  <r>
    <x v="110"/>
    <s v="Groningen, GR, NL"/>
    <n v="35"/>
    <n v="5.7099999999999998E-2"/>
    <n v="2"/>
    <n v="0"/>
    <n v="0"/>
    <n v="0"/>
    <s v="-"/>
    <n v="0"/>
  </r>
  <r>
    <x v="110"/>
    <s v="Beilen, DR, NL"/>
    <n v="57"/>
    <n v="3.5099999999999999E-2"/>
    <n v="2"/>
    <n v="0"/>
    <n v="0"/>
    <n v="0"/>
    <s v="-"/>
    <n v="0"/>
  </r>
  <r>
    <x v="110"/>
    <s v="Drachten, FR, NL"/>
    <n v="10"/>
    <n v="0.1"/>
    <n v="1"/>
    <n v="0"/>
    <n v="0"/>
    <n v="0"/>
    <s v="-"/>
    <n v="0"/>
  </r>
  <r>
    <x v="110"/>
    <s v="Delft, ZH, NL"/>
    <n v="84"/>
    <n v="7.1399999999999991E-2"/>
    <n v="6"/>
    <n v="1"/>
    <n v="0.16670000000000001"/>
    <n v="2.16"/>
    <n v="12.94"/>
    <n v="12.94"/>
  </r>
  <r>
    <x v="110"/>
    <s v="Delft, ZH, NL"/>
    <n v="291"/>
    <n v="8.5900000000000004E-2"/>
    <n v="25"/>
    <n v="0"/>
    <n v="0"/>
    <n v="0"/>
    <s v="-"/>
    <n v="0"/>
  </r>
  <r>
    <x v="110"/>
    <s v="Amsterdam, NH, NL"/>
    <n v="186"/>
    <n v="3.7599999999999995E-2"/>
    <n v="7"/>
    <n v="0"/>
    <n v="0"/>
    <n v="0"/>
    <s v="-"/>
    <n v="0"/>
  </r>
  <r>
    <x v="110"/>
    <s v="Delft, ZH, NL"/>
    <n v="110"/>
    <n v="4.5499999999999999E-2"/>
    <n v="5"/>
    <n v="0"/>
    <n v="0"/>
    <n v="0"/>
    <s v="-"/>
    <n v="0"/>
  </r>
  <r>
    <x v="110"/>
    <s v="Delft, ZH, NL"/>
    <n v="43"/>
    <n v="9.3000000000000013E-2"/>
    <n v="4"/>
    <n v="0"/>
    <n v="0"/>
    <n v="0"/>
    <s v="-"/>
    <n v="0"/>
  </r>
  <r>
    <x v="110"/>
    <s v="Delft, ZH, NL"/>
    <n v="18"/>
    <n v="5.5599999999999997E-2"/>
    <n v="1"/>
    <n v="0"/>
    <n v="0"/>
    <n v="0"/>
    <s v="-"/>
    <n v="0"/>
  </r>
  <r>
    <x v="110"/>
    <s v="Amsterdam, NH, NL"/>
    <n v="134"/>
    <n v="5.2199999999999996E-2"/>
    <n v="7"/>
    <n v="0"/>
    <n v="0"/>
    <n v="0"/>
    <s v="-"/>
    <n v="0"/>
  </r>
  <r>
    <x v="110"/>
    <s v="Utrecht, UT, NL"/>
    <n v="96"/>
    <n v="4.1700000000000001E-2"/>
    <n v="4"/>
    <n v="0"/>
    <n v="0"/>
    <n v="0"/>
    <s v="-"/>
    <n v="0"/>
  </r>
  <r>
    <x v="110"/>
    <s v="Delft, ZH, NL"/>
    <n v="214"/>
    <n v="1.3999999999999999E-2"/>
    <n v="3"/>
    <n v="0"/>
    <n v="0"/>
    <n v="0"/>
    <s v="-"/>
    <n v="0"/>
  </r>
  <r>
    <x v="110"/>
    <s v="Delft, ZH, NL"/>
    <n v="126"/>
    <n v="2.3799999999999998E-2"/>
    <n v="3"/>
    <n v="0"/>
    <n v="0"/>
    <n v="0"/>
    <s v="-"/>
    <n v="0"/>
  </r>
  <r>
    <x v="110"/>
    <s v="Delft, ZH, NL"/>
    <n v="33"/>
    <n v="6.0599999999999994E-2"/>
    <n v="2"/>
    <n v="0"/>
    <n v="0"/>
    <n v="0"/>
    <s v="-"/>
    <n v="0"/>
  </r>
  <r>
    <x v="110"/>
    <s v="Delft, ZH, NL"/>
    <n v="60"/>
    <n v="1.67E-2"/>
    <n v="1"/>
    <n v="0"/>
    <n v="0"/>
    <n v="0"/>
    <s v="-"/>
    <n v="0"/>
  </r>
  <r>
    <x v="110"/>
    <s v="Delft, ZH, NL"/>
    <n v="28"/>
    <n v="0"/>
    <n v="0"/>
    <n v="0"/>
    <n v="0"/>
    <s v="-"/>
    <s v="-"/>
    <n v="0"/>
  </r>
  <r>
    <x v="110"/>
    <s v="Delft, ZH, NL"/>
    <n v="9"/>
    <n v="0"/>
    <n v="0"/>
    <n v="0"/>
    <n v="0"/>
    <s v="-"/>
    <s v="-"/>
    <n v="0"/>
  </r>
  <r>
    <x v="110"/>
    <s v="Delft, ZH, NL"/>
    <n v="219"/>
    <n v="9.5899999999999999E-2"/>
    <n v="21"/>
    <n v="1"/>
    <n v="4.7599999999999996E-2"/>
    <n v="0.31"/>
    <n v="6.54"/>
    <n v="6.54"/>
  </r>
  <r>
    <x v="110"/>
    <s v="Delft, ZH, NL"/>
    <n v="53"/>
    <n v="5.6600000000000004E-2"/>
    <n v="3"/>
    <n v="1"/>
    <n v="0.33329999999999999"/>
    <n v="8.09"/>
    <n v="24.28"/>
    <n v="24.28"/>
  </r>
  <r>
    <x v="110"/>
    <s v="Delft, ZH, NL"/>
    <n v="378"/>
    <n v="8.199999999999999E-2"/>
    <n v="31"/>
    <n v="0"/>
    <n v="0"/>
    <n v="0"/>
    <s v="-"/>
    <n v="0"/>
  </r>
  <r>
    <x v="110"/>
    <s v="Delft, ZH, NL"/>
    <n v="204"/>
    <n v="7.8399999999999997E-2"/>
    <n v="16"/>
    <n v="0"/>
    <n v="0"/>
    <n v="0"/>
    <s v="-"/>
    <n v="0"/>
  </r>
  <r>
    <x v="110"/>
    <s v="Amsterdam, NH, NL"/>
    <n v="164"/>
    <n v="5.4900000000000004E-2"/>
    <n v="9"/>
    <n v="0"/>
    <n v="0"/>
    <n v="0"/>
    <s v="-"/>
    <n v="0"/>
  </r>
  <r>
    <x v="110"/>
    <s v="Delft, ZH, NL"/>
    <n v="81"/>
    <n v="7.4099999999999999E-2"/>
    <n v="6"/>
    <n v="0"/>
    <n v="0"/>
    <n v="0"/>
    <s v="-"/>
    <n v="0"/>
  </r>
  <r>
    <x v="110"/>
    <s v="Delft, ZH, NL"/>
    <n v="133"/>
    <n v="3.7599999999999995E-2"/>
    <n v="5"/>
    <n v="0"/>
    <n v="0"/>
    <n v="0"/>
    <s v="-"/>
    <n v="0"/>
  </r>
  <r>
    <x v="110"/>
    <s v="Delft, ZH, NL"/>
    <n v="74"/>
    <n v="6.7599999999999993E-2"/>
    <n v="5"/>
    <n v="0"/>
    <n v="0"/>
    <n v="0"/>
    <s v="-"/>
    <n v="0"/>
  </r>
  <r>
    <x v="110"/>
    <s v="Utrecht, UT, NL"/>
    <n v="130"/>
    <n v="1.54E-2"/>
    <n v="2"/>
    <n v="0"/>
    <n v="0"/>
    <n v="0"/>
    <s v="-"/>
    <n v="0"/>
  </r>
  <r>
    <x v="110"/>
    <s v="Amsterdam, NH, NL"/>
    <n v="96"/>
    <n v="0.11460000000000001"/>
    <n v="11"/>
    <n v="3"/>
    <n v="0.2727"/>
    <n v="1.35"/>
    <n v="4.9400000000000004"/>
    <n v="14.81"/>
  </r>
  <r>
    <x v="110"/>
    <s v="Rotterdam, ZH, NL"/>
    <n v="106"/>
    <n v="0.11320000000000001"/>
    <n v="12"/>
    <n v="1"/>
    <n v="8.3299999999999999E-2"/>
    <n v="0.27"/>
    <n v="3.27"/>
    <n v="3.27"/>
  </r>
  <r>
    <x v="110"/>
    <s v="Groningen, GR, NL"/>
    <n v="31"/>
    <n v="0.1613"/>
    <n v="5"/>
    <n v="2"/>
    <n v="0.4"/>
    <n v="0.49"/>
    <n v="1.23"/>
    <n v="2.46"/>
  </r>
  <r>
    <x v="110"/>
    <s v="Gasselternijveen, DR, NL"/>
    <n v="26"/>
    <n v="0.15380000000000002"/>
    <n v="4"/>
    <n v="0"/>
    <n v="0"/>
    <n v="0"/>
    <s v="-"/>
    <n v="0"/>
  </r>
  <r>
    <x v="110"/>
    <s v="Foxhol, GR, NL"/>
    <n v="21"/>
    <n v="4.7599999999999996E-2"/>
    <n v="1"/>
    <n v="0"/>
    <n v="0"/>
    <n v="0"/>
    <s v="-"/>
    <n v="0"/>
  </r>
  <r>
    <x v="110"/>
    <s v="Delft, ZH, NL"/>
    <n v="378"/>
    <n v="0.11109999999999999"/>
    <n v="42"/>
    <n v="4"/>
    <n v="9.5199999999999993E-2"/>
    <n v="0.83"/>
    <n v="8.76"/>
    <n v="35.020000000000003"/>
  </r>
  <r>
    <x v="110"/>
    <s v="Amsterdam, NH, NL"/>
    <n v="55"/>
    <n v="7.2700000000000001E-2"/>
    <n v="4"/>
    <n v="0"/>
    <n v="0"/>
    <n v="0"/>
    <s v="-"/>
    <n v="0"/>
  </r>
  <r>
    <x v="110"/>
    <s v="Amsterdam, NH, NL"/>
    <n v="19"/>
    <n v="5.2600000000000001E-2"/>
    <n v="1"/>
    <n v="0"/>
    <n v="0"/>
    <n v="0"/>
    <s v="-"/>
    <n v="0"/>
  </r>
  <r>
    <x v="110"/>
    <s v="Amsterdam, NH, NL"/>
    <n v="31"/>
    <n v="3.2300000000000002E-2"/>
    <n v="1"/>
    <n v="0"/>
    <n v="0"/>
    <n v="0"/>
    <s v="-"/>
    <n v="0"/>
  </r>
  <r>
    <x v="110"/>
    <s v="Utrecht, UT, NL"/>
    <n v="22"/>
    <n v="0"/>
    <n v="0"/>
    <n v="0"/>
    <n v="0"/>
    <s v="-"/>
    <s v="-"/>
    <n v="0"/>
  </r>
  <r>
    <x v="110"/>
    <s v="Rotterdam, ZH, NL"/>
    <n v="181"/>
    <n v="4.4199999999999996E-2"/>
    <n v="8"/>
    <n v="0"/>
    <n v="0"/>
    <n v="0"/>
    <s v="-"/>
    <n v="0"/>
  </r>
  <r>
    <x v="110"/>
    <s v="Utrecht, UT, NL"/>
    <n v="104"/>
    <n v="3.85E-2"/>
    <n v="4"/>
    <n v="0"/>
    <n v="0"/>
    <n v="0"/>
    <s v="-"/>
    <n v="0"/>
  </r>
  <r>
    <x v="110"/>
    <s v="Zwolle, OV, NL"/>
    <n v="77"/>
    <n v="0.1429"/>
    <n v="11"/>
    <n v="3"/>
    <n v="0.2727"/>
    <n v="1.23"/>
    <n v="4.5199999999999996"/>
    <n v="13.55"/>
  </r>
  <r>
    <x v="110"/>
    <s v="Emmen, DR, NL"/>
    <n v="85"/>
    <n v="7.0599999999999996E-2"/>
    <n v="6"/>
    <n v="3"/>
    <n v="0.5"/>
    <n v="7.15"/>
    <n v="14.3"/>
    <n v="42.9"/>
  </r>
  <r>
    <x v="110"/>
    <s v="Groningen, GR, NL"/>
    <n v="130"/>
    <n v="0.1"/>
    <n v="13"/>
    <n v="2"/>
    <n v="0.15380000000000002"/>
    <n v="1.51"/>
    <n v="9.7899999999999991"/>
    <n v="19.579999999999998"/>
  </r>
  <r>
    <x v="110"/>
    <s v="Heerenveen, FR, NL"/>
    <n v="122"/>
    <n v="7.3800000000000004E-2"/>
    <n v="9"/>
    <n v="1"/>
    <n v="0.11109999999999999"/>
    <n v="0.38"/>
    <n v="3.45"/>
    <n v="3.45"/>
  </r>
  <r>
    <x v="110"/>
    <s v="Assen, DR, NL"/>
    <n v="99"/>
    <n v="8.0799999999999997E-2"/>
    <n v="8"/>
    <n v="1"/>
    <n v="0.125"/>
    <n v="1.19"/>
    <n v="9.48"/>
    <n v="9.48"/>
  </r>
  <r>
    <x v="110"/>
    <s v="Heerenveen, FR, NL"/>
    <n v="118"/>
    <n v="5.9299999999999999E-2"/>
    <n v="7"/>
    <n v="1"/>
    <n v="0.1429"/>
    <n v="1.48"/>
    <n v="10.38"/>
    <n v="10.38"/>
  </r>
  <r>
    <x v="110"/>
    <s v="Assen, DR, NL"/>
    <n v="115"/>
    <n v="4.3499999999999997E-2"/>
    <n v="5"/>
    <n v="1"/>
    <n v="0.2"/>
    <n v="2.57"/>
    <n v="12.83"/>
    <n v="12.83"/>
  </r>
  <r>
    <x v="110"/>
    <s v="Drachten, FR, NL"/>
    <n v="27"/>
    <n v="0.14810000000000001"/>
    <n v="4"/>
    <n v="1"/>
    <n v="0.25"/>
    <n v="5.82"/>
    <n v="23.26"/>
    <n v="23.26"/>
  </r>
  <r>
    <x v="110"/>
    <s v="Hoogeveen, DR, NL"/>
    <n v="22"/>
    <n v="0.18179999999999999"/>
    <n v="4"/>
    <n v="1"/>
    <n v="0.25"/>
    <n v="4.6100000000000003"/>
    <n v="18.420000000000002"/>
    <n v="18.420000000000002"/>
  </r>
  <r>
    <x v="110"/>
    <s v="Delfzijl, GR, NL"/>
    <n v="88"/>
    <n v="4.5499999999999999E-2"/>
    <n v="4"/>
    <n v="1"/>
    <n v="0.25"/>
    <n v="2.64"/>
    <n v="10.55"/>
    <n v="10.55"/>
  </r>
  <r>
    <x v="110"/>
    <s v="Groningen, GR, NL"/>
    <n v="39"/>
    <n v="7.690000000000001E-2"/>
    <n v="3"/>
    <n v="1"/>
    <n v="0.33329999999999999"/>
    <n v="7.75"/>
    <n v="23.26"/>
    <n v="23.26"/>
  </r>
  <r>
    <x v="110"/>
    <s v="Emmen, DR, NL"/>
    <n v="15"/>
    <n v="0.1333"/>
    <n v="2"/>
    <n v="1"/>
    <n v="0.5"/>
    <n v="8.2100000000000009"/>
    <n v="16.420000000000002"/>
    <n v="16.420000000000002"/>
  </r>
  <r>
    <x v="110"/>
    <s v="Beilen, DR, NL"/>
    <n v="36"/>
    <n v="5.5599999999999997E-2"/>
    <n v="2"/>
    <n v="1"/>
    <n v="0.5"/>
    <n v="0"/>
    <n v="0"/>
    <n v="0"/>
  </r>
  <r>
    <x v="110"/>
    <s v="Stadskanaal, GR, NL"/>
    <n v="27"/>
    <n v="3.7000000000000005E-2"/>
    <n v="1"/>
    <n v="1"/>
    <n v="1"/>
    <n v="0"/>
    <n v="0"/>
    <n v="0"/>
  </r>
  <r>
    <x v="110"/>
    <s v="Leeuwarden, FR, NL"/>
    <n v="216"/>
    <n v="5.5599999999999997E-2"/>
    <n v="12"/>
    <n v="0"/>
    <n v="0"/>
    <n v="0"/>
    <s v="-"/>
    <n v="0"/>
  </r>
  <r>
    <x v="110"/>
    <s v="Groningen, GR, NL"/>
    <n v="203"/>
    <n v="5.91E-2"/>
    <n v="12"/>
    <n v="0"/>
    <n v="0"/>
    <n v="0"/>
    <s v="-"/>
    <n v="0"/>
  </r>
  <r>
    <x v="110"/>
    <s v="Emmen, DR, NL"/>
    <n v="135"/>
    <n v="5.1900000000000002E-2"/>
    <n v="7"/>
    <n v="0"/>
    <n v="0"/>
    <n v="0"/>
    <s v="-"/>
    <n v="0"/>
  </r>
  <r>
    <x v="110"/>
    <s v="Beilen, DR, NL"/>
    <n v="115"/>
    <n v="5.2199999999999996E-2"/>
    <n v="6"/>
    <n v="0"/>
    <n v="0"/>
    <n v="0"/>
    <s v="-"/>
    <n v="0"/>
  </r>
  <r>
    <x v="110"/>
    <s v="Heerenveen, FR, NL"/>
    <n v="46"/>
    <n v="8.6999999999999994E-2"/>
    <n v="4"/>
    <n v="0"/>
    <n v="0"/>
    <n v="0"/>
    <s v="-"/>
    <n v="0"/>
  </r>
  <r>
    <x v="110"/>
    <s v="Zwolle, OV, NL"/>
    <n v="44"/>
    <n v="6.8199999999999997E-2"/>
    <n v="3"/>
    <n v="0"/>
    <n v="0"/>
    <n v="0"/>
    <s v="-"/>
    <n v="0"/>
  </r>
  <r>
    <x v="110"/>
    <s v="Assen, DR, NL"/>
    <n v="60"/>
    <n v="0.05"/>
    <n v="3"/>
    <n v="0"/>
    <n v="0"/>
    <n v="0"/>
    <s v="-"/>
    <n v="0"/>
  </r>
  <r>
    <x v="110"/>
    <s v="Meppel, DR, NL"/>
    <n v="62"/>
    <n v="4.8399999999999999E-2"/>
    <n v="3"/>
    <n v="0"/>
    <n v="0"/>
    <n v="0"/>
    <s v="-"/>
    <n v="0"/>
  </r>
  <r>
    <x v="110"/>
    <s v="Coevorden, DR, NL"/>
    <n v="27"/>
    <n v="0.11109999999999999"/>
    <n v="3"/>
    <n v="0"/>
    <n v="0"/>
    <n v="0"/>
    <s v="-"/>
    <n v="0"/>
  </r>
  <r>
    <x v="110"/>
    <s v="Veendam, GR, NL"/>
    <n v="37"/>
    <n v="5.4100000000000002E-2"/>
    <n v="2"/>
    <n v="0"/>
    <n v="0"/>
    <n v="0"/>
    <s v="-"/>
    <n v="0"/>
  </r>
  <r>
    <x v="110"/>
    <s v="Zwolle, OV, NL"/>
    <n v="4"/>
    <n v="0.25"/>
    <n v="1"/>
    <n v="0"/>
    <n v="0"/>
    <n v="0"/>
    <s v="-"/>
    <n v="0"/>
  </r>
  <r>
    <x v="110"/>
    <s v="Leeuwarden, FR, NL"/>
    <n v="68"/>
    <n v="1.47E-2"/>
    <n v="1"/>
    <n v="0"/>
    <n v="0"/>
    <n v="0"/>
    <s v="-"/>
    <n v="0"/>
  </r>
  <r>
    <x v="110"/>
    <s v="Delfzijl, GR, NL"/>
    <n v="35"/>
    <n v="2.86E-2"/>
    <n v="1"/>
    <n v="0"/>
    <n v="0"/>
    <n v="0"/>
    <s v="-"/>
    <n v="0"/>
  </r>
  <r>
    <x v="110"/>
    <s v="Wijster, DR, NL"/>
    <n v="72"/>
    <n v="1.3899999999999999E-2"/>
    <n v="1"/>
    <n v="0"/>
    <n v="0"/>
    <n v="0"/>
    <s v="-"/>
    <n v="0"/>
  </r>
  <r>
    <x v="110"/>
    <s v="Stadskanaal, GR, NL"/>
    <n v="8"/>
    <n v="0.125"/>
    <n v="1"/>
    <n v="0"/>
    <n v="0"/>
    <n v="0"/>
    <s v="-"/>
    <n v="0"/>
  </r>
  <r>
    <x v="110"/>
    <s v="Coevorden, DR, NL"/>
    <n v="20"/>
    <n v="0.05"/>
    <n v="1"/>
    <n v="0"/>
    <n v="0"/>
    <n v="0"/>
    <s v="-"/>
    <n v="0"/>
  </r>
  <r>
    <x v="110"/>
    <s v="Leeuwarden, FR, NL"/>
    <n v="7"/>
    <n v="0"/>
    <n v="0"/>
    <n v="0"/>
    <n v="0"/>
    <s v="-"/>
    <s v="-"/>
    <n v="0"/>
  </r>
  <r>
    <x v="110"/>
    <s v="Veendam, GR, NL"/>
    <n v="13"/>
    <n v="0"/>
    <n v="0"/>
    <n v="0"/>
    <n v="0"/>
    <s v="-"/>
    <s v="-"/>
    <n v="0"/>
  </r>
  <r>
    <x v="110"/>
    <s v="Wijster, DR, NL"/>
    <n v="11"/>
    <n v="0"/>
    <n v="0"/>
    <n v="0"/>
    <n v="0"/>
    <s v="-"/>
    <s v="-"/>
    <n v="0"/>
  </r>
  <r>
    <x v="110"/>
    <s v="Meppel, DR, NL"/>
    <n v="11"/>
    <n v="0"/>
    <n v="0"/>
    <n v="0"/>
    <n v="0"/>
    <s v="-"/>
    <s v="-"/>
    <n v="0"/>
  </r>
  <r>
    <x v="110"/>
    <s v="Waddinxveen, ZH, NL"/>
    <n v="0"/>
    <n v="0"/>
    <n v="0"/>
    <n v="0"/>
    <n v="0"/>
    <s v="-"/>
    <s v="-"/>
    <n v="0"/>
  </r>
  <r>
    <x v="110"/>
    <s v="Amsterdam, NH, NL"/>
    <n v="1"/>
    <n v="0"/>
    <n v="0"/>
    <n v="0"/>
    <n v="0"/>
    <s v="-"/>
    <s v="-"/>
    <n v="0"/>
  </r>
  <r>
    <x v="110"/>
    <s v="Amsterdam, NH, NL"/>
    <n v="215"/>
    <n v="2.7900000000000001E-2"/>
    <n v="6"/>
    <n v="0"/>
    <n v="0"/>
    <n v="0"/>
    <s v="-"/>
    <n v="0"/>
  </r>
  <r>
    <x v="110"/>
    <s v="Amsterdam, NH, NL"/>
    <n v="57"/>
    <n v="3.5099999999999999E-2"/>
    <n v="2"/>
    <n v="0"/>
    <n v="0"/>
    <n v="0"/>
    <s v="-"/>
    <n v="0"/>
  </r>
  <r>
    <x v="110"/>
    <s v="Rotterdam, ZH, NL"/>
    <n v="88"/>
    <n v="1.1399999999999999E-2"/>
    <n v="1"/>
    <n v="0"/>
    <n v="0"/>
    <n v="0"/>
    <s v="-"/>
    <n v="0"/>
  </r>
  <r>
    <x v="110"/>
    <s v="Utrecht, UT, NL"/>
    <n v="29"/>
    <n v="0"/>
    <n v="0"/>
    <n v="0"/>
    <n v="0"/>
    <s v="-"/>
    <s v="-"/>
    <n v="0"/>
  </r>
  <r>
    <x v="110"/>
    <s v="Amsterdam, NH, NL"/>
    <n v="36"/>
    <n v="0"/>
    <n v="0"/>
    <n v="0"/>
    <n v="0"/>
    <s v="-"/>
    <s v="-"/>
    <n v="0"/>
  </r>
  <r>
    <x v="110"/>
    <s v="Utrecht, UT, NL"/>
    <n v="56"/>
    <n v="0.10710000000000001"/>
    <n v="6"/>
    <n v="1"/>
    <n v="0.16670000000000001"/>
    <n v="0.37"/>
    <n v="2.23"/>
    <n v="2.23"/>
  </r>
  <r>
    <x v="110"/>
    <s v="Amsterdam, NH, NL"/>
    <n v="90"/>
    <n v="6.6699999999999995E-2"/>
    <n v="6"/>
    <n v="0"/>
    <n v="0"/>
    <n v="0"/>
    <s v="-"/>
    <n v="0"/>
  </r>
  <r>
    <x v="110"/>
    <s v="Rotterdam, ZH, NL"/>
    <n v="90"/>
    <n v="5.5599999999999997E-2"/>
    <n v="5"/>
    <n v="0"/>
    <n v="0"/>
    <n v="0"/>
    <s v="-"/>
    <n v="0"/>
  </r>
  <r>
    <x v="111"/>
    <s v="Eindhoven, NB, NL"/>
    <n v="630"/>
    <n v="5.7099999999999998E-2"/>
    <n v="36"/>
    <n v="4"/>
    <n v="0.11109999999999999"/>
    <n v="0.25"/>
    <n v="2.21"/>
    <n v="8.84"/>
  </r>
  <r>
    <x v="112"/>
    <s v="Leiden, ZH, NL"/>
    <n v="359"/>
    <n v="6.13E-2"/>
    <n v="22"/>
    <n v="3"/>
    <n v="0.13639999999999999"/>
    <n v="1.53"/>
    <n v="11.21"/>
    <n v="33.619999999999997"/>
  </r>
  <r>
    <x v="1"/>
    <s v="Schiphol, NH, NL"/>
    <n v="53"/>
    <n v="1.89E-2"/>
    <n v="1"/>
    <n v="0"/>
    <n v="0"/>
    <n v="0"/>
    <s v="-"/>
    <n v="0"/>
  </r>
  <r>
    <x v="1"/>
    <s v="Bunnik, UT, NL"/>
    <n v="25"/>
    <n v="0.12"/>
    <n v="3"/>
    <n v="0"/>
    <n v="0"/>
    <n v="0"/>
    <s v="-"/>
    <n v="0"/>
  </r>
  <r>
    <x v="1"/>
    <s v="Utrecht, UT, NL"/>
    <n v="234"/>
    <n v="2.5600000000000001E-2"/>
    <n v="6"/>
    <n v="1"/>
    <n v="0.16670000000000001"/>
    <n v="0.82"/>
    <n v="4.9400000000000004"/>
    <n v="4.9400000000000004"/>
  </r>
  <r>
    <x v="1"/>
    <s v="Utrecht, UT, NL"/>
    <n v="49"/>
    <n v="2.0400000000000001E-2"/>
    <n v="1"/>
    <n v="0"/>
    <n v="0"/>
    <n v="0"/>
    <s v="-"/>
    <n v="0"/>
  </r>
  <r>
    <x v="1"/>
    <s v="Eindhoven, NB, NL"/>
    <n v="2219"/>
    <n v="0.16399999999999998"/>
    <n v="364"/>
    <n v="26"/>
    <n v="7.1399999999999991E-2"/>
    <n v="0.16"/>
    <n v="2.2999999999999998"/>
    <n v="59.82"/>
  </r>
  <r>
    <x v="1"/>
    <s v="Rotterdam, ZH, NL"/>
    <n v="3016"/>
    <n v="0.1426"/>
    <n v="430"/>
    <n v="23"/>
    <n v="5.3499999999999999E-2"/>
    <n v="0.13"/>
    <n v="2.37"/>
    <n v="54.57"/>
  </r>
  <r>
    <x v="1"/>
    <s v="Eindhoven, NB, NL"/>
    <n v="3928"/>
    <n v="9.5700000000000007E-2"/>
    <n v="376"/>
    <n v="19"/>
    <n v="5.0499999999999996E-2"/>
    <n v="0.44"/>
    <n v="8.74"/>
    <n v="166.11"/>
  </r>
  <r>
    <x v="1"/>
    <s v="Eindhoven, NB, NL"/>
    <n v="2726"/>
    <n v="7.0400000000000004E-2"/>
    <n v="192"/>
    <n v="17"/>
    <n v="8.8499999999999995E-2"/>
    <n v="1.04"/>
    <n v="11.72"/>
    <n v="199.16"/>
  </r>
  <r>
    <x v="1"/>
    <s v="Den Haag, ZH, NL"/>
    <n v="1777"/>
    <n v="7.0300000000000001E-2"/>
    <n v="125"/>
    <n v="15"/>
    <n v="0.12"/>
    <n v="1.75"/>
    <n v="14.59"/>
    <n v="218.78"/>
  </r>
  <r>
    <x v="1"/>
    <s v="Delft, ZH, NL"/>
    <n v="1967"/>
    <n v="8.3400000000000002E-2"/>
    <n v="164"/>
    <n v="11"/>
    <n v="6.7099999999999993E-2"/>
    <n v="0.56000000000000005"/>
    <n v="8.34"/>
    <n v="91.79"/>
  </r>
  <r>
    <x v="1"/>
    <s v="Den Bosch, NB, NL"/>
    <n v="442"/>
    <n v="0.16519999999999999"/>
    <n v="73"/>
    <n v="8"/>
    <n v="0.1096"/>
    <n v="0.18"/>
    <n v="1.64"/>
    <n v="13.08"/>
  </r>
  <r>
    <x v="1"/>
    <s v="Rotterdam, ZH, NL"/>
    <n v="972"/>
    <n v="0.15640000000000001"/>
    <n v="152"/>
    <n v="7"/>
    <n v="4.6100000000000002E-2"/>
    <n v="0.19"/>
    <n v="4.03"/>
    <n v="28.19"/>
  </r>
  <r>
    <x v="1"/>
    <s v="Utrecht, UT, NL"/>
    <n v="367"/>
    <n v="0.11990000000000001"/>
    <n v="44"/>
    <n v="2"/>
    <n v="4.5499999999999999E-2"/>
    <n v="0.32"/>
    <n v="7.14"/>
    <n v="14.27"/>
  </r>
  <r>
    <x v="1"/>
    <s v="Delft, ZH, NL"/>
    <n v="99"/>
    <n v="4.0399999999999998E-2"/>
    <n v="4"/>
    <n v="0"/>
    <n v="0"/>
    <n v="0"/>
    <s v="-"/>
    <n v="0"/>
  </r>
  <r>
    <x v="1"/>
    <s v="Zaandam, NH, NL"/>
    <n v="466"/>
    <n v="4.0800000000000003E-2"/>
    <n v="19"/>
    <n v="2"/>
    <n v="0.10529999999999999"/>
    <n v="0.57999999999999996"/>
    <n v="5.5"/>
    <n v="11"/>
  </r>
  <r>
    <x v="1"/>
    <s v="Bunnik, UT, NL"/>
    <n v="148"/>
    <n v="2.7000000000000003E-2"/>
    <n v="4"/>
    <n v="0"/>
    <n v="0"/>
    <n v="0"/>
    <s v="-"/>
    <n v="0"/>
  </r>
  <r>
    <x v="1"/>
    <s v="Bunnik, UT, NL"/>
    <n v="113"/>
    <n v="0"/>
    <n v="0"/>
    <n v="0"/>
    <n v="0"/>
    <s v="-"/>
    <s v="-"/>
    <n v="0"/>
  </r>
  <r>
    <x v="1"/>
    <s v="Schiphol, NH, NL"/>
    <n v="144"/>
    <n v="2.0799999999999999E-2"/>
    <n v="3"/>
    <n v="1"/>
    <n v="0.33329999999999999"/>
    <n v="5.19"/>
    <n v="15.56"/>
    <n v="15.56"/>
  </r>
  <r>
    <x v="1"/>
    <s v="Eindhoven, NB, NL"/>
    <n v="989"/>
    <n v="8.5900000000000004E-2"/>
    <n v="85"/>
    <n v="3"/>
    <n v="3.5299999999999998E-2"/>
    <n v="0.11"/>
    <n v="3.11"/>
    <n v="9.34"/>
  </r>
  <r>
    <x v="1"/>
    <s v="Leiden, ZH, NL"/>
    <n v="324"/>
    <n v="4.6300000000000001E-2"/>
    <n v="15"/>
    <n v="3"/>
    <n v="0.2"/>
    <n v="1.33"/>
    <n v="6.67"/>
    <n v="20.02"/>
  </r>
  <r>
    <x v="1"/>
    <s v="Utrecht, UT, NL"/>
    <n v="1978"/>
    <n v="7.9399999999999998E-2"/>
    <n v="157"/>
    <n v="7"/>
    <n v="4.4600000000000001E-2"/>
    <n v="0.71"/>
    <n v="15.99"/>
    <n v="111.91"/>
  </r>
  <r>
    <x v="1"/>
    <s v="Utrecht, UT, NL"/>
    <n v="2898"/>
    <n v="5.6900000000000006E-2"/>
    <n v="165"/>
    <n v="5"/>
    <n v="3.0299999999999997E-2"/>
    <n v="0.28000000000000003"/>
    <n v="9.36"/>
    <n v="46.82"/>
  </r>
  <r>
    <x v="1"/>
    <s v="Utrecht, UT, NL"/>
    <n v="152"/>
    <n v="5.2600000000000001E-2"/>
    <n v="8"/>
    <n v="1"/>
    <n v="0.125"/>
    <n v="1.67"/>
    <n v="13.39"/>
    <n v="13.39"/>
  </r>
  <r>
    <x v="1"/>
    <s v="Utrecht, UT, NL"/>
    <n v="170"/>
    <n v="5.8799999999999998E-2"/>
    <n v="10"/>
    <n v="0"/>
    <n v="0"/>
    <n v="0"/>
    <s v="-"/>
    <n v="0"/>
  </r>
  <r>
    <x v="1"/>
    <s v="Utrecht, UT, NL"/>
    <n v="51"/>
    <n v="0.1176"/>
    <n v="6"/>
    <n v="0"/>
    <n v="0"/>
    <n v="0"/>
    <s v="-"/>
    <n v="0"/>
  </r>
  <r>
    <x v="113"/>
    <s v="Haarlem, NH, NL"/>
    <n v="156"/>
    <n v="8.9700000000000002E-2"/>
    <n v="14"/>
    <n v="2"/>
    <n v="0.1429"/>
    <n v="0.85"/>
    <n v="5.97"/>
    <n v="11.94"/>
  </r>
  <r>
    <x v="113"/>
    <s v="Haarlem, NH, NL"/>
    <n v="132"/>
    <n v="6.8199999999999997E-2"/>
    <n v="9"/>
    <n v="0"/>
    <n v="0"/>
    <n v="0"/>
    <s v="-"/>
    <n v="0"/>
  </r>
  <r>
    <x v="112"/>
    <s v="Groningen, GR, NL"/>
    <n v="205"/>
    <n v="7.3200000000000001E-2"/>
    <n v="15"/>
    <n v="0"/>
    <n v="0"/>
    <n v="0"/>
    <s v="-"/>
    <n v="0"/>
  </r>
  <r>
    <x v="112"/>
    <s v="Aldeboarn, FR, NL"/>
    <n v="37"/>
    <n v="5.4100000000000002E-2"/>
    <n v="2"/>
    <n v="0"/>
    <n v="0"/>
    <n v="0"/>
    <s v="-"/>
    <n v="0"/>
  </r>
  <r>
    <x v="112"/>
    <s v="Utrecht, UT, NL"/>
    <n v="8"/>
    <n v="0.125"/>
    <n v="1"/>
    <n v="0"/>
    <n v="0"/>
    <n v="0"/>
    <s v="-"/>
    <n v="0"/>
  </r>
  <r>
    <x v="112"/>
    <s v="Groningen, GR, NL"/>
    <n v="29"/>
    <n v="3.4500000000000003E-2"/>
    <n v="1"/>
    <n v="0"/>
    <n v="0"/>
    <n v="0"/>
    <s v="-"/>
    <n v="0"/>
  </r>
  <r>
    <x v="112"/>
    <s v="Schiphol, NH, NL"/>
    <n v="4"/>
    <n v="0"/>
    <n v="0"/>
    <n v="0"/>
    <n v="0"/>
    <s v="-"/>
    <s v="-"/>
    <n v="0"/>
  </r>
  <r>
    <x v="112"/>
    <s v="Utrecht, UT, NL"/>
    <n v="191"/>
    <n v="0.1099"/>
    <n v="21"/>
    <n v="1"/>
    <n v="4.7599999999999996E-2"/>
    <n v="0.51"/>
    <n v="10.75"/>
    <n v="10.75"/>
  </r>
  <r>
    <x v="112"/>
    <s v="Den Bosch, NB, NL"/>
    <n v="101"/>
    <n v="4.9500000000000002E-2"/>
    <n v="5"/>
    <n v="2"/>
    <n v="0.4"/>
    <n v="1.56"/>
    <n v="3.9"/>
    <n v="7.8"/>
  </r>
  <r>
    <x v="112"/>
    <s v="Den Bosch, NB, NL"/>
    <n v="117"/>
    <n v="5.1299999999999998E-2"/>
    <n v="6"/>
    <n v="0"/>
    <n v="0"/>
    <n v="0"/>
    <s v="-"/>
    <n v="0"/>
  </r>
  <r>
    <x v="112"/>
    <s v="Lelystad, FL, NL"/>
    <n v="37"/>
    <n v="8.1099999999999992E-2"/>
    <n v="3"/>
    <n v="1"/>
    <n v="0.33329999999999999"/>
    <n v="4"/>
    <n v="12"/>
    <n v="12"/>
  </r>
  <r>
    <x v="112"/>
    <s v="Marum, GR, NL"/>
    <n v="105"/>
    <n v="6.6699999999999995E-2"/>
    <n v="7"/>
    <n v="0"/>
    <n v="0"/>
    <n v="0"/>
    <s v="-"/>
    <n v="0"/>
  </r>
  <r>
    <x v="112"/>
    <s v="Zwolle, OV, NL"/>
    <n v="114"/>
    <n v="6.1399999999999996E-2"/>
    <n v="7"/>
    <n v="0"/>
    <n v="0"/>
    <n v="0"/>
    <s v="-"/>
    <n v="0"/>
  </r>
  <r>
    <x v="112"/>
    <s v="Leeuwarden, FR, NL"/>
    <n v="73"/>
    <n v="9.5899999999999999E-2"/>
    <n v="7"/>
    <n v="0"/>
    <n v="0"/>
    <n v="0"/>
    <s v="-"/>
    <n v="0"/>
  </r>
  <r>
    <x v="112"/>
    <s v="Groningen, GR, NL"/>
    <n v="107"/>
    <n v="5.6100000000000004E-2"/>
    <n v="6"/>
    <n v="0"/>
    <n v="0"/>
    <n v="0"/>
    <s v="-"/>
    <n v="0"/>
  </r>
  <r>
    <x v="112"/>
    <s v="Drachten, FR, NL"/>
    <n v="80"/>
    <n v="6.25E-2"/>
    <n v="5"/>
    <n v="0"/>
    <n v="0"/>
    <n v="0"/>
    <s v="-"/>
    <n v="0"/>
  </r>
  <r>
    <x v="112"/>
    <s v="Den Haag, ZH, NL"/>
    <n v="45"/>
    <n v="6.6699999999999995E-2"/>
    <n v="3"/>
    <n v="0"/>
    <n v="0"/>
    <n v="0"/>
    <s v="-"/>
    <n v="0"/>
  </r>
  <r>
    <x v="112"/>
    <s v="Bunnik, UT, NL"/>
    <n v="45"/>
    <n v="2.2200000000000001E-2"/>
    <n v="1"/>
    <n v="0"/>
    <n v="0"/>
    <n v="0"/>
    <s v="-"/>
    <n v="0"/>
  </r>
  <r>
    <x v="112"/>
    <s v="Delft, ZH, NL"/>
    <n v="17"/>
    <n v="0"/>
    <n v="0"/>
    <n v="0"/>
    <n v="0"/>
    <s v="-"/>
    <s v="-"/>
    <n v="0"/>
  </r>
  <r>
    <x v="112"/>
    <s v="Utrecht, UT, NL"/>
    <n v="9"/>
    <n v="0"/>
    <n v="0"/>
    <n v="0"/>
    <n v="0"/>
    <s v="-"/>
    <s v="-"/>
    <n v="0"/>
  </r>
  <r>
    <x v="112"/>
    <s v="Amsterdam, NH, NL"/>
    <n v="186"/>
    <n v="4.8399999999999999E-2"/>
    <n v="9"/>
    <n v="1"/>
    <n v="0.11109999999999999"/>
    <n v="1.05"/>
    <n v="9.42"/>
    <n v="9.42"/>
  </r>
  <r>
    <x v="112"/>
    <s v="Utrecht, UT, NL"/>
    <n v="195"/>
    <n v="3.0800000000000001E-2"/>
    <n v="6"/>
    <n v="0"/>
    <n v="0"/>
    <n v="0"/>
    <s v="-"/>
    <n v="0"/>
  </r>
  <r>
    <x v="112"/>
    <s v="Utrecht, UT, NL"/>
    <n v="208"/>
    <n v="2.8799999999999999E-2"/>
    <n v="6"/>
    <n v="0"/>
    <n v="0"/>
    <n v="0"/>
    <s v="-"/>
    <n v="0"/>
  </r>
  <r>
    <x v="112"/>
    <s v="Delft, ZH, NL"/>
    <n v="158"/>
    <n v="3.7999999999999999E-2"/>
    <n v="6"/>
    <n v="0"/>
    <n v="0"/>
    <n v="0"/>
    <s v="-"/>
    <n v="0"/>
  </r>
  <r>
    <x v="112"/>
    <s v="Delft, ZH, NL"/>
    <n v="182"/>
    <n v="2.75E-2"/>
    <n v="5"/>
    <n v="0"/>
    <n v="0"/>
    <n v="0"/>
    <s v="-"/>
    <n v="0"/>
  </r>
  <r>
    <x v="112"/>
    <s v="Delft, ZH, NL"/>
    <n v="44"/>
    <n v="2.2700000000000001E-2"/>
    <n v="1"/>
    <n v="0"/>
    <n v="0"/>
    <n v="0"/>
    <s v="-"/>
    <n v="0"/>
  </r>
  <r>
    <x v="112"/>
    <s v="Utrecht, UT, NL"/>
    <n v="57"/>
    <n v="1.7500000000000002E-2"/>
    <n v="1"/>
    <n v="0"/>
    <n v="0"/>
    <n v="0"/>
    <s v="-"/>
    <n v="0"/>
  </r>
  <r>
    <x v="112"/>
    <s v="Schiphol, NH, NL"/>
    <n v="174"/>
    <n v="5.1699999999999996E-2"/>
    <n v="9"/>
    <n v="0"/>
    <n v="0"/>
    <n v="0"/>
    <s v="-"/>
    <n v="0"/>
  </r>
  <r>
    <x v="112"/>
    <s v="Zwolle, OV, NL"/>
    <n v="127"/>
    <n v="7.8700000000000006E-2"/>
    <n v="10"/>
    <n v="1"/>
    <n v="0.1"/>
    <n v="0.44"/>
    <n v="4.38"/>
    <n v="4.38"/>
  </r>
  <r>
    <x v="112"/>
    <s v="Drachten, FR, NL"/>
    <n v="90"/>
    <n v="4.4400000000000002E-2"/>
    <n v="4"/>
    <n v="1"/>
    <n v="0.25"/>
    <n v="2.0299999999999998"/>
    <n v="8.1300000000000008"/>
    <n v="8.1300000000000008"/>
  </r>
  <r>
    <x v="112"/>
    <s v="Leeuwarden, FR, NL"/>
    <n v="73"/>
    <n v="5.4800000000000001E-2"/>
    <n v="4"/>
    <n v="1"/>
    <n v="0.25"/>
    <n v="2.0299999999999998"/>
    <n v="8.1300000000000008"/>
    <n v="8.1300000000000008"/>
  </r>
  <r>
    <x v="112"/>
    <s v="Lelystad, FL, NL"/>
    <n v="45"/>
    <n v="6.6699999999999995E-2"/>
    <n v="3"/>
    <n v="1"/>
    <n v="0.33329999999999999"/>
    <n v="1.65"/>
    <n v="4.95"/>
    <n v="4.95"/>
  </r>
  <r>
    <x v="112"/>
    <s v="Groningen, GR, NL"/>
    <n v="142"/>
    <n v="4.2300000000000004E-2"/>
    <n v="6"/>
    <n v="0"/>
    <n v="0"/>
    <n v="0"/>
    <s v="-"/>
    <n v="0"/>
  </r>
  <r>
    <x v="112"/>
    <s v="Den Haag, ZH, NL"/>
    <n v="77"/>
    <n v="5.1900000000000002E-2"/>
    <n v="4"/>
    <n v="0"/>
    <n v="0"/>
    <n v="0"/>
    <s v="-"/>
    <n v="0"/>
  </r>
  <r>
    <x v="112"/>
    <s v="Bunnik, UT, NL"/>
    <n v="42"/>
    <n v="4.7599999999999996E-2"/>
    <n v="2"/>
    <n v="0"/>
    <n v="0"/>
    <n v="0"/>
    <s v="-"/>
    <n v="0"/>
  </r>
  <r>
    <x v="112"/>
    <s v="NH, NL"/>
    <n v="15"/>
    <n v="6.6699999999999995E-2"/>
    <n v="1"/>
    <n v="0"/>
    <n v="0"/>
    <n v="0"/>
    <s v="-"/>
    <n v="0"/>
  </r>
  <r>
    <x v="112"/>
    <s v="Utrecht, UT, NL"/>
    <n v="5"/>
    <n v="0"/>
    <n v="0"/>
    <n v="0"/>
    <n v="0"/>
    <s v="-"/>
    <s v="-"/>
    <n v="0"/>
  </r>
  <r>
    <x v="112"/>
    <s v="Utrecht, UT, NL"/>
    <n v="193"/>
    <n v="5.1799999999999999E-2"/>
    <n v="10"/>
    <n v="2"/>
    <n v="0.2"/>
    <n v="2.0099999999999998"/>
    <n v="10.050000000000001"/>
    <n v="20.09"/>
  </r>
  <r>
    <x v="112"/>
    <s v="Delft, ZH, NL"/>
    <n v="231"/>
    <n v="3.0299999999999997E-2"/>
    <n v="7"/>
    <n v="1"/>
    <n v="0.1429"/>
    <n v="1.0900000000000001"/>
    <n v="7.61"/>
    <n v="7.61"/>
  </r>
  <r>
    <x v="112"/>
    <s v="Utrecht, UT, NL"/>
    <n v="49"/>
    <n v="6.1200000000000004E-2"/>
    <n v="3"/>
    <n v="1"/>
    <n v="0.33329999999999999"/>
    <n v="10.85"/>
    <n v="32.54"/>
    <n v="32.54"/>
  </r>
  <r>
    <x v="112"/>
    <s v="Delft, ZH, NL"/>
    <n v="150"/>
    <n v="3.3300000000000003E-2"/>
    <n v="5"/>
    <n v="0"/>
    <n v="0"/>
    <n v="0"/>
    <s v="-"/>
    <n v="0"/>
  </r>
  <r>
    <x v="112"/>
    <s v="Amsterdam, NH, NL"/>
    <n v="84"/>
    <n v="5.9500000000000004E-2"/>
    <n v="5"/>
    <n v="0"/>
    <n v="0"/>
    <n v="0"/>
    <s v="-"/>
    <n v="0"/>
  </r>
  <r>
    <x v="112"/>
    <s v="Utrecht, UT, NL"/>
    <n v="157"/>
    <n v="1.9099999999999999E-2"/>
    <n v="3"/>
    <n v="0"/>
    <n v="0"/>
    <n v="0"/>
    <s v="-"/>
    <n v="0"/>
  </r>
  <r>
    <x v="112"/>
    <s v="Delft, ZH, NL"/>
    <n v="38"/>
    <n v="2.63E-2"/>
    <n v="1"/>
    <n v="0"/>
    <n v="0"/>
    <n v="0"/>
    <s v="-"/>
    <n v="0"/>
  </r>
  <r>
    <x v="112"/>
    <s v="Delft, ZH, NL"/>
    <n v="6"/>
    <n v="0.16670000000000001"/>
    <n v="1"/>
    <n v="0"/>
    <n v="0"/>
    <n v="0"/>
    <s v="-"/>
    <n v="0"/>
  </r>
  <r>
    <x v="112"/>
    <s v="Delft, ZH, NL"/>
    <n v="185"/>
    <n v="3.2400000000000005E-2"/>
    <n v="6"/>
    <n v="0"/>
    <n v="0"/>
    <n v="0"/>
    <s v="-"/>
    <n v="0"/>
  </r>
  <r>
    <x v="112"/>
    <s v="Schiphol, NH, NL"/>
    <n v="33"/>
    <n v="6.0599999999999994E-2"/>
    <n v="2"/>
    <n v="0"/>
    <n v="0"/>
    <n v="0"/>
    <s v="-"/>
    <n v="0"/>
  </r>
  <r>
    <x v="112"/>
    <s v="Schiphol, NH, NL"/>
    <n v="101"/>
    <n v="6.93E-2"/>
    <n v="7"/>
    <n v="0"/>
    <n v="0"/>
    <n v="0"/>
    <s v="-"/>
    <n v="0"/>
  </r>
  <r>
    <x v="112"/>
    <s v="Eindhoven, NB, NL"/>
    <n v="77"/>
    <n v="6.4899999999999999E-2"/>
    <n v="5"/>
    <n v="0"/>
    <n v="0"/>
    <n v="0"/>
    <s v="-"/>
    <n v="0"/>
  </r>
  <r>
    <x v="112"/>
    <s v="Schiphol, NH, NL"/>
    <n v="110"/>
    <n v="4.5499999999999999E-2"/>
    <n v="5"/>
    <n v="0"/>
    <n v="0"/>
    <n v="0"/>
    <s v="-"/>
    <n v="0"/>
  </r>
  <r>
    <x v="114"/>
    <s v="Utrecht, UT, NL"/>
    <n v="61"/>
    <n v="0.21309999999999998"/>
    <n v="13"/>
    <n v="0"/>
    <n v="0"/>
    <n v="0"/>
    <n v="0"/>
    <n v="0"/>
  </r>
  <r>
    <x v="114"/>
    <s v="Utrecht, UT, NL"/>
    <n v="11459"/>
    <n v="7.1599999999999997E-2"/>
    <n v="821"/>
    <n v="14"/>
    <n v="1.7100000000000001E-2"/>
    <n v="0.19"/>
    <n v="10.98"/>
    <n v="153.65"/>
  </r>
  <r>
    <x v="114"/>
    <s v="Utrecht, UT, NL"/>
    <n v="4163"/>
    <n v="9.5600000000000004E-2"/>
    <n v="398"/>
    <n v="11"/>
    <n v="2.76E-2"/>
    <n v="0.44"/>
    <n v="15.94"/>
    <n v="175.33"/>
  </r>
  <r>
    <x v="114"/>
    <s v="Utrecht, UT, NL"/>
    <n v="5688"/>
    <n v="8.2799999999999999E-2"/>
    <n v="471"/>
    <n v="6"/>
    <n v="1.2699999999999999E-2"/>
    <n v="0.09"/>
    <n v="7.32"/>
    <n v="43.93"/>
  </r>
  <r>
    <x v="114"/>
    <s v="Utrecht, UT, NL"/>
    <n v="1588"/>
    <n v="0.13600000000000001"/>
    <n v="216"/>
    <n v="1"/>
    <n v="4.5999999999999999E-3"/>
    <n v="0.02"/>
    <n v="4.4800000000000004"/>
    <n v="4.4800000000000004"/>
  </r>
  <r>
    <x v="114"/>
    <s v="Utrecht, UT, NL"/>
    <n v="79"/>
    <n v="0.1646"/>
    <n v="13"/>
    <n v="0"/>
    <n v="0"/>
    <n v="0"/>
    <s v="-"/>
    <n v="0"/>
  </r>
  <r>
    <x v="115"/>
    <s v="Den Haag, ZH, NL"/>
    <n v="24"/>
    <n v="4.1700000000000001E-2"/>
    <n v="1"/>
    <n v="0"/>
    <n v="0"/>
    <n v="0"/>
    <s v="-"/>
    <n v="0"/>
  </r>
  <r>
    <x v="115"/>
    <s v="Bunnik, UT, NL"/>
    <n v="15"/>
    <n v="0"/>
    <n v="0"/>
    <n v="0"/>
    <n v="0"/>
    <s v="-"/>
    <s v="-"/>
    <n v="0"/>
  </r>
  <r>
    <x v="115"/>
    <s v="Amsterdam, NH, NL"/>
    <n v="115"/>
    <n v="6.9599999999999995E-2"/>
    <n v="8"/>
    <n v="1"/>
    <n v="0.125"/>
    <n v="0.83"/>
    <n v="6.6"/>
    <n v="6.6"/>
  </r>
  <r>
    <x v="115"/>
    <s v="Delft, ZH, NL"/>
    <n v="219"/>
    <n v="5.4800000000000001E-2"/>
    <n v="12"/>
    <n v="0"/>
    <n v="0"/>
    <n v="0"/>
    <s v="-"/>
    <n v="0"/>
  </r>
  <r>
    <x v="115"/>
    <s v="Delft, ZH, NL"/>
    <n v="295"/>
    <n v="3.0499999999999999E-2"/>
    <n v="9"/>
    <n v="0"/>
    <n v="0"/>
    <n v="0"/>
    <s v="-"/>
    <n v="0"/>
  </r>
  <r>
    <x v="115"/>
    <s v="Utrecht, UT, NL"/>
    <n v="119"/>
    <n v="6.7199999999999996E-2"/>
    <n v="8"/>
    <n v="0"/>
    <n v="0"/>
    <n v="0"/>
    <s v="-"/>
    <n v="0"/>
  </r>
  <r>
    <x v="115"/>
    <s v="Delft, ZH, NL"/>
    <n v="215"/>
    <n v="1.8600000000000002E-2"/>
    <n v="4"/>
    <n v="0"/>
    <n v="0"/>
    <n v="0"/>
    <s v="-"/>
    <n v="0"/>
  </r>
  <r>
    <x v="115"/>
    <s v="Utrecht, UT, NL"/>
    <n v="149"/>
    <n v="2.0099999999999996E-2"/>
    <n v="3"/>
    <n v="0"/>
    <n v="0"/>
    <n v="0"/>
    <s v="-"/>
    <n v="0"/>
  </r>
  <r>
    <x v="115"/>
    <s v="Delft, ZH, NL"/>
    <n v="13"/>
    <n v="0.15380000000000002"/>
    <n v="2"/>
    <n v="0"/>
    <n v="0"/>
    <n v="0"/>
    <s v="-"/>
    <n v="0"/>
  </r>
  <r>
    <x v="115"/>
    <s v="Utrecht, UT, NL"/>
    <n v="133"/>
    <n v="7.4999999999999997E-3"/>
    <n v="1"/>
    <n v="0"/>
    <n v="0"/>
    <n v="0"/>
    <s v="-"/>
    <n v="0"/>
  </r>
  <r>
    <x v="115"/>
    <s v="Utrecht, UT, NL"/>
    <n v="29"/>
    <n v="3.4500000000000003E-2"/>
    <n v="1"/>
    <n v="0"/>
    <n v="0"/>
    <n v="0"/>
    <s v="-"/>
    <n v="0"/>
  </r>
  <r>
    <x v="115"/>
    <s v="Utrecht, UT, NL"/>
    <n v="8"/>
    <n v="0.125"/>
    <n v="1"/>
    <n v="0"/>
    <n v="0"/>
    <n v="0"/>
    <s v="-"/>
    <n v="0"/>
  </r>
  <r>
    <x v="115"/>
    <s v="Delft, ZH, NL"/>
    <n v="12"/>
    <n v="8.3299999999999999E-2"/>
    <n v="1"/>
    <n v="0"/>
    <n v="0"/>
    <n v="0"/>
    <s v="-"/>
    <n v="0"/>
  </r>
  <r>
    <x v="115"/>
    <s v="Bunnik, UT, NL"/>
    <n v="33"/>
    <n v="6.0599999999999994E-2"/>
    <n v="2"/>
    <n v="0"/>
    <n v="0"/>
    <n v="0"/>
    <s v="-"/>
    <n v="0"/>
  </r>
  <r>
    <x v="115"/>
    <s v="Den Haag, ZH, NL"/>
    <n v="30"/>
    <n v="6.6699999999999995E-2"/>
    <n v="2"/>
    <n v="0"/>
    <n v="0"/>
    <n v="0"/>
    <s v="-"/>
    <n v="0"/>
  </r>
  <r>
    <x v="115"/>
    <s v="Gouda, ZH, NL"/>
    <n v="38"/>
    <n v="5.2600000000000001E-2"/>
    <n v="2"/>
    <n v="1"/>
    <n v="0.5"/>
    <n v="3.4"/>
    <n v="6.79"/>
    <n v="6.79"/>
  </r>
  <r>
    <x v="115"/>
    <s v="Gouda, ZH, NL"/>
    <n v="96"/>
    <n v="1.04E-2"/>
    <n v="1"/>
    <n v="0"/>
    <n v="0"/>
    <n v="0"/>
    <s v="-"/>
    <n v="0"/>
  </r>
  <r>
    <x v="115"/>
    <s v="Delft, ZH, NL"/>
    <n v="0"/>
    <n v="0"/>
    <n v="0"/>
    <n v="0"/>
    <n v="0"/>
    <s v="-"/>
    <s v="-"/>
    <n v="0"/>
  </r>
  <r>
    <x v="115"/>
    <s v="Utrecht, UT, NL"/>
    <n v="3"/>
    <n v="0"/>
    <n v="0"/>
    <n v="0"/>
    <n v="0"/>
    <s v="-"/>
    <s v="-"/>
    <n v="0"/>
  </r>
  <r>
    <x v="115"/>
    <s v="Utrecht, UT, NL"/>
    <n v="94"/>
    <n v="2.1299999999999999E-2"/>
    <n v="2"/>
    <n v="1"/>
    <n v="0.5"/>
    <n v="4.08"/>
    <n v="8.15"/>
    <n v="8.15"/>
  </r>
  <r>
    <x v="115"/>
    <s v="Utrecht, UT, NL"/>
    <n v="33"/>
    <n v="3.0299999999999997E-2"/>
    <n v="1"/>
    <n v="1"/>
    <n v="1"/>
    <n v="33.07"/>
    <n v="33.07"/>
    <n v="33.07"/>
  </r>
  <r>
    <x v="115"/>
    <s v="Delft, ZH, NL"/>
    <n v="110"/>
    <n v="4.5499999999999999E-2"/>
    <n v="5"/>
    <n v="0"/>
    <n v="0"/>
    <n v="0"/>
    <s v="-"/>
    <n v="0"/>
  </r>
  <r>
    <x v="115"/>
    <s v="Amsterdam, NH, NL"/>
    <n v="47"/>
    <n v="8.5099999999999995E-2"/>
    <n v="4"/>
    <n v="0"/>
    <n v="0"/>
    <n v="0"/>
    <s v="-"/>
    <n v="0"/>
  </r>
  <r>
    <x v="115"/>
    <s v="Utrecht, UT, NL"/>
    <n v="66"/>
    <n v="4.5499999999999999E-2"/>
    <n v="3"/>
    <n v="0"/>
    <n v="0"/>
    <n v="0"/>
    <s v="-"/>
    <n v="0"/>
  </r>
  <r>
    <x v="115"/>
    <s v="Delft, ZH, NL"/>
    <n v="47"/>
    <n v="6.3799999999999996E-2"/>
    <n v="3"/>
    <n v="0"/>
    <n v="0"/>
    <n v="0"/>
    <s v="-"/>
    <n v="0"/>
  </r>
  <r>
    <x v="115"/>
    <s v="Utrecht, UT, NL"/>
    <n v="78"/>
    <n v="2.5600000000000001E-2"/>
    <n v="2"/>
    <n v="0"/>
    <n v="0"/>
    <n v="0"/>
    <s v="-"/>
    <n v="0"/>
  </r>
  <r>
    <x v="115"/>
    <s v="Delft, ZH, NL"/>
    <n v="118"/>
    <n v="8.5000000000000006E-3"/>
    <n v="1"/>
    <n v="0"/>
    <n v="0"/>
    <n v="0"/>
    <s v="-"/>
    <n v="0"/>
  </r>
  <r>
    <x v="115"/>
    <s v="Delft, ZH, NL"/>
    <n v="41"/>
    <n v="0"/>
    <n v="0"/>
    <n v="0"/>
    <n v="0"/>
    <s v="-"/>
    <s v="-"/>
    <n v="0"/>
  </r>
  <r>
    <x v="116"/>
    <s v="Lochem, GE, NL"/>
    <n v="4290"/>
    <n v="9.8800000000000013E-2"/>
    <n v="424"/>
    <n v="20"/>
    <n v="4.7199999999999999E-2"/>
    <n v="0.41"/>
    <n v="8.73"/>
    <n v="174.64"/>
  </r>
  <r>
    <x v="116"/>
    <s v="Workum, FR, NL"/>
    <n v="58"/>
    <n v="0.3276"/>
    <n v="19"/>
    <n v="2"/>
    <n v="0.10529999999999999"/>
    <n v="0.24"/>
    <n v="2.2799999999999998"/>
    <n v="4.5599999999999996"/>
  </r>
  <r>
    <x v="116"/>
    <s v="Lochem, GE, NL"/>
    <n v="74"/>
    <n v="5.4100000000000002E-2"/>
    <n v="4"/>
    <n v="0"/>
    <n v="0"/>
    <n v="0"/>
    <s v="-"/>
    <n v="0"/>
  </r>
  <r>
    <x v="117"/>
    <s v="Drachten, FR, NL"/>
    <n v="17"/>
    <n v="0.1176"/>
    <n v="2"/>
    <n v="1"/>
    <n v="0.5"/>
    <n v="3.62"/>
    <n v="7.24"/>
    <n v="7.24"/>
  </r>
  <r>
    <x v="118"/>
    <s v="Rotterdam, ZH, NL"/>
    <n v="146"/>
    <n v="0.13699999999999998"/>
    <n v="20"/>
    <n v="3"/>
    <n v="0.15"/>
    <n v="0.45"/>
    <n v="2.97"/>
    <n v="8.91"/>
  </r>
  <r>
    <x v="119"/>
    <s v="Delft, ZH, NL"/>
    <n v="645"/>
    <n v="3.1E-2"/>
    <n v="20"/>
    <n v="0"/>
    <n v="0"/>
    <n v="0"/>
    <s v="-"/>
    <n v="0"/>
  </r>
  <r>
    <x v="120"/>
    <s v="Delft, ZH, NL"/>
    <n v="446"/>
    <n v="2.69E-2"/>
    <n v="12"/>
    <n v="0"/>
    <n v="0"/>
    <n v="0"/>
    <s v="-"/>
    <n v="0"/>
  </r>
  <r>
    <x v="120"/>
    <s v="Delft, ZH, NL"/>
    <n v="159"/>
    <n v="1.89E-2"/>
    <n v="3"/>
    <n v="0"/>
    <n v="0"/>
    <n v="0"/>
    <s v="-"/>
    <n v="0"/>
  </r>
  <r>
    <x v="121"/>
    <s v="Amsterdam, NH, NL"/>
    <n v="271"/>
    <n v="6.6400000000000001E-2"/>
    <n v="18"/>
    <n v="3"/>
    <n v="0.16670000000000001"/>
    <n v="0.4"/>
    <n v="2.37"/>
    <n v="7.12"/>
  </r>
  <r>
    <x v="122"/>
    <s v="Drachten, FR, NL"/>
    <n v="157"/>
    <n v="5.7300000000000004E-2"/>
    <n v="9"/>
    <n v="1"/>
    <n v="0.11109999999999999"/>
    <n v="19.3"/>
    <n v="173.74"/>
    <n v="173.74"/>
  </r>
  <r>
    <x v="122"/>
    <s v="Leeuwarden, FR, NL"/>
    <n v="37"/>
    <n v="0.1081"/>
    <n v="4"/>
    <n v="0"/>
    <n v="0"/>
    <n v="0"/>
    <s v="-"/>
    <n v="0"/>
  </r>
  <r>
    <x v="123"/>
    <s v="Gouda, ZH, NL"/>
    <n v="409"/>
    <n v="0.1076"/>
    <n v="44"/>
    <n v="4"/>
    <n v="9.0899999999999995E-2"/>
    <n v="0.67"/>
    <n v="7.36"/>
    <n v="29.43"/>
  </r>
  <r>
    <x v="124"/>
    <s v="Waddinxveen, ZH, NL"/>
    <n v="0"/>
    <n v="0"/>
    <n v="0"/>
    <n v="0"/>
    <n v="0"/>
    <s v="-"/>
    <s v="-"/>
    <n v="0"/>
  </r>
  <r>
    <x v="125"/>
    <s v="Doetinchem, GE, NL"/>
    <n v="184"/>
    <n v="5.9800000000000006E-2"/>
    <n v="11"/>
    <n v="2"/>
    <n v="0.18179999999999999"/>
    <n v="1.26"/>
    <n v="6.91"/>
    <n v="13.81"/>
  </r>
  <r>
    <x v="126"/>
    <s v="ZH, NL"/>
    <n v="301"/>
    <n v="5.9800000000000006E-2"/>
    <n v="18"/>
    <n v="1"/>
    <n v="5.5599999999999997E-2"/>
    <n v="0.59"/>
    <n v="10.53"/>
    <n v="10.53"/>
  </r>
  <r>
    <x v="127"/>
    <s v="Eindhoven, NB, NL"/>
    <n v="612"/>
    <n v="6.0499999999999998E-2"/>
    <n v="37"/>
    <n v="4"/>
    <n v="0.1081"/>
    <n v="0.57999999999999996"/>
    <n v="5.34"/>
    <n v="21.36"/>
  </r>
  <r>
    <x v="128"/>
    <s v="Breda, NB, NL"/>
    <n v="479"/>
    <n v="0.1232"/>
    <n v="59"/>
    <n v="3"/>
    <n v="5.0799999999999998E-2"/>
    <n v="0.15"/>
    <n v="2.88"/>
    <n v="8.6300000000000008"/>
  </r>
  <r>
    <x v="128"/>
    <s v="Eindhoven, NB, NL"/>
    <n v="473"/>
    <n v="9.5100000000000004E-2"/>
    <n v="45"/>
    <n v="2"/>
    <n v="4.4400000000000002E-2"/>
    <n v="0.51"/>
    <n v="11.47"/>
    <n v="22.93"/>
  </r>
  <r>
    <x v="128"/>
    <s v="Wijster, DR, NL"/>
    <n v="67"/>
    <n v="8.9600000000000013E-2"/>
    <n v="6"/>
    <n v="1"/>
    <n v="0.16670000000000001"/>
    <n v="0.42"/>
    <n v="2.54"/>
    <n v="2.54"/>
  </r>
  <r>
    <x v="128"/>
    <s v="Wijster, DR, NL"/>
    <n v="173"/>
    <n v="6.3600000000000004E-2"/>
    <n v="11"/>
    <n v="0"/>
    <n v="0"/>
    <n v="0"/>
    <s v="-"/>
    <n v="0"/>
  </r>
  <r>
    <x v="128"/>
    <s v="Wijster, DR, NL"/>
    <n v="42"/>
    <n v="0.16670000000000001"/>
    <n v="7"/>
    <n v="0"/>
    <n v="0"/>
    <n v="0"/>
    <s v="-"/>
    <n v="0"/>
  </r>
  <r>
    <x v="128"/>
    <s v="Eindhoven, NB, NL"/>
    <n v="1"/>
    <n v="0"/>
    <n v="0"/>
    <n v="0"/>
    <n v="0"/>
    <s v="-"/>
    <s v="-"/>
    <n v="0"/>
  </r>
  <r>
    <x v="128"/>
    <s v="Wijster, DR, NL"/>
    <n v="0"/>
    <n v="0"/>
    <n v="0"/>
    <n v="0"/>
    <n v="0"/>
    <s v="-"/>
    <s v="-"/>
    <n v="0"/>
  </r>
  <r>
    <x v="128"/>
    <s v="Breda, NB, NL"/>
    <n v="423"/>
    <n v="7.3300000000000004E-2"/>
    <n v="31"/>
    <n v="2"/>
    <n v="6.4500000000000002E-2"/>
    <n v="0.14000000000000001"/>
    <n v="2.2000000000000002"/>
    <n v="4.4000000000000004"/>
  </r>
  <r>
    <x v="128"/>
    <s v="Breda, NB, NL"/>
    <n v="328"/>
    <n v="8.2299999999999998E-2"/>
    <n v="27"/>
    <n v="1"/>
    <n v="3.7000000000000005E-2"/>
    <n v="0.28000000000000003"/>
    <n v="7.52"/>
    <n v="7.52"/>
  </r>
  <r>
    <x v="128"/>
    <s v="Hengelo OV, OV, NL"/>
    <n v="422"/>
    <n v="6.1600000000000002E-2"/>
    <n v="26"/>
    <n v="1"/>
    <n v="3.85E-2"/>
    <n v="0.48"/>
    <n v="12.38"/>
    <n v="12.38"/>
  </r>
  <r>
    <x v="128"/>
    <s v="Eindhoven, NB, NL"/>
    <n v="1646"/>
    <n v="9.4800000000000009E-2"/>
    <n v="156"/>
    <n v="22"/>
    <n v="0.14099999999999999"/>
    <n v="0.41"/>
    <n v="2.89"/>
    <n v="63.67"/>
  </r>
  <r>
    <x v="128"/>
    <s v="Eindhoven, NB, NL"/>
    <n v="1424"/>
    <n v="8.7100000000000011E-2"/>
    <n v="124"/>
    <n v="11"/>
    <n v="8.8699999999999987E-2"/>
    <n v="0.31"/>
    <n v="3.54"/>
    <n v="38.96"/>
  </r>
  <r>
    <x v="129"/>
    <s v="Almelo, OV, NL"/>
    <n v="276"/>
    <n v="7.6100000000000001E-2"/>
    <n v="21"/>
    <n v="2"/>
    <n v="9.5199999999999993E-2"/>
    <n v="0.32"/>
    <n v="3.36"/>
    <n v="6.72"/>
  </r>
  <r>
    <x v="2"/>
    <s v="Gouda, ZH, NL"/>
    <n v="241"/>
    <n v="5.8099999999999999E-2"/>
    <n v="14"/>
    <n v="0"/>
    <n v="0"/>
    <n v="0"/>
    <s v="-"/>
    <n v="0"/>
  </r>
  <r>
    <x v="2"/>
    <s v="Utrecht, UT, NL"/>
    <n v="295"/>
    <n v="4.7500000000000001E-2"/>
    <n v="14"/>
    <n v="0"/>
    <n v="0"/>
    <n v="0"/>
    <s v="-"/>
    <n v="0"/>
  </r>
  <r>
    <x v="103"/>
    <s v="Boxmeer, NB, NL"/>
    <n v="372"/>
    <n v="9.1400000000000009E-2"/>
    <n v="34"/>
    <n v="2"/>
    <n v="5.8799999999999998E-2"/>
    <n v="0.44"/>
    <n v="7.45"/>
    <n v="14.9"/>
  </r>
  <r>
    <x v="130"/>
    <s v="Utrecht, UT, NL"/>
    <n v="170"/>
    <n v="4.7100000000000003E-2"/>
    <n v="8"/>
    <n v="3"/>
    <n v="0.375"/>
    <n v="3.22"/>
    <n v="8.59"/>
    <n v="25.78"/>
  </r>
  <r>
    <x v="131"/>
    <s v="Eindhoven, NB, NL"/>
    <n v="1820"/>
    <n v="0.1225"/>
    <n v="223"/>
    <n v="13"/>
    <n v="5.8299999999999998E-2"/>
    <n v="0.24"/>
    <n v="4.13"/>
    <n v="53.73"/>
  </r>
  <r>
    <x v="131"/>
    <s v="Eindhoven, NB, NL"/>
    <n v="766"/>
    <n v="5.8700000000000002E-2"/>
    <n v="45"/>
    <n v="2"/>
    <n v="4.4400000000000002E-2"/>
    <n v="0.25"/>
    <n v="5.59"/>
    <n v="11.18"/>
  </r>
  <r>
    <x v="132"/>
    <s v="Den Haag, ZH, NL"/>
    <n v="2353"/>
    <n v="0.13220000000000001"/>
    <n v="311"/>
    <n v="49"/>
    <n v="0.15759999999999999"/>
    <n v="1.6"/>
    <n v="10.14"/>
    <n v="496.93"/>
  </r>
  <r>
    <x v="132"/>
    <s v="Den Haag, ZH, NL"/>
    <n v="1537"/>
    <n v="0.12300000000000001"/>
    <n v="189"/>
    <n v="26"/>
    <n v="0.1376"/>
    <n v="1.1100000000000001"/>
    <n v="8.07"/>
    <n v="209.94"/>
  </r>
  <r>
    <x v="132"/>
    <s v="Bunnik, UT, NL"/>
    <n v="541"/>
    <n v="9.98E-2"/>
    <n v="54"/>
    <n v="8"/>
    <n v="0.14810000000000001"/>
    <n v="0.35"/>
    <n v="2.38"/>
    <n v="19.059999999999999"/>
  </r>
  <r>
    <x v="132"/>
    <s v="Amsterdam, NH, NL"/>
    <n v="1425"/>
    <n v="0.1186"/>
    <n v="169"/>
    <n v="37"/>
    <n v="0.21890000000000001"/>
    <n v="1.6"/>
    <n v="7.32"/>
    <n v="270.95"/>
  </r>
  <r>
    <x v="132"/>
    <s v="Amsterdam, NH, NL"/>
    <n v="580"/>
    <n v="0.15689999999999998"/>
    <n v="91"/>
    <n v="20"/>
    <n v="0.2198"/>
    <n v="0.51"/>
    <n v="2.31"/>
    <n v="46.1"/>
  </r>
  <r>
    <x v="132"/>
    <s v="Delft, ZH, NL"/>
    <n v="1162"/>
    <n v="8.09E-2"/>
    <n v="94"/>
    <n v="17"/>
    <n v="0.18090000000000001"/>
    <n v="1.31"/>
    <n v="7.25"/>
    <n v="123.24"/>
  </r>
  <r>
    <x v="133"/>
    <s v="Arnhem, GE, NL"/>
    <n v="175"/>
    <n v="0.08"/>
    <n v="14"/>
    <n v="0"/>
    <n v="0"/>
    <n v="0"/>
    <s v="-"/>
    <n v="0"/>
  </r>
  <r>
    <x v="134"/>
    <s v="Eindhoven, NB, NL"/>
    <n v="479"/>
    <n v="6.0499999999999998E-2"/>
    <n v="29"/>
    <n v="1"/>
    <n v="3.4500000000000003E-2"/>
    <n v="0.15"/>
    <n v="4.4400000000000004"/>
    <n v="4.4400000000000004"/>
  </r>
  <r>
    <x v="135"/>
    <s v="Eindhoven, NB, NL"/>
    <n v="312"/>
    <n v="0.13780000000000001"/>
    <n v="43"/>
    <n v="7"/>
    <n v="0.1628"/>
    <n v="0.45"/>
    <n v="2.77"/>
    <n v="19.420000000000002"/>
  </r>
  <r>
    <x v="136"/>
    <s v="Eindhoven, NB, NL"/>
    <n v="3463"/>
    <n v="0.106"/>
    <n v="367"/>
    <n v="48"/>
    <n v="0.1308"/>
    <n v="0.28000000000000003"/>
    <n v="2.13"/>
    <n v="102.36"/>
  </r>
  <r>
    <x v="136"/>
    <s v="Eindhoven, NB, NL"/>
    <n v="2789"/>
    <n v="7.9600000000000004E-2"/>
    <n v="222"/>
    <n v="14"/>
    <n v="6.3099999999999989E-2"/>
    <n v="0.28999999999999998"/>
    <n v="4.68"/>
    <n v="65.45"/>
  </r>
  <r>
    <x v="137"/>
    <s v="Eindhoven, NB, NL"/>
    <n v="2970"/>
    <n v="0.1024"/>
    <n v="304"/>
    <n v="35"/>
    <n v="0.11509999999999999"/>
    <n v="0.25"/>
    <n v="2.14"/>
    <n v="74.84"/>
  </r>
  <r>
    <x v="137"/>
    <s v="Veldhoven, NB, NL"/>
    <n v="2093"/>
    <n v="0.11990000000000001"/>
    <n v="251"/>
    <n v="18"/>
    <n v="7.17E-2"/>
    <n v="0.52"/>
    <n v="7.21"/>
    <n v="129.69999999999999"/>
  </r>
  <r>
    <x v="137"/>
    <s v="Veldhoven, NB, NL"/>
    <n v="2215"/>
    <n v="8.1699999999999995E-2"/>
    <n v="181"/>
    <n v="13"/>
    <n v="7.1800000000000003E-2"/>
    <n v="0.2"/>
    <n v="2.76"/>
    <n v="35.85"/>
  </r>
  <r>
    <x v="138"/>
    <s v="Wageningen, GE, NL"/>
    <n v="744"/>
    <n v="0.10220000000000001"/>
    <n v="76"/>
    <n v="5"/>
    <n v="6.5799999999999997E-2"/>
    <n v="0.65"/>
    <n v="9.85"/>
    <n v="49.26"/>
  </r>
  <r>
    <x v="138"/>
    <s v="Amersfoort, UT, NL"/>
    <n v="582"/>
    <n v="6.3600000000000004E-2"/>
    <n v="37"/>
    <n v="5"/>
    <n v="0.1351"/>
    <n v="0.88"/>
    <n v="6.5"/>
    <n v="32.51"/>
  </r>
  <r>
    <x v="139"/>
    <s v="Amersfoort, UT, NL"/>
    <n v="520"/>
    <n v="7.3099999999999998E-2"/>
    <n v="38"/>
    <n v="2"/>
    <n v="5.2600000000000001E-2"/>
    <n v="0.11"/>
    <n v="2.0499999999999998"/>
    <n v="4.09"/>
  </r>
  <r>
    <x v="139"/>
    <s v="Amersfoort, UT, NL"/>
    <n v="270"/>
    <n v="8.1500000000000003E-2"/>
    <n v="22"/>
    <n v="2"/>
    <n v="9.0899999999999995E-2"/>
    <n v="0.52"/>
    <n v="5.77"/>
    <n v="11.54"/>
  </r>
  <r>
    <x v="139"/>
    <s v="Leerdam, UT, NL"/>
    <n v="437"/>
    <n v="9.6099999999999991E-2"/>
    <n v="42"/>
    <n v="1"/>
    <n v="2.3799999999999998E-2"/>
    <n v="0.25"/>
    <n v="10.33"/>
    <n v="10.33"/>
  </r>
  <r>
    <x v="140"/>
    <s v="Schiedam, ZH, NL"/>
    <n v="265"/>
    <n v="3.0200000000000001E-2"/>
    <n v="8"/>
    <n v="0"/>
    <n v="0"/>
    <n v="0"/>
    <s v="-"/>
    <n v="0"/>
  </r>
  <r>
    <x v="140"/>
    <s v="Wijster, DR, NL"/>
    <n v="25"/>
    <n v="0.12"/>
    <n v="3"/>
    <n v="1"/>
    <n v="0.33329999999999999"/>
    <n v="28.18"/>
    <n v="84.53"/>
    <n v="84.53"/>
  </r>
  <r>
    <x v="140"/>
    <s v="Wijster, DR, NL"/>
    <n v="95"/>
    <n v="0.1368"/>
    <n v="13"/>
    <n v="0"/>
    <n v="0"/>
    <n v="0"/>
    <s v="-"/>
    <n v="0"/>
  </r>
  <r>
    <x v="140"/>
    <s v="Wijster, DR, NL"/>
    <n v="191"/>
    <n v="5.2400000000000002E-2"/>
    <n v="10"/>
    <n v="0"/>
    <n v="0"/>
    <n v="0"/>
    <s v="-"/>
    <n v="0"/>
  </r>
  <r>
    <x v="140"/>
    <s v="Wijster, DR, NL"/>
    <n v="97"/>
    <n v="0.10310000000000001"/>
    <n v="10"/>
    <n v="0"/>
    <n v="0"/>
    <n v="0"/>
    <s v="-"/>
    <n v="0"/>
  </r>
  <r>
    <x v="140"/>
    <s v="Wijster, DR, NL"/>
    <n v="0"/>
    <n v="0"/>
    <n v="0"/>
    <n v="0"/>
    <n v="0"/>
    <s v="-"/>
    <s v="-"/>
    <n v="0"/>
  </r>
  <r>
    <x v="140"/>
    <s v="NL"/>
    <n v="963"/>
    <n v="8.3100000000000007E-2"/>
    <n v="80"/>
    <n v="7"/>
    <n v="8.7499999999999994E-2"/>
    <n v="0.26"/>
    <n v="2.97"/>
    <n v="20.79"/>
  </r>
  <r>
    <x v="140"/>
    <s v="Vlissingen, ZE, NL"/>
    <n v="388"/>
    <n v="5.9299999999999999E-2"/>
    <n v="23"/>
    <n v="1"/>
    <n v="4.3499999999999997E-2"/>
    <n v="0.51"/>
    <n v="11.67"/>
    <n v="11.67"/>
  </r>
  <r>
    <x v="141"/>
    <s v="Hengelo OV, OV, NL"/>
    <n v="477"/>
    <n v="0.1656"/>
    <n v="79"/>
    <n v="1"/>
    <n v="1.2699999999999999E-2"/>
    <n v="0.18"/>
    <n v="14.52"/>
    <n v="14.52"/>
  </r>
  <r>
    <x v="142"/>
    <s v="ZH, NL"/>
    <n v="386"/>
    <n v="6.9900000000000004E-2"/>
    <n v="27"/>
    <n v="3"/>
    <n v="0.11109999999999999"/>
    <n v="0.44"/>
    <n v="3.96"/>
    <n v="11.87"/>
  </r>
  <r>
    <x v="142"/>
    <s v="ZH, NL"/>
    <n v="255"/>
    <n v="8.6300000000000002E-2"/>
    <n v="22"/>
    <n v="1"/>
    <n v="4.5499999999999999E-2"/>
    <n v="0.08"/>
    <n v="1.7"/>
    <n v="1.7"/>
  </r>
  <r>
    <x v="143"/>
    <s v="Hoogezand, GR, NL"/>
    <n v="2436"/>
    <n v="0.1076"/>
    <n v="262"/>
    <n v="29"/>
    <n v="0.11070000000000001"/>
    <n v="0.27"/>
    <n v="2.48"/>
    <n v="71.78"/>
  </r>
  <r>
    <x v="144"/>
    <s v="Waddinxveen, ZH, NL"/>
    <n v="0"/>
    <n v="0"/>
    <n v="0"/>
    <n v="0"/>
    <n v="0"/>
    <s v="-"/>
    <s v="-"/>
    <n v="0"/>
  </r>
  <r>
    <x v="145"/>
    <s v="Utrecht, UT, NL"/>
    <n v="173"/>
    <n v="0.12140000000000001"/>
    <n v="21"/>
    <n v="1"/>
    <n v="4.7599999999999996E-2"/>
    <n v="0.61"/>
    <n v="12.81"/>
    <n v="12.81"/>
  </r>
  <r>
    <x v="145"/>
    <s v="Den Bosch, NB, NL"/>
    <n v="463"/>
    <n v="0.10369999999999999"/>
    <n v="48"/>
    <n v="0"/>
    <n v="0"/>
    <n v="0"/>
    <s v="-"/>
    <n v="0"/>
  </r>
  <r>
    <x v="146"/>
    <s v="NL"/>
    <n v="0"/>
    <n v="0"/>
    <n v="0"/>
    <n v="0"/>
    <n v="0"/>
    <s v="-"/>
    <s v="-"/>
    <n v="0"/>
  </r>
  <r>
    <x v="146"/>
    <s v="NL"/>
    <n v="0"/>
    <n v="0"/>
    <n v="0"/>
    <n v="0"/>
    <n v="0"/>
    <s v="-"/>
    <s v="-"/>
    <n v="0"/>
  </r>
  <r>
    <x v="147"/>
    <s v="Hengelo GLD, GE, NL"/>
    <n v="248"/>
    <n v="6.0499999999999998E-2"/>
    <n v="15"/>
    <n v="0"/>
    <n v="0"/>
    <n v="0"/>
    <s v="-"/>
    <n v="0"/>
  </r>
  <r>
    <x v="148"/>
    <s v="Delft, ZH, NL"/>
    <n v="750"/>
    <n v="3.3300000000000003E-2"/>
    <n v="25"/>
    <n v="4"/>
    <n v="0.16"/>
    <n v="0.52"/>
    <n v="3.27"/>
    <n v="13.06"/>
  </r>
  <r>
    <x v="149"/>
    <s v="Arnhem, GE, NL"/>
    <n v="125"/>
    <n v="7.2000000000000008E-2"/>
    <n v="9"/>
    <n v="0"/>
    <n v="0"/>
    <n v="0"/>
    <s v="-"/>
    <n v="0"/>
  </r>
  <r>
    <x v="150"/>
    <s v="Groningen, GR, NL"/>
    <n v="35"/>
    <n v="5.7099999999999998E-2"/>
    <n v="2"/>
    <n v="0"/>
    <n v="0"/>
    <n v="0"/>
    <s v="-"/>
    <n v="0"/>
  </r>
  <r>
    <x v="151"/>
    <s v="Schiphol, NH, NL"/>
    <n v="189"/>
    <n v="0.10580000000000001"/>
    <n v="20"/>
    <n v="0"/>
    <n v="0"/>
    <n v="0"/>
    <s v="-"/>
    <n v="0"/>
  </r>
  <r>
    <x v="152"/>
    <s v="Amsterdam, NH, NL"/>
    <n v="127"/>
    <n v="5.5099999999999996E-2"/>
    <n v="7"/>
    <n v="1"/>
    <n v="0.1429"/>
    <n v="0.9"/>
    <n v="6.3"/>
    <n v="6.3"/>
  </r>
  <r>
    <x v="153"/>
    <s v="Groningen, GR, NL"/>
    <n v="70"/>
    <n v="5.7099999999999998E-2"/>
    <n v="4"/>
    <n v="1"/>
    <n v="0.25"/>
    <n v="2"/>
    <n v="7.98"/>
    <n v="7.98"/>
  </r>
  <r>
    <x v="154"/>
    <s v="Rotterdam, ZH, NL"/>
    <n v="485"/>
    <n v="7.6299999999999993E-2"/>
    <n v="37"/>
    <n v="4"/>
    <n v="0.1081"/>
    <n v="0.84"/>
    <n v="7.81"/>
    <n v="31.22"/>
  </r>
  <r>
    <x v="155"/>
    <s v="Veldhoven, NB, NL"/>
    <n v="1"/>
    <n v="0"/>
    <n v="0"/>
    <n v="0"/>
    <n v="0"/>
    <s v="-"/>
    <s v="-"/>
    <n v="0"/>
  </r>
  <r>
    <x v="156"/>
    <s v="Almelo, OV, NL"/>
    <n v="134"/>
    <n v="0.12689999999999999"/>
    <n v="17"/>
    <n v="1"/>
    <n v="5.8799999999999998E-2"/>
    <n v="0.39"/>
    <n v="6.57"/>
    <n v="6.57"/>
  </r>
  <r>
    <x v="157"/>
    <s v="Amersfoort, UT, NL"/>
    <n v="128"/>
    <n v="5.4699999999999999E-2"/>
    <n v="7"/>
    <n v="1"/>
    <n v="0.1429"/>
    <n v="0.28999999999999998"/>
    <n v="2.06"/>
    <n v="2.06"/>
  </r>
  <r>
    <x v="158"/>
    <s v="Delft, ZH, NL"/>
    <n v="312"/>
    <n v="6.7299999999999999E-2"/>
    <n v="21"/>
    <n v="2"/>
    <n v="9.5199999999999993E-2"/>
    <n v="0.24"/>
    <n v="2.5499999999999998"/>
    <n v="5.09"/>
  </r>
  <r>
    <x v="158"/>
    <s v="Utrecht, UT, NL"/>
    <n v="260"/>
    <n v="6.1500000000000006E-2"/>
    <n v="16"/>
    <n v="1"/>
    <n v="6.25E-2"/>
    <n v="0.11"/>
    <n v="1.7"/>
    <n v="1.7"/>
  </r>
  <r>
    <x v="158"/>
    <s v="Amsterdam, NH, NL"/>
    <n v="235"/>
    <n v="5.1100000000000007E-2"/>
    <n v="12"/>
    <n v="1"/>
    <n v="8.3299999999999999E-2"/>
    <n v="0.14000000000000001"/>
    <n v="1.7"/>
    <n v="1.7"/>
  </r>
  <r>
    <x v="158"/>
    <s v="Amsterdam, NH, NL"/>
    <n v="246"/>
    <n v="6.0999999999999999E-2"/>
    <n v="15"/>
    <n v="0"/>
    <n v="0"/>
    <n v="0"/>
    <s v="-"/>
    <n v="0"/>
  </r>
  <r>
    <x v="158"/>
    <s v="Utrecht, UT, NL"/>
    <n v="112"/>
    <n v="7.1399999999999991E-2"/>
    <n v="8"/>
    <n v="0"/>
    <n v="0"/>
    <n v="0"/>
    <s v="-"/>
    <n v="0"/>
  </r>
  <r>
    <x v="159"/>
    <s v="Utrecht, UT, NL"/>
    <n v="845"/>
    <n v="4.9699999999999994E-2"/>
    <n v="42"/>
    <n v="3"/>
    <n v="7.1399999999999991E-2"/>
    <n v="1.56"/>
    <n v="21.9"/>
    <n v="65.69"/>
  </r>
  <r>
    <x v="159"/>
    <s v="Utrecht, UT, NL"/>
    <n v="124"/>
    <n v="5.6500000000000002E-2"/>
    <n v="7"/>
    <n v="1"/>
    <n v="0.1429"/>
    <n v="0.95"/>
    <n v="6.67"/>
    <n v="6.67"/>
  </r>
  <r>
    <x v="159"/>
    <s v="Utrecht, UT, NL"/>
    <n v="32"/>
    <n v="3.1300000000000001E-2"/>
    <n v="1"/>
    <n v="0"/>
    <n v="0"/>
    <n v="0"/>
    <s v="-"/>
    <n v="0"/>
  </r>
  <r>
    <x v="160"/>
    <s v="Utrecht, UT, NL"/>
    <n v="92"/>
    <n v="8.6999999999999994E-2"/>
    <n v="8"/>
    <n v="0"/>
    <n v="0"/>
    <n v="5.22"/>
    <n v="8.34"/>
    <n v="41.72"/>
  </r>
  <r>
    <x v="160"/>
    <s v="Utrecht, UT, NL"/>
    <n v="2141"/>
    <n v="7.5700000000000003E-2"/>
    <n v="162"/>
    <n v="12"/>
    <n v="7.4099999999999999E-2"/>
    <n v="1.0900000000000001"/>
    <n v="14.7"/>
    <n v="176.41"/>
  </r>
  <r>
    <x v="160"/>
    <s v="Utrecht, UT, NL"/>
    <n v="199"/>
    <n v="6.5299999999999997E-2"/>
    <n v="13"/>
    <n v="1"/>
    <n v="7.690000000000001E-2"/>
    <n v="0.42"/>
    <n v="5.5"/>
    <n v="5.5"/>
  </r>
  <r>
    <x v="161"/>
    <s v="Groningen, GR, NL"/>
    <n v="1515"/>
    <n v="7.7199999999999991E-2"/>
    <n v="117"/>
    <n v="9"/>
    <n v="7.690000000000001E-2"/>
    <n v="0.5"/>
    <n v="6.55"/>
    <n v="58.91"/>
  </r>
  <r>
    <x v="161"/>
    <s v="Oldenzaal, OV, NL"/>
    <n v="174"/>
    <n v="4.5999999999999999E-2"/>
    <n v="8"/>
    <n v="3"/>
    <n v="0.375"/>
    <n v="1.4"/>
    <n v="3.72"/>
    <n v="11.16"/>
  </r>
  <r>
    <x v="161"/>
    <s v="Meppel, DR, NL"/>
    <n v="219"/>
    <n v="5.0199999999999995E-2"/>
    <n v="11"/>
    <n v="2"/>
    <n v="0.18179999999999999"/>
    <n v="3.82"/>
    <n v="21.04"/>
    <n v="42.07"/>
  </r>
  <r>
    <x v="161"/>
    <s v="Schagen, NH, NL"/>
    <n v="105"/>
    <n v="5.7099999999999998E-2"/>
    <n v="6"/>
    <n v="2"/>
    <n v="0.33329999999999999"/>
    <n v="2.8"/>
    <n v="8.4"/>
    <n v="16.8"/>
  </r>
  <r>
    <x v="161"/>
    <s v="Groningen, GR, NL"/>
    <n v="381"/>
    <n v="5.2499999999999998E-2"/>
    <n v="20"/>
    <n v="1"/>
    <n v="0.05"/>
    <n v="0.2"/>
    <n v="4.0199999999999996"/>
    <n v="4.0199999999999996"/>
  </r>
  <r>
    <x v="161"/>
    <s v="Lutjewinkel, NH, NL"/>
    <n v="215"/>
    <n v="8.8399999999999992E-2"/>
    <n v="19"/>
    <n v="1"/>
    <n v="5.2600000000000001E-2"/>
    <n v="0.5"/>
    <n v="9.42"/>
    <n v="9.42"/>
  </r>
  <r>
    <x v="161"/>
    <s v="Beilen, DR, NL"/>
    <n v="196"/>
    <n v="6.1200000000000004E-2"/>
    <n v="12"/>
    <n v="1"/>
    <n v="8.3299999999999999E-2"/>
    <n v="0.91"/>
    <n v="10.94"/>
    <n v="10.94"/>
  </r>
  <r>
    <x v="161"/>
    <s v="Workum, FR, NL"/>
    <n v="276"/>
    <n v="3.9900000000000005E-2"/>
    <n v="11"/>
    <n v="1"/>
    <n v="9.0899999999999995E-2"/>
    <n v="1.1399999999999999"/>
    <n v="12.49"/>
    <n v="12.49"/>
  </r>
  <r>
    <x v="161"/>
    <s v="Marum, GR, NL"/>
    <n v="196"/>
    <n v="3.5699999999999996E-2"/>
    <n v="7"/>
    <n v="1"/>
    <n v="0.1429"/>
    <n v="2.37"/>
    <n v="16.61"/>
    <n v="16.61"/>
  </r>
  <r>
    <x v="161"/>
    <s v="Wolvega, FR, NL"/>
    <n v="88"/>
    <n v="7.9500000000000001E-2"/>
    <n v="7"/>
    <n v="1"/>
    <n v="0.1429"/>
    <n v="1.55"/>
    <n v="10.87"/>
    <n v="10.87"/>
  </r>
  <r>
    <x v="161"/>
    <s v="Ommen, OV, NL"/>
    <n v="196"/>
    <n v="3.0600000000000002E-2"/>
    <n v="6"/>
    <n v="1"/>
    <n v="0.16670000000000001"/>
    <n v="0.68"/>
    <n v="4.07"/>
    <n v="4.07"/>
  </r>
  <r>
    <x v="161"/>
    <s v="Groningen, GR, NL"/>
    <n v="158"/>
    <n v="3.7999999999999999E-2"/>
    <n v="6"/>
    <n v="1"/>
    <n v="0.16670000000000001"/>
    <n v="0.38"/>
    <n v="2.25"/>
    <n v="2.25"/>
  </r>
  <r>
    <x v="161"/>
    <s v="Drachten, FR, NL"/>
    <n v="94"/>
    <n v="5.3200000000000004E-2"/>
    <n v="5"/>
    <n v="1"/>
    <n v="0.2"/>
    <n v="1.94"/>
    <n v="9.7100000000000009"/>
    <n v="9.7100000000000009"/>
  </r>
  <r>
    <x v="161"/>
    <s v="Balkbrug, OV, NL"/>
    <n v="71"/>
    <n v="7.0400000000000004E-2"/>
    <n v="5"/>
    <n v="1"/>
    <n v="0.2"/>
    <n v="0.56000000000000005"/>
    <n v="2.82"/>
    <n v="2.82"/>
  </r>
  <r>
    <x v="161"/>
    <s v="Balkbrug, OV, NL"/>
    <n v="96"/>
    <n v="4.1700000000000001E-2"/>
    <n v="4"/>
    <n v="1"/>
    <n v="0.25"/>
    <n v="4.99"/>
    <n v="19.96"/>
    <n v="19.96"/>
  </r>
  <r>
    <x v="161"/>
    <s v="Zuidhorn, GR, NL"/>
    <n v="100"/>
    <n v="0.04"/>
    <n v="4"/>
    <n v="1"/>
    <n v="0.25"/>
    <n v="0.74"/>
    <n v="2.95"/>
    <n v="2.95"/>
  </r>
  <r>
    <x v="161"/>
    <s v="Borculo, GE, NL"/>
    <n v="226"/>
    <n v="0.1018"/>
    <n v="23"/>
    <n v="0"/>
    <n v="0"/>
    <n v="0"/>
    <s v="-"/>
    <n v="0"/>
  </r>
  <r>
    <x v="161"/>
    <s v="Leeuwarden, FR, NL"/>
    <n v="342"/>
    <n v="6.1399999999999996E-2"/>
    <n v="21"/>
    <n v="0"/>
    <n v="0"/>
    <n v="0"/>
    <s v="-"/>
    <n v="0"/>
  </r>
  <r>
    <x v="161"/>
    <s v="Balkbrug, OV, NL"/>
    <n v="224"/>
    <n v="5.7999999999999996E-2"/>
    <n v="13"/>
    <n v="0"/>
    <n v="0"/>
    <n v="0"/>
    <s v="-"/>
    <n v="0"/>
  </r>
  <r>
    <x v="161"/>
    <s v="Workum, FR, NL"/>
    <n v="191"/>
    <n v="5.2400000000000002E-2"/>
    <n v="10"/>
    <n v="0"/>
    <n v="0"/>
    <n v="0"/>
    <s v="-"/>
    <n v="0"/>
  </r>
  <r>
    <x v="161"/>
    <s v="Emmen, DR, NL"/>
    <n v="212"/>
    <n v="3.7699999999999997E-2"/>
    <n v="8"/>
    <n v="0"/>
    <n v="0"/>
    <n v="0"/>
    <s v="-"/>
    <n v="0"/>
  </r>
  <r>
    <x v="161"/>
    <s v="Schagen, NH, NL"/>
    <n v="74"/>
    <n v="8.1099999999999992E-2"/>
    <n v="6"/>
    <n v="0"/>
    <n v="0"/>
    <n v="0"/>
    <s v="-"/>
    <n v="0"/>
  </r>
  <r>
    <x v="161"/>
    <s v="Workum, FR, NL"/>
    <n v="80"/>
    <n v="7.4999999999999997E-2"/>
    <n v="6"/>
    <n v="0"/>
    <n v="0"/>
    <n v="0"/>
    <s v="-"/>
    <n v="0"/>
  </r>
  <r>
    <x v="161"/>
    <s v="Bedum, GR, NL"/>
    <n v="105"/>
    <n v="5.7099999999999998E-2"/>
    <n v="6"/>
    <n v="0"/>
    <n v="0"/>
    <n v="0"/>
    <s v="-"/>
    <n v="0"/>
  </r>
  <r>
    <x v="161"/>
    <s v="Marum, GR, NL"/>
    <n v="102"/>
    <n v="5.8799999999999998E-2"/>
    <n v="6"/>
    <n v="0"/>
    <n v="0"/>
    <n v="0"/>
    <s v="-"/>
    <n v="0"/>
  </r>
  <r>
    <x v="161"/>
    <s v="Bedum, GR, NL"/>
    <n v="89"/>
    <n v="5.62E-2"/>
    <n v="5"/>
    <n v="0"/>
    <n v="0"/>
    <n v="0"/>
    <s v="-"/>
    <n v="0"/>
  </r>
  <r>
    <x v="161"/>
    <s v="Wolvega, FR, NL"/>
    <n v="51"/>
    <n v="9.8000000000000004E-2"/>
    <n v="5"/>
    <n v="0"/>
    <n v="0"/>
    <n v="0"/>
    <s v="-"/>
    <n v="0"/>
  </r>
  <r>
    <x v="161"/>
    <s v="Assen, DR, NL"/>
    <n v="154"/>
    <n v="3.2500000000000001E-2"/>
    <n v="5"/>
    <n v="0"/>
    <n v="0"/>
    <n v="0"/>
    <s v="-"/>
    <n v="0"/>
  </r>
  <r>
    <x v="161"/>
    <s v="Emmen, DR, NL"/>
    <n v="122"/>
    <n v="4.0999999999999995E-2"/>
    <n v="5"/>
    <n v="0"/>
    <n v="0"/>
    <n v="0"/>
    <s v="-"/>
    <n v="0"/>
  </r>
  <r>
    <x v="161"/>
    <s v="Hoogeveen, DR, NL"/>
    <n v="62"/>
    <n v="8.0600000000000005E-2"/>
    <n v="5"/>
    <n v="0"/>
    <n v="0"/>
    <n v="0"/>
    <s v="-"/>
    <n v="0"/>
  </r>
  <r>
    <x v="161"/>
    <s v="Drachten, FR, NL"/>
    <n v="202"/>
    <n v="2.4799999999999999E-2"/>
    <n v="5"/>
    <n v="0"/>
    <n v="0"/>
    <n v="0"/>
    <s v="-"/>
    <n v="0"/>
  </r>
  <r>
    <x v="161"/>
    <s v="Marum, GR, NL"/>
    <n v="142"/>
    <n v="3.5200000000000002E-2"/>
    <n v="5"/>
    <n v="0"/>
    <n v="0"/>
    <n v="0"/>
    <s v="-"/>
    <n v="0"/>
  </r>
  <r>
    <x v="161"/>
    <s v="Steenwijk, OV, NL"/>
    <n v="72"/>
    <n v="5.5599999999999997E-2"/>
    <n v="4"/>
    <n v="0"/>
    <n v="0"/>
    <n v="0"/>
    <s v="-"/>
    <n v="0"/>
  </r>
  <r>
    <x v="161"/>
    <s v="Zuidhorn, GR, NL"/>
    <n v="140"/>
    <n v="2.86E-2"/>
    <n v="4"/>
    <n v="0"/>
    <n v="0"/>
    <n v="0"/>
    <s v="-"/>
    <n v="0"/>
  </r>
  <r>
    <x v="161"/>
    <s v="Zwolle, OV, NL"/>
    <n v="129"/>
    <n v="3.1E-2"/>
    <n v="4"/>
    <n v="0"/>
    <n v="0"/>
    <n v="0"/>
    <s v="-"/>
    <n v="0"/>
  </r>
  <r>
    <x v="161"/>
    <s v="Hoogeveen, DR, NL"/>
    <n v="137"/>
    <n v="2.92E-2"/>
    <n v="4"/>
    <n v="0"/>
    <n v="0"/>
    <n v="0"/>
    <s v="-"/>
    <n v="0"/>
  </r>
  <r>
    <x v="161"/>
    <s v="Balkbrug, OV, NL"/>
    <n v="70"/>
    <n v="5.7099999999999998E-2"/>
    <n v="4"/>
    <n v="0"/>
    <n v="0"/>
    <n v="0"/>
    <s v="-"/>
    <n v="0"/>
  </r>
  <r>
    <x v="161"/>
    <s v="Meppel, DR, NL"/>
    <n v="133"/>
    <n v="3.0099999999999998E-2"/>
    <n v="4"/>
    <n v="0"/>
    <n v="0"/>
    <n v="0"/>
    <s v="-"/>
    <n v="0"/>
  </r>
  <r>
    <x v="161"/>
    <s v="Assen, DR, NL"/>
    <n v="114"/>
    <n v="3.5099999999999999E-2"/>
    <n v="4"/>
    <n v="0"/>
    <n v="0"/>
    <n v="0"/>
    <s v="-"/>
    <n v="0"/>
  </r>
  <r>
    <x v="161"/>
    <s v="Schagen, NH, NL"/>
    <n v="0"/>
    <n v="0"/>
    <n v="0"/>
    <n v="0"/>
    <n v="0"/>
    <s v="-"/>
    <s v="-"/>
    <n v="0"/>
  </r>
  <r>
    <x v="161"/>
    <s v="Wolvega, FR, NL"/>
    <n v="0"/>
    <n v="0"/>
    <n v="0"/>
    <n v="0"/>
    <n v="0"/>
    <s v="-"/>
    <s v="-"/>
    <n v="0"/>
  </r>
  <r>
    <x v="161"/>
    <s v="Assen, DR, NL"/>
    <n v="0"/>
    <n v="0"/>
    <n v="0"/>
    <n v="0"/>
    <n v="0"/>
    <s v="-"/>
    <s v="-"/>
    <n v="0"/>
  </r>
  <r>
    <x v="161"/>
    <s v="Zuidhorn, GR, NL"/>
    <n v="0"/>
    <n v="0"/>
    <n v="0"/>
    <n v="0"/>
    <n v="0"/>
    <s v="-"/>
    <s v="-"/>
    <n v="0"/>
  </r>
  <r>
    <x v="161"/>
    <s v="Meppel, DR, NL"/>
    <n v="0"/>
    <n v="0"/>
    <n v="0"/>
    <n v="0"/>
    <n v="0"/>
    <s v="-"/>
    <s v="-"/>
    <n v="0"/>
  </r>
  <r>
    <x v="161"/>
    <s v="Drachten, FR, NL"/>
    <n v="0"/>
    <n v="0"/>
    <n v="0"/>
    <n v="0"/>
    <n v="0"/>
    <s v="-"/>
    <s v="-"/>
    <n v="0"/>
  </r>
  <r>
    <x v="161"/>
    <s v="Marum, GR, NL"/>
    <n v="0"/>
    <n v="0"/>
    <n v="0"/>
    <n v="0"/>
    <n v="0"/>
    <s v="-"/>
    <s v="-"/>
    <n v="0"/>
  </r>
  <r>
    <x v="161"/>
    <s v="Bedum, GR, NL"/>
    <n v="0"/>
    <n v="0"/>
    <n v="0"/>
    <n v="0"/>
    <n v="0"/>
    <s v="-"/>
    <s v="-"/>
    <n v="0"/>
  </r>
  <r>
    <x v="161"/>
    <s v="Workum, FR, NL"/>
    <n v="0"/>
    <n v="0"/>
    <n v="0"/>
    <n v="0"/>
    <n v="0"/>
    <s v="-"/>
    <s v="-"/>
    <n v="0"/>
  </r>
  <r>
    <x v="161"/>
    <s v="Emmen, DR, NL"/>
    <n v="0"/>
    <n v="0"/>
    <n v="0"/>
    <n v="0"/>
    <n v="0"/>
    <s v="-"/>
    <s v="-"/>
    <n v="0"/>
  </r>
  <r>
    <x v="161"/>
    <s v="Hoogeveen, DR, NL"/>
    <n v="0"/>
    <n v="0"/>
    <n v="0"/>
    <n v="0"/>
    <n v="0"/>
    <s v="-"/>
    <s v="-"/>
    <n v="0"/>
  </r>
  <r>
    <x v="161"/>
    <s v="Balkbrug, OV, NL"/>
    <n v="0"/>
    <n v="0"/>
    <n v="0"/>
    <n v="0"/>
    <n v="0"/>
    <s v="-"/>
    <s v="-"/>
    <n v="0"/>
  </r>
  <r>
    <x v="161"/>
    <s v="Ommen, OV, NL"/>
    <n v="0"/>
    <n v="0"/>
    <n v="0"/>
    <n v="0"/>
    <n v="0"/>
    <s v="-"/>
    <s v="-"/>
    <n v="0"/>
  </r>
  <r>
    <x v="161"/>
    <s v="Zwolle, OV, NL"/>
    <n v="0"/>
    <n v="0"/>
    <n v="0"/>
    <n v="0"/>
    <n v="0"/>
    <s v="-"/>
    <s v="-"/>
    <n v="0"/>
  </r>
  <r>
    <x v="161"/>
    <s v="Steenwijk, OV, NL"/>
    <n v="0"/>
    <n v="0"/>
    <n v="0"/>
    <n v="0"/>
    <n v="0"/>
    <s v="-"/>
    <s v="-"/>
    <n v="0"/>
  </r>
  <r>
    <x v="161"/>
    <s v="Groningen, GR, NL"/>
    <n v="0"/>
    <n v="0"/>
    <n v="0"/>
    <n v="0"/>
    <n v="0"/>
    <s v="-"/>
    <s v="-"/>
    <n v="0"/>
  </r>
  <r>
    <x v="161"/>
    <s v="Oldenzaal, OV, NL"/>
    <n v="0"/>
    <n v="0"/>
    <n v="0"/>
    <n v="0"/>
    <n v="0"/>
    <s v="-"/>
    <s v="-"/>
    <n v="0"/>
  </r>
  <r>
    <x v="161"/>
    <s v="Zwolle, OV, NL"/>
    <n v="9"/>
    <n v="0"/>
    <n v="0"/>
    <n v="0"/>
    <n v="0"/>
    <s v="-"/>
    <s v="-"/>
    <n v="0"/>
  </r>
  <r>
    <x v="162"/>
    <s v="Den Haag, ZH, NL"/>
    <n v="221"/>
    <n v="8.5999999999999993E-2"/>
    <n v="19"/>
    <n v="1"/>
    <n v="5.2600000000000001E-2"/>
    <n v="0.52"/>
    <n v="9.84"/>
    <n v="9.84"/>
  </r>
  <r>
    <x v="162"/>
    <s v="Leiden, ZH, NL"/>
    <n v="207"/>
    <n v="3.8599999999999995E-2"/>
    <n v="8"/>
    <n v="0"/>
    <n v="0"/>
    <n v="0"/>
    <s v="-"/>
    <n v="0"/>
  </r>
  <r>
    <x v="163"/>
    <s v="Delft, ZH, NL"/>
    <n v="50"/>
    <n v="0.14000000000000001"/>
    <n v="7"/>
    <n v="0"/>
    <n v="0"/>
    <n v="7.11"/>
    <n v="8.2899999999999991"/>
    <n v="49.76"/>
  </r>
  <r>
    <x v="163"/>
    <s v="Delft, ZH, NL"/>
    <n v="537"/>
    <n v="4.0999999999999995E-2"/>
    <n v="22"/>
    <n v="4"/>
    <n v="0.18179999999999999"/>
    <n v="2.58"/>
    <n v="14.22"/>
    <n v="56.86"/>
  </r>
  <r>
    <x v="163"/>
    <s v="Delft, ZH, NL"/>
    <n v="411"/>
    <n v="5.3499999999999999E-2"/>
    <n v="22"/>
    <n v="4"/>
    <n v="0.18179999999999999"/>
    <n v="2.12"/>
    <n v="11.67"/>
    <n v="46.69"/>
  </r>
  <r>
    <x v="163"/>
    <s v="Delft, ZH, NL"/>
    <n v="604"/>
    <n v="4.2999999999999997E-2"/>
    <n v="26"/>
    <n v="3"/>
    <n v="0.11539999999999999"/>
    <n v="3.37"/>
    <n v="29.23"/>
    <n v="87.68"/>
  </r>
  <r>
    <x v="163"/>
    <s v="OV, NL"/>
    <n v="490"/>
    <n v="3.4700000000000002E-2"/>
    <n v="17"/>
    <n v="1"/>
    <n v="5.8799999999999998E-2"/>
    <n v="0.44"/>
    <n v="7.43"/>
    <n v="7.43"/>
  </r>
  <r>
    <x v="163"/>
    <s v="Delft, ZH, NL"/>
    <n v="110"/>
    <n v="6.3600000000000004E-2"/>
    <n v="7"/>
    <n v="1"/>
    <n v="0.1429"/>
    <n v="3.01"/>
    <n v="21.08"/>
    <n v="21.08"/>
  </r>
  <r>
    <x v="163"/>
    <s v="Delft, ZH, NL"/>
    <n v="123"/>
    <n v="4.07E-2"/>
    <n v="5"/>
    <n v="0"/>
    <n v="0"/>
    <n v="0"/>
    <s v="-"/>
    <n v="0"/>
  </r>
  <r>
    <x v="163"/>
    <s v="Delft, ZH, NL"/>
    <n v="11"/>
    <n v="0"/>
    <n v="0"/>
    <n v="0"/>
    <n v="0"/>
    <s v="-"/>
    <s v="-"/>
    <n v="0"/>
  </r>
  <r>
    <x v="163"/>
    <s v="Delft, ZH, NL"/>
    <n v="309"/>
    <n v="8.7400000000000005E-2"/>
    <n v="27"/>
    <n v="2"/>
    <n v="7.4099999999999999E-2"/>
    <n v="0.75"/>
    <n v="10.18"/>
    <n v="20.36"/>
  </r>
  <r>
    <x v="163"/>
    <s v="Delft, ZH, NL"/>
    <n v="33"/>
    <n v="0.1515"/>
    <n v="5"/>
    <n v="1"/>
    <n v="0.2"/>
    <n v="1.79"/>
    <n v="8.9700000000000006"/>
    <n v="8.9700000000000006"/>
  </r>
  <r>
    <x v="163"/>
    <s v="Delft, ZH, NL"/>
    <n v="231"/>
    <n v="5.1900000000000002E-2"/>
    <n v="12"/>
    <n v="0"/>
    <n v="0"/>
    <n v="0"/>
    <s v="-"/>
    <n v="0"/>
  </r>
  <r>
    <x v="163"/>
    <s v="Delft, ZH, NL"/>
    <n v="206"/>
    <n v="4.8499999999999995E-2"/>
    <n v="10"/>
    <n v="0"/>
    <n v="0"/>
    <n v="0"/>
    <s v="-"/>
    <n v="0"/>
  </r>
  <r>
    <x v="163"/>
    <s v="Delft, ZH, NL"/>
    <n v="43"/>
    <n v="4.6500000000000007E-2"/>
    <n v="2"/>
    <n v="0"/>
    <n v="0"/>
    <n v="0"/>
    <s v="-"/>
    <n v="0"/>
  </r>
  <r>
    <x v="163"/>
    <s v="Delft, ZH, NL"/>
    <n v="2"/>
    <n v="0"/>
    <n v="0"/>
    <n v="0"/>
    <n v="0"/>
    <s v="-"/>
    <s v="-"/>
    <n v="0"/>
  </r>
  <r>
    <x v="163"/>
    <s v="Delft, ZH, NL"/>
    <n v="91"/>
    <n v="5.4900000000000004E-2"/>
    <n v="5"/>
    <n v="1"/>
    <n v="0.2"/>
    <n v="4.75"/>
    <n v="23.74"/>
    <n v="23.74"/>
  </r>
  <r>
    <x v="163"/>
    <s v="Delft, ZH, NL"/>
    <n v="46"/>
    <n v="0"/>
    <n v="0"/>
    <n v="0"/>
    <n v="0"/>
    <s v="-"/>
    <s v="-"/>
    <n v="0"/>
  </r>
  <r>
    <x v="163"/>
    <s v="Delft, ZH, NL"/>
    <n v="36"/>
    <n v="0"/>
    <n v="0"/>
    <n v="0"/>
    <n v="0"/>
    <s v="-"/>
    <s v="-"/>
    <n v="0"/>
  </r>
  <r>
    <x v="163"/>
    <s v="Delft, ZH, NL"/>
    <n v="11"/>
    <n v="0"/>
    <n v="0"/>
    <n v="0"/>
    <n v="0"/>
    <s v="-"/>
    <s v="-"/>
    <n v="0"/>
  </r>
  <r>
    <x v="163"/>
    <s v="Delft, ZH, NL"/>
    <n v="7"/>
    <n v="0"/>
    <n v="0"/>
    <n v="0"/>
    <n v="0"/>
    <s v="-"/>
    <s v="-"/>
    <n v="0"/>
  </r>
  <r>
    <x v="163"/>
    <s v="Delft, ZH, NL"/>
    <n v="129"/>
    <n v="2.3300000000000001E-2"/>
    <n v="3"/>
    <n v="0"/>
    <n v="0"/>
    <n v="0"/>
    <s v="-"/>
    <n v="0"/>
  </r>
  <r>
    <x v="163"/>
    <s v="Delft, ZH, NL"/>
    <n v="73"/>
    <n v="2.7400000000000001E-2"/>
    <n v="2"/>
    <n v="0"/>
    <n v="0"/>
    <n v="0"/>
    <s v="-"/>
    <n v="0"/>
  </r>
  <r>
    <x v="163"/>
    <s v="Delft, ZH, NL"/>
    <n v="45"/>
    <n v="2.2200000000000001E-2"/>
    <n v="1"/>
    <n v="0"/>
    <n v="0"/>
    <n v="0"/>
    <s v="-"/>
    <n v="0"/>
  </r>
  <r>
    <x v="163"/>
    <s v="Delft, ZH, NL"/>
    <n v="79"/>
    <n v="0"/>
    <n v="0"/>
    <n v="0"/>
    <n v="0"/>
    <s v="-"/>
    <s v="-"/>
    <n v="0"/>
  </r>
  <r>
    <x v="163"/>
    <s v="Delft, ZH, NL"/>
    <n v="56"/>
    <n v="0"/>
    <n v="0"/>
    <n v="0"/>
    <n v="0"/>
    <s v="-"/>
    <s v="-"/>
    <n v="0"/>
  </r>
  <r>
    <x v="163"/>
    <s v="Delft, ZH, NL"/>
    <n v="0"/>
    <n v="0"/>
    <n v="0"/>
    <n v="0"/>
    <n v="0"/>
    <s v="-"/>
    <s v="-"/>
    <n v="0"/>
  </r>
  <r>
    <x v="163"/>
    <s v="Delft, ZH, NL"/>
    <n v="58"/>
    <n v="5.1699999999999996E-2"/>
    <n v="3"/>
    <n v="0"/>
    <n v="0"/>
    <n v="0"/>
    <s v="-"/>
    <n v="0"/>
  </r>
  <r>
    <x v="163"/>
    <s v="Delft, ZH, NL"/>
    <n v="74"/>
    <n v="1.3500000000000002E-2"/>
    <n v="1"/>
    <n v="0"/>
    <n v="0"/>
    <n v="0"/>
    <s v="-"/>
    <n v="0"/>
  </r>
  <r>
    <x v="163"/>
    <s v="Delft, ZH, NL"/>
    <n v="11"/>
    <n v="9.0899999999999995E-2"/>
    <n v="1"/>
    <n v="0"/>
    <n v="0"/>
    <n v="0"/>
    <s v="-"/>
    <n v="0"/>
  </r>
  <r>
    <x v="163"/>
    <s v="Delft, ZH, NL"/>
    <n v="45"/>
    <n v="0"/>
    <n v="0"/>
    <n v="0"/>
    <n v="0"/>
    <s v="-"/>
    <s v="-"/>
    <n v="0"/>
  </r>
  <r>
    <x v="163"/>
    <s v="Delft, ZH, NL"/>
    <n v="23"/>
    <n v="0"/>
    <n v="0"/>
    <n v="0"/>
    <n v="0"/>
    <s v="-"/>
    <n v="0"/>
    <n v="0"/>
  </r>
  <r>
    <x v="163"/>
    <s v="Delft, ZH, NL"/>
    <n v="266"/>
    <n v="4.1399999999999999E-2"/>
    <n v="11"/>
    <n v="2"/>
    <n v="0.18179999999999999"/>
    <n v="5.04"/>
    <n v="27.72"/>
    <n v="55.44"/>
  </r>
  <r>
    <x v="163"/>
    <s v="Delft, ZH, NL"/>
    <n v="309"/>
    <n v="3.56E-2"/>
    <n v="11"/>
    <n v="0"/>
    <n v="0"/>
    <n v="0"/>
    <s v="-"/>
    <n v="0"/>
  </r>
  <r>
    <x v="163"/>
    <s v="Delft, ZH, NL"/>
    <n v="214"/>
    <n v="1.3999999999999999E-2"/>
    <n v="3"/>
    <n v="0"/>
    <n v="0"/>
    <n v="0"/>
    <s v="-"/>
    <n v="0"/>
  </r>
  <r>
    <x v="163"/>
    <s v="Delft, ZH, NL"/>
    <n v="70"/>
    <n v="4.2900000000000001E-2"/>
    <n v="3"/>
    <n v="0"/>
    <n v="0"/>
    <n v="0"/>
    <s v="-"/>
    <n v="0"/>
  </r>
  <r>
    <x v="163"/>
    <s v="Delft, ZH, NL"/>
    <n v="50"/>
    <n v="0.06"/>
    <n v="3"/>
    <n v="0"/>
    <n v="0"/>
    <n v="0"/>
    <s v="-"/>
    <n v="0"/>
  </r>
  <r>
    <x v="163"/>
    <s v="Delft, ZH, NL"/>
    <n v="32"/>
    <n v="6.25E-2"/>
    <n v="2"/>
    <n v="0"/>
    <n v="0"/>
    <n v="0"/>
    <s v="-"/>
    <n v="0"/>
  </r>
  <r>
    <x v="163"/>
    <s v="Delft, ZH, NL"/>
    <n v="31"/>
    <n v="6.4500000000000002E-2"/>
    <n v="2"/>
    <n v="0"/>
    <n v="0"/>
    <n v="0"/>
    <s v="-"/>
    <n v="0"/>
  </r>
  <r>
    <x v="163"/>
    <s v="Den Haag, ZH, NL"/>
    <n v="335"/>
    <n v="4.1799999999999997E-2"/>
    <n v="14"/>
    <n v="1"/>
    <n v="7.1399999999999991E-2"/>
    <n v="0.81"/>
    <n v="11.29"/>
    <n v="11.29"/>
  </r>
  <r>
    <x v="163"/>
    <s v="Gouda, ZH, NL"/>
    <n v="149"/>
    <n v="4.0300000000000002E-2"/>
    <n v="6"/>
    <n v="0"/>
    <n v="0"/>
    <n v="0"/>
    <s v="-"/>
    <n v="0"/>
  </r>
  <r>
    <x v="163"/>
    <s v="Gouda, ZH, NL"/>
    <n v="150"/>
    <n v="5.33E-2"/>
    <n v="8"/>
    <n v="1"/>
    <n v="0.125"/>
    <n v="0.49"/>
    <n v="3.91"/>
    <n v="3.91"/>
  </r>
  <r>
    <x v="164"/>
    <s v="Gouda, ZH, NL"/>
    <n v="169"/>
    <n v="1.78E-2"/>
    <n v="3"/>
    <n v="0"/>
    <n v="0"/>
    <n v="0"/>
    <s v="-"/>
    <n v="0"/>
  </r>
  <r>
    <x v="165"/>
    <s v="Westerbork, DR, NL"/>
    <n v="241"/>
    <n v="9.1300000000000006E-2"/>
    <n v="22"/>
    <n v="2"/>
    <n v="9.0899999999999995E-2"/>
    <n v="0.3"/>
    <n v="3.33"/>
    <n v="6.65"/>
  </r>
  <r>
    <x v="165"/>
    <s v="Westerbork, DR, NL"/>
    <n v="907"/>
    <n v="0.11470000000000001"/>
    <n v="104"/>
    <n v="5"/>
    <n v="4.8099999999999997E-2"/>
    <n v="0.09"/>
    <n v="1.81"/>
    <n v="9.07"/>
  </r>
  <r>
    <x v="166"/>
    <s v="Den Haag, ZH, NL"/>
    <n v="265"/>
    <n v="2.64E-2"/>
    <n v="7"/>
    <n v="0"/>
    <n v="0"/>
    <n v="0"/>
    <s v="-"/>
    <n v="0"/>
  </r>
  <r>
    <x v="166"/>
    <s v="Leiden, ZH, NL"/>
    <n v="212"/>
    <n v="3.3000000000000002E-2"/>
    <n v="7"/>
    <n v="0"/>
    <n v="0"/>
    <n v="0"/>
    <s v="-"/>
    <n v="0"/>
  </r>
  <r>
    <x v="166"/>
    <s v="Rotterdam, ZH, NL"/>
    <n v="254"/>
    <n v="1.5700000000000002E-2"/>
    <n v="4"/>
    <n v="0"/>
    <n v="0"/>
    <n v="0"/>
    <s v="-"/>
    <n v="0"/>
  </r>
  <r>
    <x v="166"/>
    <s v="Den Haag, ZH, NL"/>
    <n v="140"/>
    <n v="0.05"/>
    <n v="7"/>
    <n v="1"/>
    <n v="0.1429"/>
    <n v="1.88"/>
    <n v="13.15"/>
    <n v="13.15"/>
  </r>
  <r>
    <x v="167"/>
    <s v="Oss, NB, NL"/>
    <n v="1108"/>
    <n v="5.2300000000000006E-2"/>
    <n v="58"/>
    <n v="2"/>
    <n v="3.4500000000000003E-2"/>
    <n v="0.17"/>
    <n v="4.82"/>
    <n v="9.64"/>
  </r>
  <r>
    <x v="168"/>
    <s v="Groningen, GR, NL"/>
    <n v="41"/>
    <n v="7.3200000000000001E-2"/>
    <n v="3"/>
    <n v="0"/>
    <n v="0"/>
    <n v="0"/>
    <s v="-"/>
    <n v="0"/>
  </r>
  <r>
    <x v="168"/>
    <s v="Bunnik, UT, NL"/>
    <n v="12"/>
    <n v="8.3299999999999999E-2"/>
    <n v="1"/>
    <n v="0"/>
    <n v="0"/>
    <n v="0"/>
    <s v="-"/>
    <n v="0"/>
  </r>
  <r>
    <x v="168"/>
    <s v="Zwolle, OV, NL"/>
    <n v="30"/>
    <n v="0"/>
    <n v="0"/>
    <n v="0"/>
    <n v="0"/>
    <s v="-"/>
    <s v="-"/>
    <n v="0"/>
  </r>
  <r>
    <x v="168"/>
    <s v="Groningen, GR, NL"/>
    <n v="41"/>
    <n v="9.7599999999999992E-2"/>
    <n v="4"/>
    <n v="0"/>
    <n v="0"/>
    <n v="0"/>
    <s v="-"/>
    <n v="0"/>
  </r>
  <r>
    <x v="168"/>
    <s v="Zwolle, OV, NL"/>
    <n v="19"/>
    <n v="0"/>
    <n v="0"/>
    <n v="0"/>
    <n v="0"/>
    <s v="-"/>
    <s v="-"/>
    <n v="0"/>
  </r>
  <r>
    <x v="168"/>
    <s v="Bunnik, UT, NL"/>
    <n v="15"/>
    <n v="0"/>
    <n v="0"/>
    <n v="0"/>
    <n v="0"/>
    <s v="-"/>
    <s v="-"/>
    <n v="0"/>
  </r>
  <r>
    <x v="168"/>
    <s v="Delft, ZH, NL"/>
    <n v="6"/>
    <n v="0"/>
    <n v="0"/>
    <n v="0"/>
    <n v="0"/>
    <s v="-"/>
    <n v="0"/>
    <n v="0"/>
  </r>
  <r>
    <x v="168"/>
    <s v="Delft, ZH, NL"/>
    <n v="526"/>
    <n v="4.7500000000000001E-2"/>
    <n v="25"/>
    <n v="6"/>
    <n v="0.24"/>
    <n v="11.74"/>
    <n v="48.92"/>
    <n v="293.49"/>
  </r>
  <r>
    <x v="168"/>
    <s v="Utrecht, UT, NL"/>
    <n v="669"/>
    <n v="3.1400000000000004E-2"/>
    <n v="21"/>
    <n v="3"/>
    <n v="0.1429"/>
    <n v="2.46"/>
    <n v="17.22"/>
    <n v="51.67"/>
  </r>
  <r>
    <x v="168"/>
    <s v="Delft, ZH, NL"/>
    <n v="628"/>
    <n v="5.7300000000000004E-2"/>
    <n v="36"/>
    <n v="2"/>
    <n v="5.5599999999999997E-2"/>
    <n v="0.71"/>
    <n v="12.7"/>
    <n v="25.4"/>
  </r>
  <r>
    <x v="168"/>
    <s v="Delft, ZH, NL"/>
    <n v="230"/>
    <n v="3.04E-2"/>
    <n v="7"/>
    <n v="2"/>
    <n v="0.28570000000000001"/>
    <n v="4.4000000000000004"/>
    <n v="15.39"/>
    <n v="30.78"/>
  </r>
  <r>
    <x v="168"/>
    <s v="Utrecht, UT, NL"/>
    <n v="406"/>
    <n v="4.6799999999999994E-2"/>
    <n v="19"/>
    <n v="1"/>
    <n v="5.2600000000000001E-2"/>
    <n v="0.95"/>
    <n v="18"/>
    <n v="18"/>
  </r>
  <r>
    <x v="168"/>
    <s v="Delft, ZH, NL"/>
    <n v="94"/>
    <n v="3.1899999999999998E-2"/>
    <n v="3"/>
    <n v="1"/>
    <n v="0.33329999999999999"/>
    <n v="0"/>
    <n v="0"/>
    <n v="0"/>
  </r>
  <r>
    <x v="168"/>
    <s v="Delft, ZH, NL"/>
    <n v="336"/>
    <n v="4.7599999999999996E-2"/>
    <n v="16"/>
    <n v="0"/>
    <n v="0"/>
    <n v="0"/>
    <s v="-"/>
    <n v="0"/>
  </r>
  <r>
    <x v="168"/>
    <s v="Delft, ZH, NL"/>
    <n v="73"/>
    <n v="4.1100000000000005E-2"/>
    <n v="3"/>
    <n v="0"/>
    <n v="0"/>
    <n v="0"/>
    <s v="-"/>
    <n v="0"/>
  </r>
  <r>
    <x v="168"/>
    <s v="Delft, ZH, NL"/>
    <n v="23"/>
    <n v="4.3499999999999997E-2"/>
    <n v="1"/>
    <n v="0"/>
    <n v="0"/>
    <n v="0"/>
    <s v="-"/>
    <n v="0"/>
  </r>
  <r>
    <x v="168"/>
    <s v="Utrecht, UT, NL"/>
    <n v="11"/>
    <n v="0"/>
    <n v="0"/>
    <n v="0"/>
    <n v="0"/>
    <s v="-"/>
    <s v="-"/>
    <n v="0"/>
  </r>
  <r>
    <x v="168"/>
    <s v="Delft, ZH, NL"/>
    <n v="261"/>
    <n v="7.6600000000000001E-2"/>
    <n v="20"/>
    <n v="4"/>
    <n v="0.2"/>
    <n v="1.41"/>
    <n v="7.06"/>
    <n v="28.25"/>
  </r>
  <r>
    <x v="168"/>
    <s v="Utrecht, UT, NL"/>
    <n v="313"/>
    <n v="8.6300000000000002E-2"/>
    <n v="27"/>
    <n v="3"/>
    <n v="0.11109999999999999"/>
    <n v="1.7"/>
    <n v="15.32"/>
    <n v="45.96"/>
  </r>
  <r>
    <x v="168"/>
    <s v="Delft, ZH, NL"/>
    <n v="255"/>
    <n v="6.6699999999999995E-2"/>
    <n v="17"/>
    <n v="3"/>
    <n v="0.17649999999999999"/>
    <n v="2.69"/>
    <n v="15.25"/>
    <n v="45.75"/>
  </r>
  <r>
    <x v="168"/>
    <s v="Utrecht, UT, NL"/>
    <n v="323"/>
    <n v="4.6399999999999997E-2"/>
    <n v="15"/>
    <n v="3"/>
    <n v="0.2"/>
    <n v="3.86"/>
    <n v="19.3"/>
    <n v="57.91"/>
  </r>
  <r>
    <x v="168"/>
    <s v="Delft, ZH, NL"/>
    <n v="297"/>
    <n v="4.7100000000000003E-2"/>
    <n v="14"/>
    <n v="2"/>
    <n v="0.1429"/>
    <n v="1.41"/>
    <n v="9.86"/>
    <n v="19.72"/>
  </r>
  <r>
    <x v="168"/>
    <s v="Utrecht, UT, NL"/>
    <n v="48"/>
    <n v="6.25E-2"/>
    <n v="3"/>
    <n v="1"/>
    <n v="0.33329999999999999"/>
    <n v="6.37"/>
    <n v="19.12"/>
    <n v="19.12"/>
  </r>
  <r>
    <x v="168"/>
    <s v="Delft, ZH, NL"/>
    <n v="45"/>
    <n v="6.6699999999999995E-2"/>
    <n v="3"/>
    <n v="1"/>
    <n v="0.33329999999999999"/>
    <n v="3.33"/>
    <n v="10"/>
    <n v="10"/>
  </r>
  <r>
    <x v="168"/>
    <s v="Utrecht, UT, NL"/>
    <n v="187"/>
    <n v="4.2800000000000005E-2"/>
    <n v="8"/>
    <n v="0"/>
    <n v="0"/>
    <n v="0"/>
    <s v="-"/>
    <n v="0"/>
  </r>
  <r>
    <x v="168"/>
    <s v="Delft, ZH, NL"/>
    <n v="10"/>
    <n v="0.1"/>
    <n v="1"/>
    <n v="0"/>
    <n v="0"/>
    <n v="0"/>
    <s v="-"/>
    <n v="0"/>
  </r>
  <r>
    <x v="168"/>
    <s v="Amsterdam, NH, NL"/>
    <n v="332"/>
    <n v="9.64E-2"/>
    <n v="32"/>
    <n v="0"/>
    <n v="0"/>
    <n v="0"/>
    <s v="-"/>
    <n v="0"/>
  </r>
  <r>
    <x v="168"/>
    <s v="Delft, ZH, NL"/>
    <n v="15"/>
    <n v="0"/>
    <n v="0"/>
    <n v="0"/>
    <n v="0"/>
    <s v="-"/>
    <s v="-"/>
    <n v="0"/>
  </r>
  <r>
    <x v="168"/>
    <s v="Delft, ZH, NL"/>
    <n v="4"/>
    <n v="0"/>
    <n v="0"/>
    <n v="0"/>
    <n v="0"/>
    <s v="-"/>
    <s v="-"/>
    <n v="0"/>
  </r>
  <r>
    <x v="168"/>
    <s v="Delft, ZH, NL"/>
    <n v="160"/>
    <n v="3.7499999999999999E-2"/>
    <n v="6"/>
    <n v="1"/>
    <n v="0.16670000000000001"/>
    <n v="2.5"/>
    <n v="14.98"/>
    <n v="14.98"/>
  </r>
  <r>
    <x v="168"/>
    <s v="Utrecht, UT, NL"/>
    <n v="304"/>
    <n v="2.3E-2"/>
    <n v="7"/>
    <n v="0"/>
    <n v="0"/>
    <n v="0"/>
    <s v="-"/>
    <n v="0"/>
  </r>
  <r>
    <x v="168"/>
    <s v="Delft, ZH, NL"/>
    <n v="277"/>
    <n v="2.1700000000000001E-2"/>
    <n v="6"/>
    <n v="0"/>
    <n v="0"/>
    <n v="0"/>
    <s v="-"/>
    <n v="0"/>
  </r>
  <r>
    <x v="168"/>
    <s v="Delft, ZH, NL"/>
    <n v="137"/>
    <n v="2.92E-2"/>
    <n v="4"/>
    <n v="0"/>
    <n v="0"/>
    <n v="0"/>
    <s v="-"/>
    <n v="0"/>
  </r>
  <r>
    <x v="168"/>
    <s v="Delft, ZH, NL"/>
    <n v="172"/>
    <n v="1.7399999999999999E-2"/>
    <n v="3"/>
    <n v="0"/>
    <n v="0"/>
    <n v="0"/>
    <s v="-"/>
    <n v="0"/>
  </r>
  <r>
    <x v="168"/>
    <s v="Utrecht, UT, NL"/>
    <n v="182"/>
    <n v="1.6500000000000001E-2"/>
    <n v="3"/>
    <n v="0"/>
    <n v="0"/>
    <n v="0"/>
    <s v="-"/>
    <n v="0"/>
  </r>
  <r>
    <x v="168"/>
    <s v="Delft, ZH, NL"/>
    <n v="82"/>
    <n v="1.2199999999999999E-2"/>
    <n v="1"/>
    <n v="0"/>
    <n v="0"/>
    <n v="0"/>
    <s v="-"/>
    <n v="0"/>
  </r>
  <r>
    <x v="168"/>
    <s v="Delft, ZH, NL"/>
    <n v="40"/>
    <n v="2.5000000000000001E-2"/>
    <n v="1"/>
    <n v="0"/>
    <n v="0"/>
    <n v="0"/>
    <s v="-"/>
    <n v="0"/>
  </r>
  <r>
    <x v="168"/>
    <s v="Utrecht, UT, NL"/>
    <n v="2"/>
    <n v="0"/>
    <n v="0"/>
    <n v="0"/>
    <n v="0"/>
    <s v="-"/>
    <s v="-"/>
    <n v="0"/>
  </r>
  <r>
    <x v="168"/>
    <s v="Delft, ZH, NL"/>
    <n v="1"/>
    <n v="0"/>
    <n v="0"/>
    <n v="0"/>
    <n v="0"/>
    <s v="-"/>
    <s v="-"/>
    <n v="0"/>
  </r>
  <r>
    <x v="168"/>
    <s v="Delft, ZH, NL"/>
    <n v="70"/>
    <n v="2.86E-2"/>
    <n v="2"/>
    <n v="0"/>
    <n v="0"/>
    <n v="0"/>
    <s v="-"/>
    <n v="0"/>
  </r>
  <r>
    <x v="168"/>
    <s v="Utrecht, UT, NL"/>
    <n v="31"/>
    <n v="6.4500000000000002E-2"/>
    <n v="2"/>
    <n v="0"/>
    <n v="0"/>
    <n v="0"/>
    <s v="-"/>
    <n v="0"/>
  </r>
  <r>
    <x v="168"/>
    <s v="Utrecht, UT, NL"/>
    <n v="24"/>
    <n v="4.1700000000000001E-2"/>
    <n v="1"/>
    <n v="0"/>
    <n v="0"/>
    <n v="0"/>
    <s v="-"/>
    <n v="0"/>
  </r>
  <r>
    <x v="168"/>
    <s v="Delft, ZH, NL"/>
    <n v="55"/>
    <n v="1.8200000000000001E-2"/>
    <n v="1"/>
    <n v="0"/>
    <n v="0"/>
    <n v="0"/>
    <s v="-"/>
    <n v="0"/>
  </r>
  <r>
    <x v="168"/>
    <s v="Delft, ZH, NL"/>
    <n v="44"/>
    <n v="2.2700000000000001E-2"/>
    <n v="1"/>
    <n v="0"/>
    <n v="0"/>
    <n v="0"/>
    <s v="-"/>
    <n v="0"/>
  </r>
  <r>
    <x v="168"/>
    <s v="Utrecht, UT, NL"/>
    <n v="44"/>
    <n v="0"/>
    <n v="0"/>
    <n v="0"/>
    <n v="0"/>
    <s v="-"/>
    <s v="-"/>
    <n v="0"/>
  </r>
  <r>
    <x v="168"/>
    <s v="Utrecht, UT, NL"/>
    <n v="70"/>
    <n v="0"/>
    <n v="0"/>
    <n v="0"/>
    <n v="0"/>
    <s v="-"/>
    <s v="-"/>
    <n v="0"/>
  </r>
  <r>
    <x v="168"/>
    <s v="Delft, ZH, NL"/>
    <n v="68"/>
    <n v="0"/>
    <n v="0"/>
    <n v="0"/>
    <n v="0"/>
    <s v="-"/>
    <s v="-"/>
    <n v="0"/>
  </r>
  <r>
    <x v="168"/>
    <s v="Amsterdam, NH, NL"/>
    <n v="71"/>
    <n v="5.6299999999999996E-2"/>
    <n v="4"/>
    <n v="0"/>
    <n v="0"/>
    <n v="0"/>
    <s v="-"/>
    <n v="0"/>
  </r>
  <r>
    <x v="168"/>
    <s v="Groningen, GR, NL"/>
    <n v="104"/>
    <n v="1.9199999999999998E-2"/>
    <n v="2"/>
    <n v="0"/>
    <n v="0"/>
    <n v="0"/>
    <s v="-"/>
    <n v="0"/>
  </r>
  <r>
    <x v="168"/>
    <s v="Delft, ZH, NL"/>
    <n v="6"/>
    <n v="0"/>
    <n v="0"/>
    <n v="0"/>
    <n v="0"/>
    <s v="-"/>
    <s v="-"/>
    <n v="0"/>
  </r>
  <r>
    <x v="168"/>
    <s v="Dordrecht, ZH, NL"/>
    <n v="24"/>
    <n v="4.1700000000000001E-2"/>
    <n v="1"/>
    <n v="0"/>
    <n v="0"/>
    <n v="0"/>
    <s v="-"/>
    <n v="0"/>
  </r>
  <r>
    <x v="168"/>
    <s v="NL"/>
    <n v="1142"/>
    <n v="2.7099999999999999E-2"/>
    <n v="31"/>
    <n v="1"/>
    <n v="3.2300000000000002E-2"/>
    <n v="0.52"/>
    <n v="16.079999999999998"/>
    <n v="16.079999999999998"/>
  </r>
  <r>
    <x v="168"/>
    <s v="Amsterdam, NH, NL"/>
    <n v="103"/>
    <n v="6.8000000000000005E-2"/>
    <n v="7"/>
    <n v="3"/>
    <n v="0.42859999999999998"/>
    <n v="2.59"/>
    <n v="6.03"/>
    <n v="18.100000000000001"/>
  </r>
  <r>
    <x v="168"/>
    <s v="Gouda, ZH, NL"/>
    <n v="149"/>
    <n v="8.72E-2"/>
    <n v="13"/>
    <n v="2"/>
    <n v="0.15380000000000002"/>
    <n v="1.25"/>
    <n v="8.14"/>
    <n v="16.28"/>
  </r>
  <r>
    <x v="168"/>
    <s v="Bolsward, FR, NL"/>
    <n v="110"/>
    <n v="0.20910000000000001"/>
    <n v="23"/>
    <n v="1"/>
    <n v="4.3499999999999997E-2"/>
    <n v="7.0000000000000007E-2"/>
    <n v="1.7"/>
    <n v="1.7"/>
  </r>
  <r>
    <x v="168"/>
    <s v="Delft, ZH, NL"/>
    <n v="94"/>
    <n v="9.5700000000000007E-2"/>
    <n v="9"/>
    <n v="1"/>
    <n v="0.11109999999999999"/>
    <n v="0"/>
    <n v="0"/>
    <n v="0"/>
  </r>
  <r>
    <x v="168"/>
    <s v="Utrecht, UT, NL"/>
    <n v="87"/>
    <n v="4.5999999999999999E-2"/>
    <n v="4"/>
    <n v="1"/>
    <n v="0.25"/>
    <n v="0.43"/>
    <n v="1.7"/>
    <n v="1.7"/>
  </r>
  <r>
    <x v="168"/>
    <s v="Groningen, GR, NL"/>
    <n v="460"/>
    <n v="0.1217"/>
    <n v="56"/>
    <n v="0"/>
    <n v="0"/>
    <n v="0"/>
    <s v="-"/>
    <n v="0"/>
  </r>
  <r>
    <x v="168"/>
    <s v="Tilburg, NB, NL"/>
    <n v="147"/>
    <n v="3.4000000000000002E-2"/>
    <n v="5"/>
    <n v="0"/>
    <n v="0"/>
    <n v="0"/>
    <s v="-"/>
    <n v="0"/>
  </r>
  <r>
    <x v="168"/>
    <s v="Almere, FL, NL"/>
    <n v="24"/>
    <n v="0.125"/>
    <n v="3"/>
    <n v="0"/>
    <n v="0"/>
    <n v="0"/>
    <s v="-"/>
    <n v="0"/>
  </r>
  <r>
    <x v="168"/>
    <s v="Amsterdam Zuid, NH, NL"/>
    <n v="67"/>
    <n v="2.9900000000000003E-2"/>
    <n v="2"/>
    <n v="0"/>
    <n v="0"/>
    <n v="0"/>
    <s v="-"/>
    <n v="0"/>
  </r>
  <r>
    <x v="168"/>
    <s v="Tilburg, NB, NL"/>
    <n v="0"/>
    <n v="0"/>
    <n v="0"/>
    <n v="0"/>
    <n v="0"/>
    <s v="-"/>
    <s v="-"/>
    <n v="0"/>
  </r>
  <r>
    <x v="168"/>
    <s v="Utrecht, UT, NL"/>
    <n v="104"/>
    <n v="9.6199999999999994E-2"/>
    <n v="10"/>
    <n v="1"/>
    <n v="0.1"/>
    <n v="0.39"/>
    <n v="3.93"/>
    <n v="3.93"/>
  </r>
  <r>
    <x v="168"/>
    <s v="Gouda, ZH, NL"/>
    <n v="106"/>
    <n v="6.6000000000000003E-2"/>
    <n v="7"/>
    <n v="1"/>
    <n v="0.1429"/>
    <n v="1.43"/>
    <n v="10.02"/>
    <n v="10.02"/>
  </r>
  <r>
    <x v="168"/>
    <s v="Gouda, ZH, NL"/>
    <n v="96"/>
    <n v="7.2900000000000006E-2"/>
    <n v="7"/>
    <n v="0"/>
    <n v="0"/>
    <n v="0"/>
    <s v="-"/>
    <n v="0"/>
  </r>
  <r>
    <x v="168"/>
    <s v="Groningen, GR, NL"/>
    <n v="151"/>
    <n v="3.9699999999999999E-2"/>
    <n v="6"/>
    <n v="1"/>
    <n v="0.16670000000000001"/>
    <n v="1.67"/>
    <n v="10.039999999999999"/>
    <n v="10.039999999999999"/>
  </r>
  <r>
    <x v="168"/>
    <s v="Leeuwarden, FR, NL"/>
    <n v="101"/>
    <n v="5.9400000000000001E-2"/>
    <n v="6"/>
    <n v="1"/>
    <n v="0.16670000000000001"/>
    <n v="1.64"/>
    <n v="9.83"/>
    <n v="9.83"/>
  </r>
  <r>
    <x v="168"/>
    <s v="Drachten, FR, NL"/>
    <n v="120"/>
    <n v="6.6699999999999995E-2"/>
    <n v="8"/>
    <n v="0"/>
    <n v="0"/>
    <n v="0"/>
    <s v="-"/>
    <n v="0"/>
  </r>
  <r>
    <x v="168"/>
    <s v="Zwolle, OV, NL"/>
    <n v="200"/>
    <n v="3.5000000000000003E-2"/>
    <n v="7"/>
    <n v="0"/>
    <n v="0"/>
    <n v="0"/>
    <s v="-"/>
    <n v="0"/>
  </r>
  <r>
    <x v="168"/>
    <s v="Assen, DR, NL"/>
    <n v="105"/>
    <n v="6.6699999999999995E-2"/>
    <n v="7"/>
    <n v="0"/>
    <n v="0"/>
    <n v="0"/>
    <s v="-"/>
    <n v="0"/>
  </r>
  <r>
    <x v="168"/>
    <s v="Enschede, OV, NL"/>
    <n v="87"/>
    <n v="6.9000000000000006E-2"/>
    <n v="6"/>
    <n v="0"/>
    <n v="0"/>
    <n v="0"/>
    <s v="-"/>
    <n v="0"/>
  </r>
  <r>
    <x v="168"/>
    <s v="Lelystad, FL, NL"/>
    <n v="89"/>
    <n v="5.62E-2"/>
    <n v="5"/>
    <n v="0"/>
    <n v="0"/>
    <n v="0"/>
    <s v="-"/>
    <n v="0"/>
  </r>
  <r>
    <x v="168"/>
    <s v="Zwolle, OV, NL"/>
    <n v="111"/>
    <n v="3.6000000000000004E-2"/>
    <n v="4"/>
    <n v="0"/>
    <n v="0"/>
    <n v="0"/>
    <s v="-"/>
    <n v="0"/>
  </r>
  <r>
    <x v="168"/>
    <s v="Emmeloord, FL, NL"/>
    <n v="23"/>
    <n v="8.6999999999999994E-2"/>
    <n v="2"/>
    <n v="0"/>
    <n v="0"/>
    <n v="0"/>
    <s v="-"/>
    <n v="0"/>
  </r>
  <r>
    <x v="168"/>
    <s v="Lelystad, FL, NL"/>
    <n v="89"/>
    <n v="1.1200000000000002E-2"/>
    <n v="1"/>
    <n v="0"/>
    <n v="0"/>
    <n v="0"/>
    <s v="-"/>
    <n v="0"/>
  </r>
  <r>
    <x v="168"/>
    <s v="Lelystad, FL, NL"/>
    <n v="26"/>
    <n v="3.85E-2"/>
    <n v="1"/>
    <n v="0"/>
    <n v="0"/>
    <n v="0"/>
    <s v="-"/>
    <n v="0"/>
  </r>
  <r>
    <x v="168"/>
    <s v="Heerenveen, FR, NL"/>
    <n v="9"/>
    <n v="0"/>
    <n v="0"/>
    <n v="0"/>
    <n v="0"/>
    <s v="-"/>
    <s v="-"/>
    <n v="0"/>
  </r>
  <r>
    <x v="168"/>
    <s v="Emmeloord, FL, NL"/>
    <n v="11"/>
    <n v="0"/>
    <n v="0"/>
    <n v="0"/>
    <n v="0"/>
    <s v="-"/>
    <s v="-"/>
    <n v="0"/>
  </r>
  <r>
    <x v="168"/>
    <s v="Assen, DR, NL"/>
    <n v="87"/>
    <n v="6.9000000000000006E-2"/>
    <n v="6"/>
    <n v="0"/>
    <n v="0"/>
    <n v="0"/>
    <s v="-"/>
    <n v="0"/>
  </r>
  <r>
    <x v="168"/>
    <s v="Leeuwarden, FR, NL"/>
    <n v="70"/>
    <n v="7.1399999999999991E-2"/>
    <n v="5"/>
    <n v="0"/>
    <n v="0"/>
    <n v="0"/>
    <s v="-"/>
    <n v="0"/>
  </r>
  <r>
    <x v="168"/>
    <s v="Drachten, FR, NL"/>
    <n v="69"/>
    <n v="2.8999999999999998E-2"/>
    <n v="2"/>
    <n v="0"/>
    <n v="0"/>
    <n v="0"/>
    <s v="-"/>
    <n v="0"/>
  </r>
  <r>
    <x v="168"/>
    <s v="Lelystad, FL, NL"/>
    <n v="28"/>
    <n v="7.1399999999999991E-2"/>
    <n v="2"/>
    <n v="0"/>
    <n v="0"/>
    <n v="0"/>
    <s v="-"/>
    <n v="0"/>
  </r>
  <r>
    <x v="168"/>
    <s v="Groningen, GR, NL"/>
    <n v="53"/>
    <n v="1.89E-2"/>
    <n v="1"/>
    <n v="0"/>
    <n v="0"/>
    <n v="0"/>
    <s v="-"/>
    <n v="0"/>
  </r>
  <r>
    <x v="168"/>
    <s v="Zwolle, OV, NL"/>
    <n v="26"/>
    <n v="0"/>
    <n v="0"/>
    <n v="0"/>
    <n v="0"/>
    <s v="-"/>
    <s v="-"/>
    <n v="0"/>
  </r>
  <r>
    <x v="168"/>
    <s v="Bunnik, UT, NL"/>
    <n v="46"/>
    <n v="4.3499999999999997E-2"/>
    <n v="2"/>
    <n v="0"/>
    <n v="0"/>
    <n v="0"/>
    <s v="-"/>
    <n v="0"/>
  </r>
  <r>
    <x v="168"/>
    <s v="Schiphol, NH, NL"/>
    <n v="52"/>
    <n v="3.85E-2"/>
    <n v="2"/>
    <n v="0"/>
    <n v="0"/>
    <n v="0"/>
    <s v="-"/>
    <n v="0"/>
  </r>
  <r>
    <x v="168"/>
    <s v="Farmsum, GR, NL"/>
    <n v="245"/>
    <n v="4.0800000000000003E-2"/>
    <n v="10"/>
    <n v="1"/>
    <n v="0.1"/>
    <n v="0.45"/>
    <n v="4.47"/>
    <n v="4.47"/>
  </r>
  <r>
    <x v="168"/>
    <s v="Schiedam, ZH, NL"/>
    <n v="68"/>
    <n v="8.8200000000000001E-2"/>
    <n v="6"/>
    <n v="0"/>
    <n v="0"/>
    <n v="0"/>
    <s v="-"/>
    <n v="0"/>
  </r>
  <r>
    <x v="168"/>
    <s v="Delft, ZH, NL"/>
    <n v="147"/>
    <n v="6.1200000000000004E-2"/>
    <n v="9"/>
    <n v="1"/>
    <n v="0.11109999999999999"/>
    <n v="0.31"/>
    <n v="2.83"/>
    <n v="2.83"/>
  </r>
  <r>
    <x v="168"/>
    <s v="Utrecht, UT, NL"/>
    <n v="41"/>
    <n v="4.8799999999999996E-2"/>
    <n v="2"/>
    <n v="1"/>
    <n v="0.5"/>
    <n v="2.72"/>
    <n v="5.44"/>
    <n v="5.44"/>
  </r>
  <r>
    <x v="168"/>
    <s v="Utrecht, UT, NL"/>
    <n v="13"/>
    <n v="0"/>
    <n v="0"/>
    <n v="0"/>
    <n v="0"/>
    <s v="-"/>
    <s v="-"/>
    <n v="0"/>
  </r>
  <r>
    <x v="168"/>
    <s v="Amsterdam, NH, NL"/>
    <n v="3"/>
    <n v="0"/>
    <n v="0"/>
    <n v="0"/>
    <n v="0"/>
    <s v="-"/>
    <s v="-"/>
    <n v="0"/>
  </r>
  <r>
    <x v="168"/>
    <s v="Utrecht, UT, NL"/>
    <n v="12"/>
    <n v="0"/>
    <n v="0"/>
    <n v="0"/>
    <n v="0"/>
    <s v="-"/>
    <s v="-"/>
    <n v="0"/>
  </r>
  <r>
    <x v="168"/>
    <s v="GR, NL"/>
    <n v="87"/>
    <n v="0.10339999999999999"/>
    <n v="9"/>
    <n v="1"/>
    <n v="0.11109999999999999"/>
    <n v="3.07"/>
    <n v="27.66"/>
    <n v="27.66"/>
  </r>
  <r>
    <x v="168"/>
    <s v="Rotterdam, ZH, NL"/>
    <n v="36"/>
    <n v="0.16670000000000001"/>
    <n v="6"/>
    <n v="1"/>
    <n v="0.16670000000000001"/>
    <n v="1.59"/>
    <n v="9.51"/>
    <n v="9.51"/>
  </r>
  <r>
    <x v="168"/>
    <s v="Workum, FR, NL"/>
    <n v="123"/>
    <n v="4.07E-2"/>
    <n v="5"/>
    <n v="1"/>
    <n v="0.2"/>
    <n v="2.16"/>
    <n v="10.78"/>
    <n v="10.78"/>
  </r>
  <r>
    <x v="168"/>
    <s v="Emmen, DR, NL"/>
    <n v="100"/>
    <n v="0.14000000000000001"/>
    <n v="14"/>
    <n v="0"/>
    <n v="0"/>
    <n v="0"/>
    <s v="-"/>
    <n v="0"/>
  </r>
  <r>
    <x v="168"/>
    <s v="Lutjewinkel, NH, NL"/>
    <n v="111"/>
    <n v="0.11710000000000001"/>
    <n v="13"/>
    <n v="0"/>
    <n v="0"/>
    <n v="0"/>
    <s v="-"/>
    <n v="0"/>
  </r>
  <r>
    <x v="168"/>
    <s v="Drachten, FR, NL"/>
    <n v="148"/>
    <n v="6.08E-2"/>
    <n v="9"/>
    <n v="0"/>
    <n v="0"/>
    <n v="0"/>
    <s v="-"/>
    <n v="0"/>
  </r>
  <r>
    <x v="168"/>
    <s v="Leeuwarden, FR, NL"/>
    <n v="142"/>
    <n v="2.8199999999999999E-2"/>
    <n v="4"/>
    <n v="0"/>
    <n v="0"/>
    <n v="0"/>
    <s v="-"/>
    <n v="0"/>
  </r>
  <r>
    <x v="168"/>
    <s v="Bedum, GR, NL"/>
    <n v="22"/>
    <n v="4.5499999999999999E-2"/>
    <n v="1"/>
    <n v="0"/>
    <n v="0"/>
    <n v="0"/>
    <s v="-"/>
    <n v="0"/>
  </r>
  <r>
    <x v="168"/>
    <s v="Workum, FR, NL"/>
    <n v="0"/>
    <n v="0"/>
    <n v="0"/>
    <n v="0"/>
    <n v="0"/>
    <s v="-"/>
    <s v="-"/>
    <n v="0"/>
  </r>
  <r>
    <x v="168"/>
    <s v="GR, NL"/>
    <n v="0"/>
    <n v="0"/>
    <n v="0"/>
    <n v="0"/>
    <n v="0"/>
    <s v="-"/>
    <s v="-"/>
    <n v="0"/>
  </r>
  <r>
    <x v="168"/>
    <s v="Schiphol, NH, NL"/>
    <n v="550"/>
    <n v="0.06"/>
    <n v="33"/>
    <n v="0"/>
    <n v="0"/>
    <n v="0"/>
    <s v="-"/>
    <n v="0"/>
  </r>
  <r>
    <x v="168"/>
    <s v="Almere, FL, NL"/>
    <n v="28"/>
    <n v="7.1399999999999991E-2"/>
    <n v="2"/>
    <n v="1"/>
    <n v="0.5"/>
    <n v="8.32"/>
    <n v="16.649999999999999"/>
    <n v="16.649999999999999"/>
  </r>
  <r>
    <x v="168"/>
    <s v="t Harde, GE, NL"/>
    <n v="10"/>
    <n v="0"/>
    <n v="0"/>
    <n v="0"/>
    <n v="0"/>
    <s v="-"/>
    <s v="-"/>
    <n v="0"/>
  </r>
  <r>
    <x v="168"/>
    <s v="Utrecht, UT, NL"/>
    <n v="46"/>
    <n v="6.5199999999999994E-2"/>
    <n v="3"/>
    <n v="1"/>
    <n v="0.33329999999999999"/>
    <n v="5.41"/>
    <n v="16.239999999999998"/>
    <n v="16.239999999999998"/>
  </r>
  <r>
    <x v="168"/>
    <s v="Amsterdam, NH, NL"/>
    <n v="63"/>
    <n v="9.5199999999999993E-2"/>
    <n v="6"/>
    <n v="0"/>
    <n v="0"/>
    <n v="0"/>
    <s v="-"/>
    <n v="0"/>
  </r>
  <r>
    <x v="168"/>
    <s v="Amsterdam, NH, NL"/>
    <n v="24"/>
    <n v="0.125"/>
    <n v="3"/>
    <n v="0"/>
    <n v="0"/>
    <n v="0"/>
    <s v="-"/>
    <n v="0"/>
  </r>
  <r>
    <x v="168"/>
    <s v="Amsterdam, NH, NL"/>
    <n v="30"/>
    <n v="0.1"/>
    <n v="3"/>
    <n v="0"/>
    <n v="0"/>
    <n v="16.95"/>
    <n v="25.43"/>
    <n v="50.86"/>
  </r>
  <r>
    <x v="168"/>
    <s v="Amsterdam, NH, NL"/>
    <n v="1340"/>
    <n v="5.9699999999999996E-2"/>
    <n v="80"/>
    <n v="1"/>
    <n v="1.2500000000000001E-2"/>
    <n v="0.14000000000000001"/>
    <n v="11.24"/>
    <n v="11.24"/>
  </r>
  <r>
    <x v="168"/>
    <s v="Amsterdam, NH, NL"/>
    <n v="83"/>
    <n v="6.0199999999999997E-2"/>
    <n v="5"/>
    <n v="0"/>
    <n v="0"/>
    <n v="0"/>
    <s v="-"/>
    <n v="0"/>
  </r>
  <r>
    <x v="168"/>
    <s v="Amsterdam, NH, NL"/>
    <n v="0"/>
    <n v="0"/>
    <n v="0"/>
    <n v="0"/>
    <n v="0"/>
    <s v="-"/>
    <s v="-"/>
    <n v="0"/>
  </r>
  <r>
    <x v="168"/>
    <s v="Amsterdam, NH, NL"/>
    <n v="74"/>
    <n v="2.7000000000000003E-2"/>
    <n v="2"/>
    <n v="0"/>
    <n v="0"/>
    <n v="0"/>
    <s v="-"/>
    <n v="0"/>
  </r>
  <r>
    <x v="168"/>
    <s v="Amsterdam, NH, NL"/>
    <n v="18"/>
    <n v="5.5599999999999997E-2"/>
    <n v="1"/>
    <n v="0"/>
    <n v="0"/>
    <n v="0"/>
    <s v="-"/>
    <n v="0"/>
  </r>
  <r>
    <x v="168"/>
    <s v="Delft, ZH, NL"/>
    <n v="615"/>
    <n v="5.2000000000000005E-2"/>
    <n v="32"/>
    <n v="3"/>
    <n v="9.3800000000000008E-2"/>
    <n v="1.1000000000000001"/>
    <n v="11.72"/>
    <n v="35.159999999999997"/>
  </r>
  <r>
    <x v="168"/>
    <s v="Delft, ZH, NL"/>
    <n v="34"/>
    <n v="0.1176"/>
    <n v="4"/>
    <n v="0"/>
    <n v="0"/>
    <n v="0"/>
    <s v="-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1">
  <r>
    <x v="0"/>
  </r>
  <r>
    <x v="1"/>
  </r>
  <r>
    <x v="2"/>
  </r>
  <r>
    <x v="3"/>
  </r>
  <r>
    <x v="4"/>
  </r>
  <r>
    <x v="5"/>
  </r>
  <r>
    <x v="2"/>
  </r>
  <r>
    <x v="2"/>
  </r>
  <r>
    <x v="2"/>
  </r>
  <r>
    <x v="2"/>
  </r>
  <r>
    <x v="6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10"/>
  </r>
  <r>
    <x v="11"/>
  </r>
  <r>
    <x v="11"/>
  </r>
  <r>
    <x v="12"/>
  </r>
  <r>
    <x v="12"/>
  </r>
  <r>
    <x v="12"/>
  </r>
  <r>
    <x v="12"/>
  </r>
  <r>
    <x v="12"/>
  </r>
  <r>
    <x v="13"/>
  </r>
  <r>
    <x v="14"/>
  </r>
  <r>
    <x v="15"/>
  </r>
  <r>
    <x v="15"/>
  </r>
  <r>
    <x v="15"/>
  </r>
  <r>
    <x v="16"/>
  </r>
  <r>
    <x v="16"/>
  </r>
  <r>
    <x v="16"/>
  </r>
  <r>
    <x v="17"/>
  </r>
  <r>
    <x v="18"/>
  </r>
  <r>
    <x v="19"/>
  </r>
  <r>
    <x v="19"/>
  </r>
  <r>
    <x v="19"/>
  </r>
  <r>
    <x v="19"/>
  </r>
  <r>
    <x v="19"/>
  </r>
  <r>
    <x v="20"/>
  </r>
  <r>
    <x v="20"/>
  </r>
  <r>
    <x v="21"/>
  </r>
  <r>
    <x v="21"/>
  </r>
  <r>
    <x v="22"/>
  </r>
  <r>
    <x v="23"/>
  </r>
  <r>
    <x v="24"/>
  </r>
  <r>
    <x v="24"/>
  </r>
  <r>
    <x v="24"/>
  </r>
  <r>
    <x v="25"/>
  </r>
  <r>
    <x v="26"/>
  </r>
  <r>
    <x v="27"/>
  </r>
  <r>
    <x v="28"/>
  </r>
  <r>
    <x v="29"/>
  </r>
  <r>
    <x v="29"/>
  </r>
  <r>
    <x v="29"/>
  </r>
  <r>
    <x v="29"/>
  </r>
  <r>
    <x v="30"/>
  </r>
  <r>
    <x v="30"/>
  </r>
  <r>
    <x v="30"/>
  </r>
  <r>
    <x v="30"/>
  </r>
  <r>
    <x v="31"/>
  </r>
  <r>
    <x v="32"/>
  </r>
  <r>
    <x v="32"/>
  </r>
  <r>
    <x v="32"/>
  </r>
  <r>
    <x v="33"/>
  </r>
  <r>
    <x v="33"/>
  </r>
  <r>
    <x v="34"/>
  </r>
  <r>
    <x v="35"/>
  </r>
  <r>
    <x v="36"/>
  </r>
  <r>
    <x v="37"/>
  </r>
  <r>
    <x v="37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8"/>
  </r>
  <r>
    <x v="39"/>
  </r>
  <r>
    <x v="40"/>
  </r>
  <r>
    <x v="41"/>
  </r>
  <r>
    <x v="41"/>
  </r>
  <r>
    <x v="41"/>
  </r>
  <r>
    <x v="41"/>
  </r>
  <r>
    <x v="41"/>
  </r>
  <r>
    <x v="41"/>
  </r>
  <r>
    <x v="41"/>
  </r>
  <r>
    <x v="42"/>
  </r>
  <r>
    <x v="43"/>
  </r>
  <r>
    <x v="44"/>
  </r>
  <r>
    <x v="45"/>
  </r>
  <r>
    <x v="45"/>
  </r>
  <r>
    <x v="45"/>
  </r>
  <r>
    <x v="45"/>
  </r>
  <r>
    <x v="45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4"/>
  </r>
  <r>
    <x v="54"/>
  </r>
  <r>
    <x v="54"/>
  </r>
  <r>
    <x v="55"/>
  </r>
  <r>
    <x v="56"/>
  </r>
  <r>
    <x v="57"/>
  </r>
  <r>
    <x v="57"/>
  </r>
  <r>
    <x v="58"/>
  </r>
  <r>
    <x v="59"/>
  </r>
  <r>
    <x v="60"/>
  </r>
  <r>
    <x v="60"/>
  </r>
  <r>
    <x v="61"/>
  </r>
  <r>
    <x v="62"/>
  </r>
  <r>
    <x v="63"/>
  </r>
  <r>
    <x v="63"/>
  </r>
  <r>
    <x v="63"/>
  </r>
  <r>
    <x v="64"/>
  </r>
  <r>
    <x v="65"/>
  </r>
  <r>
    <x v="66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6"/>
  </r>
  <r>
    <x v="76"/>
  </r>
  <r>
    <x v="76"/>
  </r>
  <r>
    <x v="76"/>
  </r>
  <r>
    <x v="76"/>
  </r>
  <r>
    <x v="76"/>
  </r>
  <r>
    <x v="76"/>
  </r>
  <r>
    <x v="77"/>
  </r>
  <r>
    <x v="78"/>
  </r>
  <r>
    <x v="79"/>
  </r>
  <r>
    <x v="79"/>
  </r>
  <r>
    <x v="80"/>
  </r>
  <r>
    <x v="80"/>
  </r>
  <r>
    <x v="81"/>
  </r>
  <r>
    <x v="82"/>
  </r>
  <r>
    <x v="83"/>
  </r>
  <r>
    <x v="84"/>
  </r>
  <r>
    <x v="84"/>
  </r>
  <r>
    <x v="84"/>
  </r>
  <r>
    <x v="84"/>
  </r>
  <r>
    <x v="84"/>
  </r>
  <r>
    <x v="85"/>
  </r>
  <r>
    <x v="86"/>
  </r>
  <r>
    <x v="87"/>
  </r>
  <r>
    <x v="88"/>
  </r>
  <r>
    <x v="89"/>
  </r>
  <r>
    <x v="89"/>
  </r>
  <r>
    <x v="90"/>
  </r>
  <r>
    <x v="91"/>
  </r>
  <r>
    <x v="91"/>
  </r>
  <r>
    <x v="91"/>
  </r>
  <r>
    <x v="92"/>
  </r>
  <r>
    <x v="93"/>
  </r>
  <r>
    <x v="93"/>
  </r>
  <r>
    <x v="94"/>
  </r>
  <r>
    <x v="94"/>
  </r>
  <r>
    <x v="94"/>
  </r>
  <r>
    <x v="94"/>
  </r>
  <r>
    <x v="95"/>
  </r>
  <r>
    <x v="96"/>
  </r>
  <r>
    <x v="97"/>
  </r>
  <r>
    <x v="98"/>
  </r>
  <r>
    <x v="98"/>
  </r>
  <r>
    <x v="99"/>
  </r>
  <r>
    <x v="99"/>
  </r>
  <r>
    <x v="99"/>
  </r>
  <r>
    <x v="99"/>
  </r>
  <r>
    <x v="100"/>
  </r>
  <r>
    <x v="101"/>
  </r>
  <r>
    <x v="102"/>
  </r>
  <r>
    <x v="102"/>
  </r>
  <r>
    <x v="103"/>
  </r>
  <r>
    <x v="103"/>
  </r>
  <r>
    <x v="103"/>
  </r>
  <r>
    <x v="103"/>
  </r>
  <r>
    <x v="103"/>
  </r>
  <r>
    <x v="104"/>
  </r>
  <r>
    <x v="105"/>
  </r>
  <r>
    <x v="106"/>
  </r>
  <r>
    <x v="106"/>
  </r>
  <r>
    <x v="107"/>
  </r>
  <r>
    <x v="108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09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0"/>
  </r>
  <r>
    <x v="111"/>
  </r>
  <r>
    <x v="1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3"/>
  </r>
  <r>
    <x v="113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2"/>
  </r>
  <r>
    <x v="114"/>
  </r>
  <r>
    <x v="114"/>
  </r>
  <r>
    <x v="114"/>
  </r>
  <r>
    <x v="114"/>
  </r>
  <r>
    <x v="114"/>
  </r>
  <r>
    <x v="114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6"/>
  </r>
  <r>
    <x v="116"/>
  </r>
  <r>
    <x v="116"/>
  </r>
  <r>
    <x v="117"/>
  </r>
  <r>
    <x v="118"/>
  </r>
  <r>
    <x v="119"/>
  </r>
  <r>
    <x v="120"/>
  </r>
  <r>
    <x v="120"/>
  </r>
  <r>
    <x v="121"/>
  </r>
  <r>
    <x v="122"/>
  </r>
  <r>
    <x v="122"/>
  </r>
  <r>
    <x v="123"/>
  </r>
  <r>
    <x v="124"/>
  </r>
  <r>
    <x v="125"/>
  </r>
  <r>
    <x v="126"/>
  </r>
  <r>
    <x v="127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29"/>
  </r>
  <r>
    <x v="2"/>
  </r>
  <r>
    <x v="2"/>
  </r>
  <r>
    <x v="103"/>
  </r>
  <r>
    <x v="130"/>
  </r>
  <r>
    <x v="131"/>
  </r>
  <r>
    <x v="131"/>
  </r>
  <r>
    <x v="132"/>
  </r>
  <r>
    <x v="132"/>
  </r>
  <r>
    <x v="132"/>
  </r>
  <r>
    <x v="132"/>
  </r>
  <r>
    <x v="132"/>
  </r>
  <r>
    <x v="132"/>
  </r>
  <r>
    <x v="133"/>
  </r>
  <r>
    <x v="134"/>
  </r>
  <r>
    <x v="135"/>
  </r>
  <r>
    <x v="136"/>
  </r>
  <r>
    <x v="136"/>
  </r>
  <r>
    <x v="137"/>
  </r>
  <r>
    <x v="137"/>
  </r>
  <r>
    <x v="137"/>
  </r>
  <r>
    <x v="138"/>
  </r>
  <r>
    <x v="138"/>
  </r>
  <r>
    <x v="139"/>
  </r>
  <r>
    <x v="139"/>
  </r>
  <r>
    <x v="139"/>
  </r>
  <r>
    <x v="140"/>
  </r>
  <r>
    <x v="140"/>
  </r>
  <r>
    <x v="140"/>
  </r>
  <r>
    <x v="140"/>
  </r>
  <r>
    <x v="140"/>
  </r>
  <r>
    <x v="140"/>
  </r>
  <r>
    <x v="140"/>
  </r>
  <r>
    <x v="140"/>
  </r>
  <r>
    <x v="141"/>
  </r>
  <r>
    <x v="142"/>
  </r>
  <r>
    <x v="142"/>
  </r>
  <r>
    <x v="143"/>
  </r>
  <r>
    <x v="144"/>
  </r>
  <r>
    <x v="145"/>
  </r>
  <r>
    <x v="145"/>
  </r>
  <r>
    <x v="146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8"/>
  </r>
  <r>
    <x v="158"/>
  </r>
  <r>
    <x v="158"/>
  </r>
  <r>
    <x v="158"/>
  </r>
  <r>
    <x v="159"/>
  </r>
  <r>
    <x v="159"/>
  </r>
  <r>
    <x v="159"/>
  </r>
  <r>
    <x v="160"/>
  </r>
  <r>
    <x v="160"/>
  </r>
  <r>
    <x v="160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1"/>
  </r>
  <r>
    <x v="162"/>
  </r>
  <r>
    <x v="162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64"/>
  </r>
  <r>
    <x v="165"/>
  </r>
  <r>
    <x v="165"/>
  </r>
  <r>
    <x v="166"/>
  </r>
  <r>
    <x v="166"/>
  </r>
  <r>
    <x v="166"/>
  </r>
  <r>
    <x v="166"/>
  </r>
  <r>
    <x v="167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A08F2-28F8-44A4-B0F9-4D462B3F16E0}" name="Draaitabel9" cacheId="0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B2:J172" firstHeaderRow="0" firstDataRow="1" firstDataCol="1"/>
  <pivotFields count="10">
    <pivotField axis="axisRow" showAll="0" sortType="ascending">
      <items count="199">
        <item m="1" x="169"/>
        <item m="1" x="170"/>
        <item m="1" x="194"/>
        <item m="1" x="195"/>
        <item m="1" x="171"/>
        <item x="3"/>
        <item x="4"/>
        <item x="5"/>
        <item x="2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m="1" x="172"/>
        <item x="25"/>
        <item m="1" x="173"/>
        <item m="1" x="174"/>
        <item x="26"/>
        <item x="27"/>
        <item x="28"/>
        <item x="29"/>
        <item x="30"/>
        <item x="31"/>
        <item x="32"/>
        <item x="0"/>
        <item x="33"/>
        <item x="34"/>
        <item x="35"/>
        <item x="36"/>
        <item x="37"/>
        <item x="38"/>
        <item x="39"/>
        <item x="40"/>
        <item x="41"/>
        <item x="42"/>
        <item m="1" x="175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m="1" x="196"/>
        <item m="1" x="197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m="1" x="178"/>
        <item m="1" x="17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m="1" x="180"/>
        <item x="103"/>
        <item x="104"/>
        <item m="1" x="181"/>
        <item x="105"/>
        <item x="106"/>
        <item m="1" x="182"/>
        <item x="107"/>
        <item x="108"/>
        <item x="109"/>
        <item m="1" x="177"/>
        <item m="1" x="183"/>
        <item x="110"/>
        <item x="111"/>
        <item m="1" x="176"/>
        <item x="1"/>
        <item x="113"/>
        <item x="112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m="1" x="185"/>
        <item m="1" x="186"/>
        <item m="1" x="187"/>
        <item m="1" x="188"/>
        <item x="129"/>
        <item m="1" x="189"/>
        <item m="1" x="190"/>
        <item m="1" x="184"/>
        <item m="1" x="191"/>
        <item x="131"/>
        <item m="1" x="192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30"/>
        <item x="166"/>
        <item m="1" x="193"/>
        <item x="167"/>
        <item x="168"/>
        <item t="default"/>
      </items>
    </pivotField>
    <pivotField showAll="0"/>
    <pivotField dataField="1" showAll="0"/>
    <pivotField dataField="1" numFmtId="165" showAll="0"/>
    <pivotField dataField="1" showAll="0"/>
    <pivotField dataField="1" showAll="0"/>
    <pivotField dataField="1" numFmtId="10" showAll="0"/>
    <pivotField dataField="1" showAll="0"/>
    <pivotField dataField="1" showAll="0"/>
    <pivotField dataField="1" numFmtId="164" showAll="0"/>
  </pivotFields>
  <rowFields count="1">
    <field x="0"/>
  </rowFields>
  <rowItems count="170"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6"/>
    </i>
    <i>
      <x v="117"/>
    </i>
    <i>
      <x v="119"/>
    </i>
    <i>
      <x v="120"/>
    </i>
    <i>
      <x v="122"/>
    </i>
    <i>
      <x v="123"/>
    </i>
    <i>
      <x v="124"/>
    </i>
    <i>
      <x v="127"/>
    </i>
    <i>
      <x v="128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52"/>
    </i>
    <i>
      <x v="157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6"/>
    </i>
    <i>
      <x v="19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om van impressies ()" fld="2" baseField="0" baseItem="0"/>
    <dataField name="Gemiddelde van Cost-per-click" fld="7" subtotal="average" baseField="0" baseItem="5"/>
    <dataField name="Gemiddelde van € per gestarte sollicitatie" fld="8" subtotal="average" baseField="0" baseItem="5"/>
    <dataField name="Gemiddelde van CTR" fld="3" subtotal="average" baseField="0" baseItem="0" numFmtId="165"/>
    <dataField name="Som van Clicks ()" fld="4" baseField="0" baseItem="0"/>
    <dataField name="Som van Gestarte sollicitaties" fld="5" baseField="0" baseItem="0"/>
    <dataField name="Gemiddelde van % Gestarte sollicitaties" fld="6" subtotal="average" baseField="0" baseItem="0" numFmtId="10"/>
    <dataField name="Som van Kosten (Totaal )" fld="9" baseField="0" baseItem="0" numFmtId="164"/>
  </dataFields>
  <formats count="1">
    <format dxfId="0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45991-424E-42F1-B63B-72BA98A0D1EB}" name="Draaitabel11" cacheId="1" applyNumberFormats="0" applyBorderFormats="0" applyFontFormats="0" applyPatternFormats="0" applyAlignmentFormats="0" applyWidthHeightFormats="1" dataCaption="Waarden" updatedVersion="8" minRefreshableVersion="3" useAutoFormatting="1" itemPrintTitles="1" createdVersion="8" indent="0" outline="1" outlineData="1" multipleFieldFilters="0">
  <location ref="B10:C181" firstHeaderRow="1" firstDataRow="1" firstDataCol="1"/>
  <pivotFields count="1">
    <pivotField axis="axisRow" dataField="1" showAll="0">
      <items count="171">
        <item x="3"/>
        <item x="4"/>
        <item x="5"/>
        <item x="2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0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"/>
        <item x="113"/>
        <item x="112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30"/>
        <item x="166"/>
        <item x="167"/>
        <item x="168"/>
        <item x="169"/>
        <item t="default"/>
      </items>
    </pivotField>
  </pivotFields>
  <rowFields count="1">
    <field x="0"/>
  </rowFields>
  <rowItems count="1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 t="grand">
      <x/>
    </i>
  </rowItems>
  <colItems count="1">
    <i/>
  </colItems>
  <dataFields count="1">
    <dataField name="Aantal van Vacature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5B5269-F0B4-4B5E-A818-3B3A9A0BF6FC}" name="Tabel57" displayName="Tabel57" ref="A1:N168" totalsRowCount="1">
  <autoFilter ref="A1:N167" xr:uid="{815B5269-F0B4-4B5E-A818-3B3A9A0BF6FC}"/>
  <sortState xmlns:xlrd2="http://schemas.microsoft.com/office/spreadsheetml/2017/richdata2" ref="A2:N167">
    <sortCondition descending="1" ref="K1:K167"/>
  </sortState>
  <tableColumns count="14">
    <tableColumn id="1" xr3:uid="{69DF33F5-5057-4F44-B6D7-48440A655554}" name="Vacature" totalsRowLabel="Totaal" dataDxfId="23"/>
    <tableColumn id="2" xr3:uid="{E8E26053-5093-4F85-9006-37FA4F253074}" name="Number of Vacancies" totalsRowFunction="sum" dataDxfId="22" totalsRowDxfId="21"/>
    <tableColumn id="3" xr3:uid="{491A7EA2-1DAF-4E88-87E7-3B9639D8F297}" name="Total Number of Impressions" totalsRowFunction="sum" dataDxfId="20" totalsRowDxfId="19"/>
    <tableColumn id="4" xr3:uid="{E11D8C4B-7C49-48D9-A7DD-E4593B67C1C1}" name="Average Cost Per Click" totalsRowFunction="average" dataDxfId="18" totalsRowDxfId="17"/>
    <tableColumn id="5" xr3:uid="{A8A90BBD-863D-4331-B0FC-E91933D4374E}" name="Average cost per application start" totalsRowFunction="average" totalsRowDxfId="16"/>
    <tableColumn id="6" xr3:uid="{7340D4E0-06E6-408A-96D6-D524F2BCF2DE}" name="Average Click-Through Rate" totalsRowFunction="average" dataDxfId="15" totalsRowDxfId="14"/>
    <tableColumn id="7" xr3:uid="{C0DBF31E-86D4-4912-849F-BCBE667B31AA}" name="Total Clicks" totalsRowFunction="sum" dataDxfId="13" totalsRowDxfId="12"/>
    <tableColumn id="8" xr3:uid="{496DD9E1-C4AF-45F5-969D-FF901879F65F}" name="Total started applications" totalsRowFunction="sum" dataDxfId="11" totalsRowDxfId="10"/>
    <tableColumn id="9" xr3:uid="{9ECF7FA7-532F-466B-BE57-D216AEEDE733}" name="Average percentage of started applications" totalsRowFunction="average" dataDxfId="9" totalsRowDxfId="8"/>
    <tableColumn id="10" xr3:uid="{B0BD7150-897E-4BDE-884E-A03F5D339A42}" name="Total costs" totalsRowFunction="sum" totalsRowDxfId="7"/>
    <tableColumn id="11" xr3:uid="{E3CA3D6B-AFB2-4887-BB4F-074FC21B9101}" name="Conversions" totalsRowFunction="sum"/>
    <tableColumn id="13" xr3:uid="{AC619877-DCD4-4DD8-8BC0-2179E6E7A7C8}" name="Conversion Rate" dataDxfId="6" totalsRowDxfId="5" totalsRowCellStyle="Percent">
      <calculatedColumnFormula>Tabel57[[#This Row],[Conversions]]/Tabel57[[#This Row],[Total Clicks]]</calculatedColumnFormula>
    </tableColumn>
    <tableColumn id="15" xr3:uid="{5C364AE9-1CDA-49D5-87DE-C7909E6610B4}" name="Conversion per job vanacy" dataDxfId="4" totalsRowDxfId="3">
      <calculatedColumnFormula>Tabel57[[#This Row],[Conversions]]/Tabel57[[#This Row],[Number of Vacancies]]</calculatedColumnFormula>
    </tableColumn>
    <tableColumn id="12" xr3:uid="{C9B63A22-997A-4E1C-A4BA-AA33FC80F56A}" name="CPA" totalsRowFunction="custom" totalsRowDxfId="2">
      <totalsRowFormula>Tabel57[[#Totals],[Total costs]]/Tabel57[[#Totals],[Conversions]]</totalsRow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C67C31-F6EC-4743-AA8B-F0A8D51B8C2D}" name="Tabel2" displayName="Tabel2" ref="A1:J972" totalsRowShown="0">
  <autoFilter ref="A1:J972" xr:uid="{C2C67C31-F6EC-4743-AA8B-F0A8D51B8C2D}"/>
  <sortState xmlns:xlrd2="http://schemas.microsoft.com/office/spreadsheetml/2017/richdata2" ref="A2:J972">
    <sortCondition descending="1" ref="C1:C972"/>
  </sortState>
  <tableColumns count="10">
    <tableColumn id="1" xr3:uid="{9B2E7D53-F594-487A-B689-4FF6D1EE2FBE}" name="Job post"/>
    <tableColumn id="3" xr3:uid="{172278C3-7712-4605-B46F-3905A2665A95}" name="Location"/>
    <tableColumn id="6" xr3:uid="{EE02D063-3DF1-49FC-9B2D-36CFABA360FA}" name="Impressions (sponsored)"/>
    <tableColumn id="7" xr3:uid="{CF2847BE-C86C-4D4E-8F51-A79B10D9F7E3}" name="Click through rate (sponsored)"/>
    <tableColumn id="8" xr3:uid="{C9FC6A88-BF6C-45A1-9661-9C0C11FDECD4}" name="Clicks (sponsored)"/>
    <tableColumn id="9" xr3:uid="{C944EFC7-8495-491B-92E9-D07934BA8A70}" name="Started applications (sponsored)"/>
    <tableColumn id="10" xr3:uid="{887C3A31-AC79-4A25-8EA3-59AF95863984}" name="Application start rate (sponsored)" dataDxfId="1"/>
    <tableColumn id="13" xr3:uid="{0D480AEC-22F0-4EDA-8B8C-95784B09B7C8}" name="Cost per click"/>
    <tableColumn id="14" xr3:uid="{B811C3A5-0729-4329-BB37-B97A520643F4}" name="Cost per started application"/>
    <tableColumn id="16" xr3:uid="{D2568171-E16E-43A3-B0CD-89AF8096C4C8}" name="Total cos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D831-9BBE-4AD1-A22C-0AF74DD3C61F}">
  <dimension ref="A1:N341"/>
  <sheetViews>
    <sheetView zoomScale="90" zoomScaleNormal="90" workbookViewId="0">
      <selection activeCell="G17" sqref="G17"/>
    </sheetView>
  </sheetViews>
  <sheetFormatPr defaultRowHeight="15.6" x14ac:dyDescent="0.3"/>
  <cols>
    <col min="1" max="1" width="30.8984375" style="3" bestFit="1" customWidth="1"/>
    <col min="2" max="2" width="18" style="18" bestFit="1" customWidth="1"/>
    <col min="3" max="3" width="22.5" style="18" bestFit="1" customWidth="1"/>
    <col min="4" max="4" width="31.09765625" style="3" bestFit="1" customWidth="1"/>
    <col min="5" max="5" width="26.3984375" style="3" customWidth="1"/>
    <col min="6" max="6" width="22.5" style="14" bestFit="1" customWidth="1"/>
    <col min="7" max="7" width="17.69921875" style="19" bestFit="1" customWidth="1"/>
    <col min="8" max="8" width="22.5" style="16" bestFit="1" customWidth="1"/>
    <col min="9" max="9" width="31.3984375" style="14" bestFit="1" customWidth="1"/>
    <col min="10" max="10" width="26.09765625" style="3" bestFit="1" customWidth="1"/>
    <col min="11" max="11" width="13" bestFit="1" customWidth="1"/>
    <col min="12" max="12" width="16" style="2" bestFit="1" customWidth="1"/>
    <col min="13" max="13" width="22.09765625" style="15" customWidth="1"/>
    <col min="14" max="14" width="9.5" style="3" customWidth="1"/>
  </cols>
  <sheetData>
    <row r="1" spans="1:14" x14ac:dyDescent="0.3">
      <c r="A1" s="3" t="s">
        <v>0</v>
      </c>
      <c r="B1" s="18" t="s">
        <v>509</v>
      </c>
      <c r="C1" s="18" t="s">
        <v>510</v>
      </c>
      <c r="D1" s="3" t="s">
        <v>511</v>
      </c>
      <c r="E1" s="3" t="s">
        <v>512</v>
      </c>
      <c r="F1" s="14" t="s">
        <v>513</v>
      </c>
      <c r="G1" s="19" t="s">
        <v>514</v>
      </c>
      <c r="H1" s="16" t="s">
        <v>515</v>
      </c>
      <c r="I1" s="14" t="s">
        <v>516</v>
      </c>
      <c r="J1" s="3" t="s">
        <v>517</v>
      </c>
      <c r="K1" t="s">
        <v>518</v>
      </c>
      <c r="L1" s="2" t="s">
        <v>519</v>
      </c>
      <c r="M1" s="15" t="s">
        <v>520</v>
      </c>
      <c r="N1" s="3" t="s">
        <v>6</v>
      </c>
    </row>
    <row r="2" spans="1:14" x14ac:dyDescent="0.3">
      <c r="A2" s="30" t="s">
        <v>7</v>
      </c>
      <c r="B2" s="18">
        <v>6</v>
      </c>
      <c r="C2" s="18">
        <v>7598</v>
      </c>
      <c r="D2" s="3">
        <v>1.08</v>
      </c>
      <c r="E2" s="3">
        <v>6.2450000000000001</v>
      </c>
      <c r="F2" s="14">
        <v>0.11856666666666667</v>
      </c>
      <c r="G2" s="19">
        <v>908</v>
      </c>
      <c r="H2" s="18">
        <v>157</v>
      </c>
      <c r="I2" s="14">
        <v>0.17715</v>
      </c>
      <c r="J2" s="3">
        <v>1166.2199999999998</v>
      </c>
      <c r="K2">
        <v>45</v>
      </c>
      <c r="L2" s="2">
        <f>Tabel57[[#This Row],[Conversions]]/Tabel57[[#This Row],[Total Clicks]]</f>
        <v>4.9559471365638763E-2</v>
      </c>
      <c r="M2" s="15">
        <f>Tabel57[[#This Row],[Conversions]]/Tabel57[[#This Row],[Number of Vacancies]]</f>
        <v>7.5</v>
      </c>
      <c r="N2" s="3">
        <v>25.915999999999997</v>
      </c>
    </row>
    <row r="3" spans="1:14" x14ac:dyDescent="0.3">
      <c r="A3" s="30" t="s">
        <v>8</v>
      </c>
      <c r="B3" s="18">
        <v>26</v>
      </c>
      <c r="C3" s="18">
        <v>25669</v>
      </c>
      <c r="D3" s="3">
        <v>0.62639999999999996</v>
      </c>
      <c r="E3" s="3">
        <v>7.6161111111111115</v>
      </c>
      <c r="F3" s="14">
        <v>7.8549999999999995E-2</v>
      </c>
      <c r="G3" s="19">
        <v>2466</v>
      </c>
      <c r="H3" s="18">
        <v>158</v>
      </c>
      <c r="I3" s="14">
        <v>6.9665384615384615E-2</v>
      </c>
      <c r="J3" s="3">
        <v>1090.6500000000001</v>
      </c>
      <c r="K3">
        <v>34</v>
      </c>
      <c r="L3" s="2">
        <f>Tabel57[[#This Row],[Conversions]]/Tabel57[[#This Row],[Total Clicks]]</f>
        <v>1.3787510137875101E-2</v>
      </c>
      <c r="M3" s="15">
        <f>Tabel57[[#This Row],[Conversions]]/Tabel57[[#This Row],[Number of Vacancies]]</f>
        <v>1.3076923076923077</v>
      </c>
      <c r="N3" s="3">
        <v>32.077941176470588</v>
      </c>
    </row>
    <row r="4" spans="1:14" x14ac:dyDescent="0.3">
      <c r="A4" s="30" t="s">
        <v>9</v>
      </c>
      <c r="B4" s="18">
        <v>172</v>
      </c>
      <c r="C4" s="18">
        <v>23883</v>
      </c>
      <c r="D4" s="3">
        <v>0.82929487179487182</v>
      </c>
      <c r="E4" s="3">
        <v>9.7766666666666655</v>
      </c>
      <c r="F4" s="14">
        <v>6.5749418604651194E-2</v>
      </c>
      <c r="G4" s="19">
        <v>1769</v>
      </c>
      <c r="H4" s="18">
        <v>130</v>
      </c>
      <c r="I4" s="14">
        <v>7.5127906976744194E-2</v>
      </c>
      <c r="J4" s="3">
        <v>1351.8899999999999</v>
      </c>
      <c r="K4">
        <v>33</v>
      </c>
      <c r="L4" s="2">
        <f>Tabel57[[#This Row],[Conversions]]/Tabel57[[#This Row],[Total Clicks]]</f>
        <v>1.8654607122668174E-2</v>
      </c>
      <c r="M4" s="15">
        <f>Tabel57[[#This Row],[Conversions]]/Tabel57[[#This Row],[Number of Vacancies]]</f>
        <v>0.19186046511627908</v>
      </c>
      <c r="N4" s="3">
        <v>40.966363636363631</v>
      </c>
    </row>
    <row r="5" spans="1:14" x14ac:dyDescent="0.3">
      <c r="A5" s="30" t="s">
        <v>10</v>
      </c>
      <c r="B5" s="18">
        <v>1</v>
      </c>
      <c r="C5" s="18">
        <v>4602</v>
      </c>
      <c r="D5" s="3">
        <v>0.32</v>
      </c>
      <c r="E5" s="3">
        <v>2.4900000000000002</v>
      </c>
      <c r="F5" s="14">
        <v>0.12210000000000001</v>
      </c>
      <c r="G5" s="19">
        <v>562</v>
      </c>
      <c r="H5" s="18">
        <v>72</v>
      </c>
      <c r="I5" s="14">
        <v>0.12809999999999999</v>
      </c>
      <c r="J5" s="3">
        <v>179.12</v>
      </c>
      <c r="K5">
        <v>29</v>
      </c>
      <c r="L5" s="2">
        <f>Tabel57[[#This Row],[Conversions]]/Tabel57[[#This Row],[Total Clicks]]</f>
        <v>5.1601423487544484E-2</v>
      </c>
      <c r="M5" s="15">
        <f>Tabel57[[#This Row],[Conversions]]/Tabel57[[#This Row],[Number of Vacancies]]</f>
        <v>29</v>
      </c>
      <c r="N5" s="3">
        <v>6.1765517241379309</v>
      </c>
    </row>
    <row r="6" spans="1:14" x14ac:dyDescent="0.3">
      <c r="A6" s="30" t="s">
        <v>11</v>
      </c>
      <c r="B6" s="18">
        <v>128</v>
      </c>
      <c r="C6" s="18">
        <v>14328</v>
      </c>
      <c r="D6" s="3">
        <v>0.80438775510204108</v>
      </c>
      <c r="E6" s="3">
        <v>10.432162162162161</v>
      </c>
      <c r="F6" s="14">
        <v>5.9646093749999969E-2</v>
      </c>
      <c r="G6" s="19">
        <v>1134</v>
      </c>
      <c r="H6" s="18">
        <v>102</v>
      </c>
      <c r="I6" s="14">
        <v>5.0439062500000006E-2</v>
      </c>
      <c r="J6" s="3">
        <v>935.83999999999992</v>
      </c>
      <c r="K6">
        <v>28</v>
      </c>
      <c r="L6" s="2">
        <f>Tabel57[[#This Row],[Conversions]]/Tabel57[[#This Row],[Total Clicks]]</f>
        <v>2.4691358024691357E-2</v>
      </c>
      <c r="M6" s="15">
        <f>Tabel57[[#This Row],[Conversions]]/Tabel57[[#This Row],[Number of Vacancies]]</f>
        <v>0.21875</v>
      </c>
      <c r="N6" s="3">
        <v>33.42285714285714</v>
      </c>
    </row>
    <row r="7" spans="1:14" x14ac:dyDescent="0.3">
      <c r="A7" s="30" t="s">
        <v>12</v>
      </c>
      <c r="B7" s="18">
        <v>3</v>
      </c>
      <c r="C7" s="18">
        <v>7278</v>
      </c>
      <c r="D7" s="3">
        <v>0.32333333333333331</v>
      </c>
      <c r="E7" s="3">
        <v>4.0366666666666662</v>
      </c>
      <c r="F7" s="14">
        <v>0.10133333333333333</v>
      </c>
      <c r="G7" s="19">
        <v>736</v>
      </c>
      <c r="H7" s="18">
        <v>66</v>
      </c>
      <c r="I7" s="14">
        <v>8.6199999999999999E-2</v>
      </c>
      <c r="J7" s="3">
        <v>240.39</v>
      </c>
      <c r="K7">
        <v>20</v>
      </c>
      <c r="L7" s="2">
        <f>Tabel57[[#This Row],[Conversions]]/Tabel57[[#This Row],[Total Clicks]]</f>
        <v>2.717391304347826E-2</v>
      </c>
      <c r="M7" s="15">
        <f>Tabel57[[#This Row],[Conversions]]/Tabel57[[#This Row],[Number of Vacancies]]</f>
        <v>6.666666666666667</v>
      </c>
      <c r="N7" s="3">
        <v>12.019499999999999</v>
      </c>
    </row>
    <row r="8" spans="1:14" x14ac:dyDescent="0.3">
      <c r="A8" s="30" t="s">
        <v>13</v>
      </c>
      <c r="B8" s="18">
        <v>4</v>
      </c>
      <c r="C8" s="18">
        <v>2025</v>
      </c>
      <c r="D8" s="3">
        <v>0.63250000000000006</v>
      </c>
      <c r="E8" s="3">
        <v>4.7324999999999999</v>
      </c>
      <c r="F8" s="14">
        <v>0.11212500000000002</v>
      </c>
      <c r="G8" s="19">
        <v>213</v>
      </c>
      <c r="H8" s="18">
        <v>30</v>
      </c>
      <c r="I8" s="14">
        <v>0.14622499999999999</v>
      </c>
      <c r="J8" s="3">
        <v>123.16</v>
      </c>
      <c r="K8">
        <v>15</v>
      </c>
      <c r="L8" s="2">
        <f>Tabel57[[#This Row],[Conversions]]/Tabel57[[#This Row],[Total Clicks]]</f>
        <v>7.0422535211267609E-2</v>
      </c>
      <c r="M8" s="15">
        <f>Tabel57[[#This Row],[Conversions]]/Tabel57[[#This Row],[Number of Vacancies]]</f>
        <v>3.75</v>
      </c>
      <c r="N8" s="3">
        <v>8.2106666666666666</v>
      </c>
    </row>
    <row r="9" spans="1:14" x14ac:dyDescent="0.3">
      <c r="A9" s="30" t="s">
        <v>14</v>
      </c>
      <c r="B9" s="18">
        <v>2</v>
      </c>
      <c r="C9" s="18">
        <v>6252</v>
      </c>
      <c r="D9" s="3">
        <v>0.28500000000000003</v>
      </c>
      <c r="E9" s="3">
        <v>3.4049999999999998</v>
      </c>
      <c r="F9" s="14">
        <v>9.2799999999999994E-2</v>
      </c>
      <c r="G9" s="19">
        <v>589</v>
      </c>
      <c r="H9" s="18">
        <v>62</v>
      </c>
      <c r="I9" s="14">
        <v>9.6949999999999995E-2</v>
      </c>
      <c r="J9" s="3">
        <v>167.81</v>
      </c>
      <c r="K9">
        <v>12</v>
      </c>
      <c r="L9" s="2">
        <f>Tabel57[[#This Row],[Conversions]]/Tabel57[[#This Row],[Total Clicks]]</f>
        <v>2.037351443123939E-2</v>
      </c>
      <c r="M9" s="15">
        <f>Tabel57[[#This Row],[Conversions]]/Tabel57[[#This Row],[Number of Vacancies]]</f>
        <v>6</v>
      </c>
      <c r="N9" s="3">
        <v>13.984166666666667</v>
      </c>
    </row>
    <row r="10" spans="1:14" x14ac:dyDescent="0.3">
      <c r="A10" s="30" t="s">
        <v>15</v>
      </c>
      <c r="B10" s="18">
        <v>5</v>
      </c>
      <c r="C10" s="18">
        <v>3053</v>
      </c>
      <c r="D10" s="3">
        <v>1.0880000000000001</v>
      </c>
      <c r="E10" s="3">
        <v>5.8639999999999999</v>
      </c>
      <c r="F10" s="14">
        <v>9.5340000000000008E-2</v>
      </c>
      <c r="G10" s="19">
        <v>295</v>
      </c>
      <c r="H10" s="18">
        <v>53</v>
      </c>
      <c r="I10" s="14">
        <v>0.20630000000000001</v>
      </c>
      <c r="J10" s="3">
        <v>306.99</v>
      </c>
      <c r="K10">
        <v>12</v>
      </c>
      <c r="L10" s="2">
        <f>Tabel57[[#This Row],[Conversions]]/Tabel57[[#This Row],[Total Clicks]]</f>
        <v>4.0677966101694912E-2</v>
      </c>
      <c r="M10" s="15">
        <f>Tabel57[[#This Row],[Conversions]]/Tabel57[[#This Row],[Number of Vacancies]]</f>
        <v>2.4</v>
      </c>
      <c r="N10" s="3">
        <v>25.5825</v>
      </c>
    </row>
    <row r="11" spans="1:14" x14ac:dyDescent="0.3">
      <c r="A11" s="30" t="s">
        <v>16</v>
      </c>
      <c r="B11" s="18">
        <v>18</v>
      </c>
      <c r="C11" s="18">
        <v>2920</v>
      </c>
      <c r="D11" s="3">
        <v>1.0129411764705885</v>
      </c>
      <c r="E11" s="3">
        <v>5.8308333333333335</v>
      </c>
      <c r="F11" s="14">
        <v>0.11501111111111112</v>
      </c>
      <c r="G11" s="19">
        <v>327</v>
      </c>
      <c r="H11" s="18">
        <v>33</v>
      </c>
      <c r="I11" s="14">
        <v>0.19927777777777778</v>
      </c>
      <c r="J11" s="3">
        <v>237.24999999999994</v>
      </c>
      <c r="K11">
        <v>12</v>
      </c>
      <c r="L11" s="2">
        <f>Tabel57[[#This Row],[Conversions]]/Tabel57[[#This Row],[Total Clicks]]</f>
        <v>3.669724770642202E-2</v>
      </c>
      <c r="M11" s="15">
        <f>Tabel57[[#This Row],[Conversions]]/Tabel57[[#This Row],[Number of Vacancies]]</f>
        <v>0.66666666666666663</v>
      </c>
      <c r="N11" s="3">
        <v>19.770833333333329</v>
      </c>
    </row>
    <row r="12" spans="1:14" x14ac:dyDescent="0.3">
      <c r="A12" s="30" t="s">
        <v>17</v>
      </c>
      <c r="B12" s="18">
        <v>2</v>
      </c>
      <c r="C12" s="18">
        <v>3833</v>
      </c>
      <c r="D12" s="3">
        <v>0.625</v>
      </c>
      <c r="E12" s="3">
        <v>5.1850000000000005</v>
      </c>
      <c r="F12" s="14">
        <v>0.13</v>
      </c>
      <c r="G12" s="19">
        <v>484</v>
      </c>
      <c r="H12" s="18">
        <v>59</v>
      </c>
      <c r="I12" s="14">
        <v>0.12875</v>
      </c>
      <c r="J12" s="3">
        <v>365.07</v>
      </c>
      <c r="K12">
        <v>11</v>
      </c>
      <c r="L12" s="2">
        <f>Tabel57[[#This Row],[Conversions]]/Tabel57[[#This Row],[Total Clicks]]</f>
        <v>2.2727272727272728E-2</v>
      </c>
      <c r="M12" s="15">
        <f>Tabel57[[#This Row],[Conversions]]/Tabel57[[#This Row],[Number of Vacancies]]</f>
        <v>5.5</v>
      </c>
      <c r="N12" s="3">
        <v>33.188181818181818</v>
      </c>
    </row>
    <row r="13" spans="1:14" x14ac:dyDescent="0.3">
      <c r="A13" s="30" t="s">
        <v>18</v>
      </c>
      <c r="B13" s="18">
        <v>3</v>
      </c>
      <c r="C13" s="18">
        <v>3583</v>
      </c>
      <c r="D13" s="3">
        <v>0.50000000000000011</v>
      </c>
      <c r="E13" s="3">
        <v>5.9233333333333329</v>
      </c>
      <c r="F13" s="14">
        <v>0.1017</v>
      </c>
      <c r="G13" s="19">
        <v>359</v>
      </c>
      <c r="H13" s="18">
        <v>30</v>
      </c>
      <c r="I13" s="14">
        <v>7.2466666666666665E-2</v>
      </c>
      <c r="J13" s="3">
        <v>220.75000000000003</v>
      </c>
      <c r="K13">
        <v>11</v>
      </c>
      <c r="L13" s="2">
        <f>Tabel57[[#This Row],[Conversions]]/Tabel57[[#This Row],[Total Clicks]]</f>
        <v>3.0640668523676879E-2</v>
      </c>
      <c r="M13" s="15">
        <f>Tabel57[[#This Row],[Conversions]]/Tabel57[[#This Row],[Number of Vacancies]]</f>
        <v>3.6666666666666665</v>
      </c>
      <c r="N13" s="3">
        <v>20.06818181818182</v>
      </c>
    </row>
    <row r="14" spans="1:14" x14ac:dyDescent="0.3">
      <c r="A14" s="30" t="s">
        <v>19</v>
      </c>
      <c r="B14" s="18">
        <v>117</v>
      </c>
      <c r="C14" s="18">
        <v>15673</v>
      </c>
      <c r="D14" s="3">
        <v>1.0294623655913979</v>
      </c>
      <c r="E14" s="3">
        <v>12.015555555555558</v>
      </c>
      <c r="F14" s="14">
        <v>4.7988888888888873E-2</v>
      </c>
      <c r="G14" s="19">
        <v>836</v>
      </c>
      <c r="H14" s="18">
        <v>58</v>
      </c>
      <c r="I14" s="14">
        <v>5.553846153846153E-2</v>
      </c>
      <c r="J14" s="3">
        <v>939.55000000000007</v>
      </c>
      <c r="K14">
        <v>10</v>
      </c>
      <c r="L14" s="2">
        <f>Tabel57[[#This Row],[Conversions]]/Tabel57[[#This Row],[Total Clicks]]</f>
        <v>1.1961722488038277E-2</v>
      </c>
      <c r="M14" s="15">
        <f>Tabel57[[#This Row],[Conversions]]/Tabel57[[#This Row],[Number of Vacancies]]</f>
        <v>8.5470085470085472E-2</v>
      </c>
      <c r="N14" s="3">
        <v>93.955000000000013</v>
      </c>
    </row>
    <row r="15" spans="1:14" x14ac:dyDescent="0.3">
      <c r="A15" s="30" t="s">
        <v>20</v>
      </c>
      <c r="B15" s="18">
        <v>3</v>
      </c>
      <c r="C15" s="18">
        <v>4422</v>
      </c>
      <c r="D15" s="3">
        <v>0.21666666666666665</v>
      </c>
      <c r="E15" s="3">
        <v>5.5049999999999999</v>
      </c>
      <c r="F15" s="14">
        <v>0.16016666666666665</v>
      </c>
      <c r="G15" s="19">
        <v>447</v>
      </c>
      <c r="H15" s="18">
        <v>22</v>
      </c>
      <c r="I15" s="14">
        <v>5.0833333333333335E-2</v>
      </c>
      <c r="J15" s="3">
        <v>179.2</v>
      </c>
      <c r="K15">
        <v>8</v>
      </c>
      <c r="L15" s="2">
        <f>Tabel57[[#This Row],[Conversions]]/Tabel57[[#This Row],[Total Clicks]]</f>
        <v>1.7897091722595078E-2</v>
      </c>
      <c r="M15" s="15">
        <f>Tabel57[[#This Row],[Conversions]]/Tabel57[[#This Row],[Number of Vacancies]]</f>
        <v>2.6666666666666665</v>
      </c>
      <c r="N15" s="3">
        <v>22.4</v>
      </c>
    </row>
    <row r="16" spans="1:14" x14ac:dyDescent="0.3">
      <c r="A16" s="30" t="s">
        <v>21</v>
      </c>
      <c r="B16" s="18">
        <v>6</v>
      </c>
      <c r="C16" s="18">
        <v>1940</v>
      </c>
      <c r="D16" s="3">
        <v>2.2916666666666665</v>
      </c>
      <c r="E16" s="3">
        <v>8.288333333333334</v>
      </c>
      <c r="F16" s="14">
        <v>9.3066666666666673E-2</v>
      </c>
      <c r="G16" s="19">
        <v>179</v>
      </c>
      <c r="H16" s="18">
        <v>13</v>
      </c>
      <c r="I16" s="14">
        <v>0.25114999999999998</v>
      </c>
      <c r="J16" s="3">
        <v>97.59</v>
      </c>
      <c r="K16">
        <v>8</v>
      </c>
      <c r="L16" s="2">
        <f>Tabel57[[#This Row],[Conversions]]/Tabel57[[#This Row],[Total Clicks]]</f>
        <v>4.4692737430167599E-2</v>
      </c>
      <c r="M16" s="15">
        <f>Tabel57[[#This Row],[Conversions]]/Tabel57[[#This Row],[Number of Vacancies]]</f>
        <v>1.3333333333333333</v>
      </c>
      <c r="N16" s="3">
        <v>12.19875</v>
      </c>
    </row>
    <row r="17" spans="1:14" x14ac:dyDescent="0.3">
      <c r="A17" s="30" t="s">
        <v>22</v>
      </c>
      <c r="B17" s="18">
        <v>19</v>
      </c>
      <c r="C17" s="18">
        <v>13338</v>
      </c>
      <c r="D17" s="3">
        <v>0.58947368421052626</v>
      </c>
      <c r="E17" s="3">
        <v>10.832142857142856</v>
      </c>
      <c r="F17" s="14">
        <v>6.3378947368421062E-2</v>
      </c>
      <c r="G17" s="19">
        <v>928</v>
      </c>
      <c r="H17" s="18">
        <v>38</v>
      </c>
      <c r="I17" s="14">
        <v>5.7068421052631567E-2</v>
      </c>
      <c r="J17" s="3">
        <v>430.90000000000009</v>
      </c>
      <c r="K17">
        <v>8</v>
      </c>
      <c r="L17" s="2">
        <f>Tabel57[[#This Row],[Conversions]]/Tabel57[[#This Row],[Total Clicks]]</f>
        <v>8.6206896551724137E-3</v>
      </c>
      <c r="M17" s="15">
        <f>Tabel57[[#This Row],[Conversions]]/Tabel57[[#This Row],[Number of Vacancies]]</f>
        <v>0.42105263157894735</v>
      </c>
      <c r="N17" s="3">
        <v>53.862500000000011</v>
      </c>
    </row>
    <row r="18" spans="1:14" x14ac:dyDescent="0.3">
      <c r="A18" s="30" t="s">
        <v>23</v>
      </c>
      <c r="B18" s="18">
        <v>40</v>
      </c>
      <c r="C18" s="18">
        <v>5550</v>
      </c>
      <c r="D18" s="3">
        <v>1.1124137931034481</v>
      </c>
      <c r="E18" s="3">
        <v>13.671538461538461</v>
      </c>
      <c r="F18" s="14">
        <v>3.85625E-2</v>
      </c>
      <c r="G18" s="19">
        <v>241</v>
      </c>
      <c r="H18" s="18">
        <v>21</v>
      </c>
      <c r="I18" s="14">
        <v>3.8324999999999991E-2</v>
      </c>
      <c r="J18" s="3">
        <v>393.21000000000009</v>
      </c>
      <c r="K18">
        <v>7</v>
      </c>
      <c r="L18" s="2">
        <f>Tabel57[[#This Row],[Conversions]]/Tabel57[[#This Row],[Total Clicks]]</f>
        <v>2.9045643153526972E-2</v>
      </c>
      <c r="M18" s="15">
        <f>Tabel57[[#This Row],[Conversions]]/Tabel57[[#This Row],[Number of Vacancies]]</f>
        <v>0.17499999999999999</v>
      </c>
      <c r="N18" s="3">
        <v>56.172857142857154</v>
      </c>
    </row>
    <row r="19" spans="1:14" x14ac:dyDescent="0.3">
      <c r="A19" s="30" t="s">
        <v>24</v>
      </c>
      <c r="B19" s="18">
        <v>1</v>
      </c>
      <c r="C19" s="18">
        <v>1010</v>
      </c>
      <c r="D19" s="3">
        <v>0.59</v>
      </c>
      <c r="E19" s="3">
        <v>9.3000000000000007</v>
      </c>
      <c r="F19" s="14">
        <v>9.4100000000000003E-2</v>
      </c>
      <c r="G19" s="19">
        <v>95</v>
      </c>
      <c r="H19" s="18">
        <v>6</v>
      </c>
      <c r="I19" s="14">
        <v>6.3200000000000006E-2</v>
      </c>
      <c r="J19" s="3">
        <v>55.82</v>
      </c>
      <c r="K19">
        <v>5</v>
      </c>
      <c r="L19" s="2">
        <f>Tabel57[[#This Row],[Conversions]]/Tabel57[[#This Row],[Total Clicks]]</f>
        <v>5.2631578947368418E-2</v>
      </c>
      <c r="M19" s="15">
        <f>Tabel57[[#This Row],[Conversions]]/Tabel57[[#This Row],[Number of Vacancies]]</f>
        <v>5</v>
      </c>
      <c r="N19" s="3">
        <v>11.164</v>
      </c>
    </row>
    <row r="20" spans="1:14" x14ac:dyDescent="0.3">
      <c r="A20" s="30" t="s">
        <v>25</v>
      </c>
      <c r="B20" s="18">
        <v>1</v>
      </c>
      <c r="C20" s="18">
        <v>2436</v>
      </c>
      <c r="D20" s="3">
        <v>0.27</v>
      </c>
      <c r="E20" s="3">
        <v>2.48</v>
      </c>
      <c r="F20" s="14">
        <v>0.1076</v>
      </c>
      <c r="G20" s="19">
        <v>262</v>
      </c>
      <c r="H20" s="18">
        <v>29</v>
      </c>
      <c r="I20" s="14">
        <v>0.11070000000000001</v>
      </c>
      <c r="J20" s="3">
        <v>71.78</v>
      </c>
      <c r="K20">
        <v>5</v>
      </c>
      <c r="L20" s="2">
        <f>Tabel57[[#This Row],[Conversions]]/Tabel57[[#This Row],[Total Clicks]]</f>
        <v>1.9083969465648856E-2</v>
      </c>
      <c r="M20" s="15">
        <f>Tabel57[[#This Row],[Conversions]]/Tabel57[[#This Row],[Number of Vacancies]]</f>
        <v>5</v>
      </c>
      <c r="N20" s="3">
        <v>14.356</v>
      </c>
    </row>
    <row r="21" spans="1:14" x14ac:dyDescent="0.3">
      <c r="A21" s="30" t="s">
        <v>26</v>
      </c>
      <c r="B21" s="18">
        <v>2</v>
      </c>
      <c r="C21" s="18">
        <v>641</v>
      </c>
      <c r="D21" s="3">
        <v>0.26</v>
      </c>
      <c r="E21" s="3">
        <v>2.83</v>
      </c>
      <c r="F21" s="14">
        <v>7.8100000000000003E-2</v>
      </c>
      <c r="G21" s="19">
        <v>49</v>
      </c>
      <c r="H21" s="18">
        <v>4</v>
      </c>
      <c r="I21" s="14">
        <v>7.8299999999999995E-2</v>
      </c>
      <c r="J21" s="3">
        <v>13.569999999999999</v>
      </c>
      <c r="K21">
        <v>5</v>
      </c>
      <c r="L21" s="2">
        <f>Tabel57[[#This Row],[Conversions]]/Tabel57[[#This Row],[Total Clicks]]</f>
        <v>0.10204081632653061</v>
      </c>
      <c r="M21" s="15">
        <f>Tabel57[[#This Row],[Conversions]]/Tabel57[[#This Row],[Number of Vacancies]]</f>
        <v>2.5</v>
      </c>
      <c r="N21" s="3">
        <v>2.7139999999999995</v>
      </c>
    </row>
    <row r="22" spans="1:14" x14ac:dyDescent="0.3">
      <c r="A22" s="3" t="s">
        <v>27</v>
      </c>
      <c r="B22" s="18">
        <v>6</v>
      </c>
      <c r="C22" s="18">
        <v>23038</v>
      </c>
      <c r="D22" s="3">
        <v>0.12333333333333334</v>
      </c>
      <c r="E22" s="3">
        <v>7.7439999999999998</v>
      </c>
      <c r="F22" s="14">
        <v>0.12728333333333333</v>
      </c>
      <c r="G22" s="19">
        <v>1932</v>
      </c>
      <c r="H22" s="18">
        <v>32</v>
      </c>
      <c r="I22" s="14">
        <v>1.0333333333333335E-2</v>
      </c>
      <c r="J22" s="3">
        <v>377.39000000000004</v>
      </c>
      <c r="K22">
        <v>5</v>
      </c>
      <c r="L22" s="2">
        <f>Tabel57[[#This Row],[Conversions]]/Tabel57[[#This Row],[Total Clicks]]</f>
        <v>2.587991718426501E-3</v>
      </c>
      <c r="M22" s="15">
        <f>Tabel57[[#This Row],[Conversions]]/Tabel57[[#This Row],[Number of Vacancies]]</f>
        <v>0.83333333333333337</v>
      </c>
      <c r="N22" s="3">
        <v>75.478000000000009</v>
      </c>
    </row>
    <row r="23" spans="1:14" x14ac:dyDescent="0.3">
      <c r="A23" s="3" t="s">
        <v>28</v>
      </c>
      <c r="B23" s="18">
        <v>20</v>
      </c>
      <c r="C23" s="18">
        <v>1788</v>
      </c>
      <c r="D23" s="3">
        <v>0.23714285714285716</v>
      </c>
      <c r="E23" s="3">
        <v>6.1459999999999999</v>
      </c>
      <c r="F23" s="14">
        <v>9.6795000000000006E-2</v>
      </c>
      <c r="G23" s="19">
        <v>208</v>
      </c>
      <c r="H23" s="18">
        <v>7</v>
      </c>
      <c r="I23" s="14">
        <v>3.2969999999999999E-2</v>
      </c>
      <c r="J23" s="3">
        <v>41.910000000000004</v>
      </c>
      <c r="K23">
        <v>5</v>
      </c>
      <c r="L23" s="2">
        <f>Tabel57[[#This Row],[Conversions]]/Tabel57[[#This Row],[Total Clicks]]</f>
        <v>2.403846153846154E-2</v>
      </c>
      <c r="M23" s="15">
        <f>Tabel57[[#This Row],[Conversions]]/Tabel57[[#This Row],[Number of Vacancies]]</f>
        <v>0.25</v>
      </c>
      <c r="N23" s="3">
        <v>8.3820000000000014</v>
      </c>
    </row>
    <row r="24" spans="1:14" x14ac:dyDescent="0.3">
      <c r="A24" s="30" t="s">
        <v>29</v>
      </c>
      <c r="B24" s="18">
        <v>1</v>
      </c>
      <c r="C24" s="18">
        <v>1005</v>
      </c>
      <c r="D24" s="3">
        <v>0.12</v>
      </c>
      <c r="E24" s="3">
        <v>2.06</v>
      </c>
      <c r="F24" s="14">
        <v>0.10550000000000001</v>
      </c>
      <c r="G24" s="19">
        <v>106</v>
      </c>
      <c r="H24" s="18">
        <v>6</v>
      </c>
      <c r="I24" s="14">
        <v>5.6600000000000004E-2</v>
      </c>
      <c r="J24" s="3">
        <v>12.34</v>
      </c>
      <c r="K24">
        <v>4</v>
      </c>
      <c r="L24" s="2">
        <f>Tabel57[[#This Row],[Conversions]]/Tabel57[[#This Row],[Total Clicks]]</f>
        <v>3.7735849056603772E-2</v>
      </c>
      <c r="M24" s="15">
        <f>Tabel57[[#This Row],[Conversions]]/Tabel57[[#This Row],[Number of Vacancies]]</f>
        <v>4</v>
      </c>
      <c r="N24" s="3">
        <v>3.085</v>
      </c>
    </row>
    <row r="25" spans="1:14" x14ac:dyDescent="0.3">
      <c r="A25" s="30" t="s">
        <v>30</v>
      </c>
      <c r="B25" s="18">
        <v>1</v>
      </c>
      <c r="C25" s="18">
        <v>312</v>
      </c>
      <c r="D25" s="3">
        <v>0.45</v>
      </c>
      <c r="E25" s="3">
        <v>2.77</v>
      </c>
      <c r="F25" s="14">
        <v>0.13780000000000001</v>
      </c>
      <c r="G25" s="19">
        <v>43</v>
      </c>
      <c r="H25" s="18">
        <v>7</v>
      </c>
      <c r="I25" s="14">
        <v>0.1628</v>
      </c>
      <c r="J25" s="3">
        <v>19.420000000000002</v>
      </c>
      <c r="K25">
        <v>4</v>
      </c>
      <c r="L25" s="2">
        <f>Tabel57[[#This Row],[Conversions]]/Tabel57[[#This Row],[Total Clicks]]</f>
        <v>9.3023255813953487E-2</v>
      </c>
      <c r="M25" s="15">
        <f>Tabel57[[#This Row],[Conversions]]/Tabel57[[#This Row],[Number of Vacancies]]</f>
        <v>4</v>
      </c>
      <c r="N25" s="3">
        <v>4.8550000000000004</v>
      </c>
    </row>
    <row r="26" spans="1:14" x14ac:dyDescent="0.3">
      <c r="A26" s="30" t="s">
        <v>31</v>
      </c>
      <c r="B26" s="18">
        <v>2</v>
      </c>
      <c r="C26" s="18">
        <v>845</v>
      </c>
      <c r="D26" s="3">
        <v>0.65500000000000003</v>
      </c>
      <c r="E26" s="3">
        <v>4.8100000000000005</v>
      </c>
      <c r="F26" s="14">
        <v>5.1400000000000001E-2</v>
      </c>
      <c r="G26" s="19">
        <v>43</v>
      </c>
      <c r="H26" s="18">
        <v>6</v>
      </c>
      <c r="I26" s="14">
        <v>0.13600000000000001</v>
      </c>
      <c r="J26" s="3">
        <v>28.81</v>
      </c>
      <c r="K26">
        <v>4</v>
      </c>
      <c r="L26" s="2">
        <f>Tabel57[[#This Row],[Conversions]]/Tabel57[[#This Row],[Total Clicks]]</f>
        <v>9.3023255813953487E-2</v>
      </c>
      <c r="M26" s="15">
        <f>Tabel57[[#This Row],[Conversions]]/Tabel57[[#This Row],[Number of Vacancies]]</f>
        <v>2</v>
      </c>
      <c r="N26" s="3">
        <v>7.2024999999999997</v>
      </c>
    </row>
    <row r="27" spans="1:14" x14ac:dyDescent="0.3">
      <c r="A27" s="3" t="s">
        <v>32</v>
      </c>
      <c r="B27" s="18">
        <v>2</v>
      </c>
      <c r="C27" s="18">
        <v>1326</v>
      </c>
      <c r="D27" s="3">
        <v>0.76500000000000001</v>
      </c>
      <c r="E27" s="3">
        <v>8.1750000000000007</v>
      </c>
      <c r="F27" s="14">
        <v>8.2900000000000001E-2</v>
      </c>
      <c r="G27" s="19">
        <v>113</v>
      </c>
      <c r="H27" s="18">
        <v>10</v>
      </c>
      <c r="I27" s="14">
        <v>0.10045</v>
      </c>
      <c r="J27" s="3">
        <v>81.77</v>
      </c>
      <c r="K27">
        <v>3</v>
      </c>
      <c r="L27" s="2">
        <f>Tabel57[[#This Row],[Conversions]]/Tabel57[[#This Row],[Total Clicks]]</f>
        <v>2.6548672566371681E-2</v>
      </c>
      <c r="M27" s="15">
        <f>Tabel57[[#This Row],[Conversions]]/Tabel57[[#This Row],[Number of Vacancies]]</f>
        <v>1.5</v>
      </c>
      <c r="N27" s="3">
        <v>27.256666666666664</v>
      </c>
    </row>
    <row r="28" spans="1:14" x14ac:dyDescent="0.3">
      <c r="A28" s="3" t="s">
        <v>33</v>
      </c>
      <c r="B28" s="18">
        <v>3</v>
      </c>
      <c r="C28" s="18">
        <v>851</v>
      </c>
      <c r="D28" s="3">
        <v>0.42666666666666669</v>
      </c>
      <c r="E28" s="3">
        <v>6.0649999999999995</v>
      </c>
      <c r="F28" s="14">
        <v>4.7533333333333337E-2</v>
      </c>
      <c r="G28" s="19">
        <v>41</v>
      </c>
      <c r="H28" s="18">
        <v>3</v>
      </c>
      <c r="I28" s="14">
        <v>7.0366666666666675E-2</v>
      </c>
      <c r="J28" s="3">
        <v>18.2</v>
      </c>
      <c r="K28">
        <v>3</v>
      </c>
      <c r="L28" s="2">
        <f>Tabel57[[#This Row],[Conversions]]/Tabel57[[#This Row],[Total Clicks]]</f>
        <v>7.3170731707317069E-2</v>
      </c>
      <c r="M28" s="15">
        <f>Tabel57[[#This Row],[Conversions]]/Tabel57[[#This Row],[Number of Vacancies]]</f>
        <v>1</v>
      </c>
      <c r="N28" s="3">
        <v>6.0666666666666664</v>
      </c>
    </row>
    <row r="29" spans="1:14" x14ac:dyDescent="0.3">
      <c r="A29" s="30" t="s">
        <v>34</v>
      </c>
      <c r="B29" s="18">
        <v>1</v>
      </c>
      <c r="C29" s="18">
        <v>137</v>
      </c>
      <c r="D29" s="3">
        <v>1.21</v>
      </c>
      <c r="E29" s="3">
        <v>5.82</v>
      </c>
      <c r="F29" s="14">
        <v>0.17519999999999999</v>
      </c>
      <c r="G29" s="19">
        <v>24</v>
      </c>
      <c r="H29" s="18">
        <v>5</v>
      </c>
      <c r="I29" s="14">
        <v>0.20829999999999999</v>
      </c>
      <c r="J29" s="3">
        <v>29.11</v>
      </c>
      <c r="K29">
        <v>2</v>
      </c>
      <c r="L29" s="2">
        <f>Tabel57[[#This Row],[Conversions]]/Tabel57[[#This Row],[Total Clicks]]</f>
        <v>8.3333333333333329E-2</v>
      </c>
      <c r="M29" s="15">
        <f>Tabel57[[#This Row],[Conversions]]/Tabel57[[#This Row],[Number of Vacancies]]</f>
        <v>2</v>
      </c>
      <c r="N29" s="3">
        <v>14.555</v>
      </c>
    </row>
    <row r="30" spans="1:14" x14ac:dyDescent="0.3">
      <c r="A30" s="30" t="s">
        <v>35</v>
      </c>
      <c r="B30" s="18">
        <v>1</v>
      </c>
      <c r="C30" s="18">
        <v>894</v>
      </c>
      <c r="D30" s="3">
        <v>0.67</v>
      </c>
      <c r="E30" s="3">
        <v>10.23</v>
      </c>
      <c r="F30" s="14">
        <v>0.1376</v>
      </c>
      <c r="G30" s="19">
        <v>123</v>
      </c>
      <c r="H30" s="18">
        <v>8</v>
      </c>
      <c r="I30" s="14">
        <v>6.5000000000000002E-2</v>
      </c>
      <c r="J30" s="3">
        <v>81.86</v>
      </c>
      <c r="K30">
        <v>2</v>
      </c>
      <c r="L30" s="2">
        <f>Tabel57[[#This Row],[Conversions]]/Tabel57[[#This Row],[Total Clicks]]</f>
        <v>1.6260162601626018E-2</v>
      </c>
      <c r="M30" s="15">
        <f>Tabel57[[#This Row],[Conversions]]/Tabel57[[#This Row],[Number of Vacancies]]</f>
        <v>2</v>
      </c>
      <c r="N30" s="3">
        <v>40.93</v>
      </c>
    </row>
    <row r="31" spans="1:14" x14ac:dyDescent="0.3">
      <c r="A31" s="30" t="s">
        <v>36</v>
      </c>
      <c r="B31" s="18">
        <v>1</v>
      </c>
      <c r="C31" s="18">
        <v>271</v>
      </c>
      <c r="D31" s="3">
        <v>1.23</v>
      </c>
      <c r="E31" s="3">
        <v>7.36</v>
      </c>
      <c r="F31" s="14">
        <v>8.8599999999999998E-2</v>
      </c>
      <c r="G31" s="19">
        <v>24</v>
      </c>
      <c r="H31" s="18">
        <v>4</v>
      </c>
      <c r="I31" s="14">
        <v>0.16670000000000001</v>
      </c>
      <c r="J31" s="3">
        <v>29.43</v>
      </c>
      <c r="K31">
        <v>2</v>
      </c>
      <c r="L31" s="2">
        <f>Tabel57[[#This Row],[Conversions]]/Tabel57[[#This Row],[Total Clicks]]</f>
        <v>8.3333333333333329E-2</v>
      </c>
      <c r="M31" s="15">
        <f>Tabel57[[#This Row],[Conversions]]/Tabel57[[#This Row],[Number of Vacancies]]</f>
        <v>2</v>
      </c>
      <c r="N31" s="3">
        <v>14.715</v>
      </c>
    </row>
    <row r="32" spans="1:14" x14ac:dyDescent="0.3">
      <c r="A32" s="30" t="s">
        <v>37</v>
      </c>
      <c r="B32" s="18">
        <v>1</v>
      </c>
      <c r="C32" s="18">
        <v>244</v>
      </c>
      <c r="D32" s="3">
        <v>0.51</v>
      </c>
      <c r="E32" s="3">
        <v>5.87</v>
      </c>
      <c r="F32" s="14">
        <v>0.23769999999999999</v>
      </c>
      <c r="G32" s="19">
        <v>58</v>
      </c>
      <c r="H32" s="18">
        <v>5</v>
      </c>
      <c r="I32" s="14">
        <v>8.6199999999999999E-2</v>
      </c>
      <c r="J32" s="3">
        <v>29.37</v>
      </c>
      <c r="K32">
        <v>2</v>
      </c>
      <c r="L32" s="2">
        <f>Tabel57[[#This Row],[Conversions]]/Tabel57[[#This Row],[Total Clicks]]</f>
        <v>3.4482758620689655E-2</v>
      </c>
      <c r="M32" s="15">
        <f>Tabel57[[#This Row],[Conversions]]/Tabel57[[#This Row],[Number of Vacancies]]</f>
        <v>2</v>
      </c>
      <c r="N32" s="3">
        <v>14.685</v>
      </c>
    </row>
    <row r="33" spans="1:14" x14ac:dyDescent="0.3">
      <c r="A33" s="30" t="s">
        <v>38</v>
      </c>
      <c r="B33" s="18">
        <v>1</v>
      </c>
      <c r="C33" s="18">
        <v>630</v>
      </c>
      <c r="D33" s="3">
        <v>0.25</v>
      </c>
      <c r="E33" s="3">
        <v>2.21</v>
      </c>
      <c r="F33" s="14">
        <v>5.7099999999999998E-2</v>
      </c>
      <c r="G33" s="19">
        <v>36</v>
      </c>
      <c r="H33" s="18">
        <v>4</v>
      </c>
      <c r="I33" s="14">
        <v>0.11109999999999999</v>
      </c>
      <c r="J33" s="3">
        <v>8.84</v>
      </c>
      <c r="K33">
        <v>2</v>
      </c>
      <c r="L33" s="2">
        <f>Tabel57[[#This Row],[Conversions]]/Tabel57[[#This Row],[Total Clicks]]</f>
        <v>5.5555555555555552E-2</v>
      </c>
      <c r="M33" s="15">
        <f>Tabel57[[#This Row],[Conversions]]/Tabel57[[#This Row],[Number of Vacancies]]</f>
        <v>2</v>
      </c>
      <c r="N33" s="3">
        <v>4.42</v>
      </c>
    </row>
    <row r="34" spans="1:14" x14ac:dyDescent="0.3">
      <c r="A34" s="3" t="s">
        <v>39</v>
      </c>
      <c r="B34" s="18">
        <v>1</v>
      </c>
      <c r="C34" s="18">
        <v>485</v>
      </c>
      <c r="D34" s="3">
        <v>0.84</v>
      </c>
      <c r="E34" s="3">
        <v>7.81</v>
      </c>
      <c r="F34" s="14">
        <v>7.6299999999999993E-2</v>
      </c>
      <c r="G34" s="19">
        <v>37</v>
      </c>
      <c r="H34" s="18">
        <v>4</v>
      </c>
      <c r="I34" s="14">
        <v>0.1081</v>
      </c>
      <c r="J34" s="3">
        <v>31.22</v>
      </c>
      <c r="K34">
        <v>2</v>
      </c>
      <c r="L34" s="2">
        <f>Tabel57[[#This Row],[Conversions]]/Tabel57[[#This Row],[Total Clicks]]</f>
        <v>5.4054054054054057E-2</v>
      </c>
      <c r="M34" s="15">
        <f>Tabel57[[#This Row],[Conversions]]/Tabel57[[#This Row],[Number of Vacancies]]</f>
        <v>2</v>
      </c>
      <c r="N34" s="3">
        <v>15.61</v>
      </c>
    </row>
    <row r="35" spans="1:14" x14ac:dyDescent="0.3">
      <c r="A35" s="3" t="s">
        <v>40</v>
      </c>
      <c r="B35" s="18">
        <v>5</v>
      </c>
      <c r="C35" s="18">
        <v>518</v>
      </c>
      <c r="D35" s="3">
        <v>2.4480000000000004</v>
      </c>
      <c r="E35" s="3">
        <v>9.9039999999999999</v>
      </c>
      <c r="F35" s="14">
        <v>0.12327999999999999</v>
      </c>
      <c r="G35" s="19">
        <v>60</v>
      </c>
      <c r="H35" s="18">
        <v>16</v>
      </c>
      <c r="I35" s="14">
        <v>0.26895999999999998</v>
      </c>
      <c r="J35" s="3">
        <v>143.01999999999998</v>
      </c>
      <c r="K35">
        <v>2</v>
      </c>
      <c r="L35" s="2">
        <f>Tabel57[[#This Row],[Conversions]]/Tabel57[[#This Row],[Total Clicks]]</f>
        <v>3.3333333333333333E-2</v>
      </c>
      <c r="M35" s="15">
        <f>Tabel57[[#This Row],[Conversions]]/Tabel57[[#This Row],[Number of Vacancies]]</f>
        <v>0.4</v>
      </c>
      <c r="N35" s="3">
        <v>71.509999999999991</v>
      </c>
    </row>
    <row r="36" spans="1:14" x14ac:dyDescent="0.3">
      <c r="A36" s="3" t="s">
        <v>41</v>
      </c>
      <c r="B36" s="18">
        <v>12</v>
      </c>
      <c r="C36" s="18">
        <v>5478</v>
      </c>
      <c r="D36" s="3">
        <v>0.27</v>
      </c>
      <c r="E36" s="3">
        <v>5.6775000000000002</v>
      </c>
      <c r="F36" s="14">
        <v>7.8108333333333335E-2</v>
      </c>
      <c r="G36" s="19">
        <v>492</v>
      </c>
      <c r="H36" s="18">
        <v>43</v>
      </c>
      <c r="I36" s="14">
        <v>5.2633333333333338E-2</v>
      </c>
      <c r="J36" s="3">
        <v>161.03</v>
      </c>
      <c r="K36">
        <v>2</v>
      </c>
      <c r="L36" s="2">
        <f>Tabel57[[#This Row],[Conversions]]/Tabel57[[#This Row],[Total Clicks]]</f>
        <v>4.0650406504065045E-3</v>
      </c>
      <c r="M36" s="15">
        <f>Tabel57[[#This Row],[Conversions]]/Tabel57[[#This Row],[Number of Vacancies]]</f>
        <v>0.16666666666666666</v>
      </c>
      <c r="N36" s="3">
        <v>80.515000000000001</v>
      </c>
    </row>
    <row r="37" spans="1:14" x14ac:dyDescent="0.3">
      <c r="A37" s="3" t="s">
        <v>42</v>
      </c>
      <c r="B37" s="18">
        <v>49</v>
      </c>
      <c r="C37" s="18">
        <v>4917</v>
      </c>
      <c r="D37" s="3">
        <v>0.63888888888888884</v>
      </c>
      <c r="E37" s="3">
        <v>10.255833333333333</v>
      </c>
      <c r="F37" s="14">
        <v>5.1240816326530624E-2</v>
      </c>
      <c r="G37" s="19">
        <v>249</v>
      </c>
      <c r="H37" s="18">
        <v>16</v>
      </c>
      <c r="I37" s="14">
        <v>5.3834693877551021E-2</v>
      </c>
      <c r="J37" s="3">
        <v>159.41999999999999</v>
      </c>
      <c r="K37">
        <v>2</v>
      </c>
      <c r="L37" s="2">
        <f>Tabel57[[#This Row],[Conversions]]/Tabel57[[#This Row],[Total Clicks]]</f>
        <v>8.0321285140562242E-3</v>
      </c>
      <c r="M37" s="15">
        <f>Tabel57[[#This Row],[Conversions]]/Tabel57[[#This Row],[Number of Vacancies]]</f>
        <v>4.0816326530612242E-2</v>
      </c>
      <c r="N37" s="3">
        <v>79.709999999999994</v>
      </c>
    </row>
    <row r="38" spans="1:14" x14ac:dyDescent="0.3">
      <c r="A38" s="3" t="s">
        <v>43</v>
      </c>
      <c r="B38" s="18">
        <v>1</v>
      </c>
      <c r="C38" s="18">
        <v>234</v>
      </c>
      <c r="D38" s="3">
        <v>0.67</v>
      </c>
      <c r="E38" s="3">
        <v>3.21</v>
      </c>
      <c r="F38" s="14">
        <v>0.1026</v>
      </c>
      <c r="G38" s="19">
        <v>24</v>
      </c>
      <c r="H38" s="18">
        <v>5</v>
      </c>
      <c r="I38" s="14">
        <v>0.20829999999999999</v>
      </c>
      <c r="J38" s="3">
        <v>16.07</v>
      </c>
      <c r="K38">
        <v>1</v>
      </c>
      <c r="L38" s="2">
        <f>Tabel57[[#This Row],[Conversions]]/Tabel57[[#This Row],[Total Clicks]]</f>
        <v>4.1666666666666664E-2</v>
      </c>
      <c r="M38" s="15">
        <f>Tabel57[[#This Row],[Conversions]]/Tabel57[[#This Row],[Number of Vacancies]]</f>
        <v>1</v>
      </c>
      <c r="N38" s="3">
        <v>16.07</v>
      </c>
    </row>
    <row r="39" spans="1:14" x14ac:dyDescent="0.3">
      <c r="A39" s="3" t="s">
        <v>44</v>
      </c>
      <c r="B39" s="18">
        <v>1</v>
      </c>
      <c r="C39" s="18">
        <v>1130</v>
      </c>
      <c r="D39" s="3">
        <v>0.55000000000000004</v>
      </c>
      <c r="E39" s="3">
        <v>6.88</v>
      </c>
      <c r="F39" s="14">
        <v>6.6400000000000001E-2</v>
      </c>
      <c r="G39" s="19">
        <v>75</v>
      </c>
      <c r="H39" s="18">
        <v>6</v>
      </c>
      <c r="I39" s="14">
        <v>0.08</v>
      </c>
      <c r="J39" s="3">
        <v>41.29</v>
      </c>
      <c r="K39">
        <v>1</v>
      </c>
      <c r="L39" s="2">
        <f>Tabel57[[#This Row],[Conversions]]/Tabel57[[#This Row],[Total Clicks]]</f>
        <v>1.3333333333333334E-2</v>
      </c>
      <c r="M39" s="15">
        <f>Tabel57[[#This Row],[Conversions]]/Tabel57[[#This Row],[Number of Vacancies]]</f>
        <v>1</v>
      </c>
      <c r="N39" s="3">
        <v>41.29</v>
      </c>
    </row>
    <row r="40" spans="1:14" x14ac:dyDescent="0.3">
      <c r="A40" s="3" t="s">
        <v>45</v>
      </c>
      <c r="B40" s="18">
        <v>1</v>
      </c>
      <c r="C40" s="18">
        <v>1489</v>
      </c>
      <c r="D40" s="3">
        <v>0.44</v>
      </c>
      <c r="E40" s="3">
        <v>4.05</v>
      </c>
      <c r="F40" s="14">
        <v>6.25E-2</v>
      </c>
      <c r="G40" s="19">
        <v>93</v>
      </c>
      <c r="H40" s="18">
        <v>10</v>
      </c>
      <c r="I40" s="14">
        <v>0.1075</v>
      </c>
      <c r="J40" s="3">
        <v>40.5</v>
      </c>
      <c r="K40">
        <v>1</v>
      </c>
      <c r="L40" s="2">
        <f>Tabel57[[#This Row],[Conversions]]/Tabel57[[#This Row],[Total Clicks]]</f>
        <v>1.0752688172043012E-2</v>
      </c>
      <c r="M40" s="15">
        <f>Tabel57[[#This Row],[Conversions]]/Tabel57[[#This Row],[Number of Vacancies]]</f>
        <v>1</v>
      </c>
      <c r="N40" s="3">
        <v>40.5</v>
      </c>
    </row>
    <row r="41" spans="1:14" x14ac:dyDescent="0.3">
      <c r="A41" s="3" t="s">
        <v>46</v>
      </c>
      <c r="B41" s="18">
        <v>1</v>
      </c>
      <c r="C41" s="18">
        <v>865</v>
      </c>
      <c r="D41" s="3">
        <v>0.06</v>
      </c>
      <c r="E41" s="3">
        <v>2.0699999999999998</v>
      </c>
      <c r="F41" s="14">
        <v>7.7499999999999999E-2</v>
      </c>
      <c r="G41" s="19">
        <v>67</v>
      </c>
      <c r="H41" s="18">
        <v>2</v>
      </c>
      <c r="I41" s="14">
        <v>2.9900000000000003E-2</v>
      </c>
      <c r="J41" s="3">
        <v>4.13</v>
      </c>
      <c r="K41">
        <v>1</v>
      </c>
      <c r="L41" s="2">
        <f>Tabel57[[#This Row],[Conversions]]/Tabel57[[#This Row],[Total Clicks]]</f>
        <v>1.4925373134328358E-2</v>
      </c>
      <c r="M41" s="15">
        <f>Tabel57[[#This Row],[Conversions]]/Tabel57[[#This Row],[Number of Vacancies]]</f>
        <v>1</v>
      </c>
      <c r="N41" s="3">
        <v>4.13</v>
      </c>
    </row>
    <row r="42" spans="1:14" x14ac:dyDescent="0.3">
      <c r="A42" s="3" t="s">
        <v>47</v>
      </c>
      <c r="B42" s="18">
        <v>1</v>
      </c>
      <c r="C42" s="18">
        <v>293</v>
      </c>
      <c r="D42" s="3">
        <v>0.48</v>
      </c>
      <c r="E42" s="3">
        <v>8.9700000000000006</v>
      </c>
      <c r="F42" s="14">
        <v>0.1263</v>
      </c>
      <c r="G42" s="19">
        <v>37</v>
      </c>
      <c r="H42" s="18">
        <v>2</v>
      </c>
      <c r="I42" s="14">
        <v>5.4100000000000002E-2</v>
      </c>
      <c r="J42" s="3">
        <v>17.940000000000001</v>
      </c>
      <c r="K42">
        <v>1</v>
      </c>
      <c r="L42" s="2">
        <f>Tabel57[[#This Row],[Conversions]]/Tabel57[[#This Row],[Total Clicks]]</f>
        <v>2.7027027027027029E-2</v>
      </c>
      <c r="M42" s="15">
        <f>Tabel57[[#This Row],[Conversions]]/Tabel57[[#This Row],[Number of Vacancies]]</f>
        <v>1</v>
      </c>
      <c r="N42" s="3">
        <v>17.940000000000001</v>
      </c>
    </row>
    <row r="43" spans="1:14" x14ac:dyDescent="0.3">
      <c r="A43" s="3" t="s">
        <v>48</v>
      </c>
      <c r="B43" s="18">
        <v>1</v>
      </c>
      <c r="C43" s="18">
        <v>530</v>
      </c>
      <c r="D43" s="3">
        <v>0.2</v>
      </c>
      <c r="E43" s="3">
        <v>3.22</v>
      </c>
      <c r="F43" s="14">
        <v>0.11890000000000001</v>
      </c>
      <c r="G43" s="19">
        <v>63</v>
      </c>
      <c r="H43" s="18">
        <v>4</v>
      </c>
      <c r="I43" s="14">
        <v>6.3500000000000001E-2</v>
      </c>
      <c r="J43" s="3">
        <v>12.88</v>
      </c>
      <c r="K43">
        <v>1</v>
      </c>
      <c r="L43" s="2">
        <f>Tabel57[[#This Row],[Conversions]]/Tabel57[[#This Row],[Total Clicks]]</f>
        <v>1.5873015873015872E-2</v>
      </c>
      <c r="M43" s="15">
        <f>Tabel57[[#This Row],[Conversions]]/Tabel57[[#This Row],[Number of Vacancies]]</f>
        <v>1</v>
      </c>
      <c r="N43" s="3">
        <v>12.88</v>
      </c>
    </row>
    <row r="44" spans="1:14" x14ac:dyDescent="0.3">
      <c r="A44" s="3" t="s">
        <v>49</v>
      </c>
      <c r="B44" s="18">
        <v>1</v>
      </c>
      <c r="C44" s="18">
        <v>584</v>
      </c>
      <c r="D44" s="3">
        <v>0.23</v>
      </c>
      <c r="E44" s="3">
        <v>2.14</v>
      </c>
      <c r="F44" s="14">
        <v>6.5099999999999991E-2</v>
      </c>
      <c r="G44" s="19">
        <v>38</v>
      </c>
      <c r="H44" s="18">
        <v>4</v>
      </c>
      <c r="I44" s="14">
        <v>0.10529999999999999</v>
      </c>
      <c r="J44" s="3">
        <v>8.5500000000000007</v>
      </c>
      <c r="K44">
        <v>1</v>
      </c>
      <c r="L44" s="2">
        <f>Tabel57[[#This Row],[Conversions]]/Tabel57[[#This Row],[Total Clicks]]</f>
        <v>2.6315789473684209E-2</v>
      </c>
      <c r="M44" s="15">
        <f>Tabel57[[#This Row],[Conversions]]/Tabel57[[#This Row],[Number of Vacancies]]</f>
        <v>1</v>
      </c>
      <c r="N44" s="3">
        <v>8.5500000000000007</v>
      </c>
    </row>
    <row r="45" spans="1:14" x14ac:dyDescent="0.3">
      <c r="A45" s="3" t="s">
        <v>50</v>
      </c>
      <c r="B45" s="18">
        <v>1</v>
      </c>
      <c r="C45" s="18">
        <v>299</v>
      </c>
      <c r="D45" s="3">
        <v>0.68</v>
      </c>
      <c r="E45" s="3">
        <v>9.33</v>
      </c>
      <c r="F45" s="14">
        <v>0.1371</v>
      </c>
      <c r="G45" s="19">
        <v>41</v>
      </c>
      <c r="H45" s="18">
        <v>3</v>
      </c>
      <c r="I45" s="14">
        <v>7.3200000000000001E-2</v>
      </c>
      <c r="J45" s="3">
        <v>28</v>
      </c>
      <c r="K45">
        <v>1</v>
      </c>
      <c r="L45" s="2">
        <f>Tabel57[[#This Row],[Conversions]]/Tabel57[[#This Row],[Total Clicks]]</f>
        <v>2.4390243902439025E-2</v>
      </c>
      <c r="M45" s="15">
        <f>Tabel57[[#This Row],[Conversions]]/Tabel57[[#This Row],[Number of Vacancies]]</f>
        <v>1</v>
      </c>
      <c r="N45" s="3">
        <v>28</v>
      </c>
    </row>
    <row r="46" spans="1:14" x14ac:dyDescent="0.3">
      <c r="A46" s="3" t="s">
        <v>51</v>
      </c>
      <c r="B46" s="18">
        <v>1</v>
      </c>
      <c r="C46" s="18">
        <v>549</v>
      </c>
      <c r="D46" s="3">
        <v>0.55000000000000004</v>
      </c>
      <c r="E46" s="3">
        <v>6.65</v>
      </c>
      <c r="F46" s="14">
        <v>0.11109999999999999</v>
      </c>
      <c r="G46" s="19">
        <v>61</v>
      </c>
      <c r="H46" s="18">
        <v>5</v>
      </c>
      <c r="I46" s="14">
        <v>8.199999999999999E-2</v>
      </c>
      <c r="J46" s="3">
        <v>33.270000000000003</v>
      </c>
      <c r="K46">
        <v>1</v>
      </c>
      <c r="L46" s="2">
        <f>Tabel57[[#This Row],[Conversions]]/Tabel57[[#This Row],[Total Clicks]]</f>
        <v>1.6393442622950821E-2</v>
      </c>
      <c r="M46" s="15">
        <f>Tabel57[[#This Row],[Conversions]]/Tabel57[[#This Row],[Number of Vacancies]]</f>
        <v>1</v>
      </c>
      <c r="N46" s="3">
        <v>33.270000000000003</v>
      </c>
    </row>
    <row r="47" spans="1:14" x14ac:dyDescent="0.3">
      <c r="A47" s="3" t="s">
        <v>52</v>
      </c>
      <c r="B47" s="18">
        <v>1</v>
      </c>
      <c r="C47" s="18">
        <v>90</v>
      </c>
      <c r="D47" s="3">
        <v>2.0699999999999998</v>
      </c>
      <c r="E47" s="3">
        <v>12.43</v>
      </c>
      <c r="F47" s="14">
        <v>6.6699999999999995E-2</v>
      </c>
      <c r="G47" s="19">
        <v>6</v>
      </c>
      <c r="H47" s="18">
        <v>1</v>
      </c>
      <c r="I47" s="14">
        <v>0.16670000000000001</v>
      </c>
      <c r="J47" s="3">
        <v>12.43</v>
      </c>
      <c r="K47">
        <v>1</v>
      </c>
      <c r="L47" s="2">
        <f>Tabel57[[#This Row],[Conversions]]/Tabel57[[#This Row],[Total Clicks]]</f>
        <v>0.16666666666666666</v>
      </c>
      <c r="M47" s="15">
        <f>Tabel57[[#This Row],[Conversions]]/Tabel57[[#This Row],[Number of Vacancies]]</f>
        <v>1</v>
      </c>
      <c r="N47" s="3">
        <v>12.43</v>
      </c>
    </row>
    <row r="48" spans="1:14" x14ac:dyDescent="0.3">
      <c r="A48" s="3" t="s">
        <v>53</v>
      </c>
      <c r="B48" s="18">
        <v>1</v>
      </c>
      <c r="C48" s="18">
        <v>664</v>
      </c>
      <c r="D48" s="3">
        <v>0.05</v>
      </c>
      <c r="E48" s="3">
        <v>1.76</v>
      </c>
      <c r="F48" s="14">
        <v>0.11449999999999999</v>
      </c>
      <c r="G48" s="19">
        <v>76</v>
      </c>
      <c r="H48" s="18">
        <v>2</v>
      </c>
      <c r="I48" s="14">
        <v>2.63E-2</v>
      </c>
      <c r="J48" s="3">
        <v>3.51</v>
      </c>
      <c r="K48">
        <v>1</v>
      </c>
      <c r="L48" s="2">
        <f>Tabel57[[#This Row],[Conversions]]/Tabel57[[#This Row],[Total Clicks]]</f>
        <v>1.3157894736842105E-2</v>
      </c>
      <c r="M48" s="15">
        <f>Tabel57[[#This Row],[Conversions]]/Tabel57[[#This Row],[Number of Vacancies]]</f>
        <v>1</v>
      </c>
      <c r="N48" s="3">
        <v>3.51</v>
      </c>
    </row>
    <row r="49" spans="1:14" x14ac:dyDescent="0.3">
      <c r="A49" s="3" t="s">
        <v>54</v>
      </c>
      <c r="B49" s="18">
        <v>1</v>
      </c>
      <c r="C49" s="18">
        <v>409</v>
      </c>
      <c r="D49" s="3">
        <v>0.67</v>
      </c>
      <c r="E49" s="3">
        <v>7.36</v>
      </c>
      <c r="F49" s="14">
        <v>0.1076</v>
      </c>
      <c r="G49" s="19">
        <v>44</v>
      </c>
      <c r="H49" s="18">
        <v>4</v>
      </c>
      <c r="I49" s="14">
        <v>9.0899999999999995E-2</v>
      </c>
      <c r="J49" s="3">
        <v>29.43</v>
      </c>
      <c r="K49">
        <v>1</v>
      </c>
      <c r="L49" s="2">
        <f>Tabel57[[#This Row],[Conversions]]/Tabel57[[#This Row],[Total Clicks]]</f>
        <v>2.2727272727272728E-2</v>
      </c>
      <c r="M49" s="15">
        <f>Tabel57[[#This Row],[Conversions]]/Tabel57[[#This Row],[Number of Vacancies]]</f>
        <v>1</v>
      </c>
      <c r="N49" s="3">
        <v>29.43</v>
      </c>
    </row>
    <row r="50" spans="1:14" x14ac:dyDescent="0.3">
      <c r="A50" s="3" t="s">
        <v>55</v>
      </c>
      <c r="B50" s="18">
        <v>1</v>
      </c>
      <c r="C50" s="18">
        <v>301</v>
      </c>
      <c r="D50" s="3">
        <v>0.59</v>
      </c>
      <c r="E50" s="3">
        <v>10.53</v>
      </c>
      <c r="F50" s="14">
        <v>5.9800000000000006E-2</v>
      </c>
      <c r="G50" s="19">
        <v>18</v>
      </c>
      <c r="H50" s="18">
        <v>1</v>
      </c>
      <c r="I50" s="14">
        <v>5.5599999999999997E-2</v>
      </c>
      <c r="J50" s="3">
        <v>10.53</v>
      </c>
      <c r="K50">
        <v>1</v>
      </c>
      <c r="L50" s="2">
        <f>Tabel57[[#This Row],[Conversions]]/Tabel57[[#This Row],[Total Clicks]]</f>
        <v>5.5555555555555552E-2</v>
      </c>
      <c r="M50" s="15">
        <f>Tabel57[[#This Row],[Conversions]]/Tabel57[[#This Row],[Number of Vacancies]]</f>
        <v>1</v>
      </c>
      <c r="N50" s="3">
        <v>10.53</v>
      </c>
    </row>
    <row r="51" spans="1:14" x14ac:dyDescent="0.3">
      <c r="A51" s="3" t="s">
        <v>56</v>
      </c>
      <c r="B51" s="18">
        <v>1</v>
      </c>
      <c r="C51" s="18">
        <v>276</v>
      </c>
      <c r="D51" s="3">
        <v>0.32</v>
      </c>
      <c r="E51" s="3">
        <v>3.36</v>
      </c>
      <c r="F51" s="14">
        <v>7.6100000000000001E-2</v>
      </c>
      <c r="G51" s="19">
        <v>21</v>
      </c>
      <c r="H51" s="18">
        <v>2</v>
      </c>
      <c r="I51" s="14">
        <v>9.5199999999999993E-2</v>
      </c>
      <c r="J51" s="3">
        <v>6.72</v>
      </c>
      <c r="K51">
        <v>1</v>
      </c>
      <c r="L51" s="2">
        <f>Tabel57[[#This Row],[Conversions]]/Tabel57[[#This Row],[Total Clicks]]</f>
        <v>4.7619047619047616E-2</v>
      </c>
      <c r="M51" s="15">
        <f>Tabel57[[#This Row],[Conversions]]/Tabel57[[#This Row],[Number of Vacancies]]</f>
        <v>1</v>
      </c>
      <c r="N51" s="3">
        <v>6.72</v>
      </c>
    </row>
    <row r="52" spans="1:14" x14ac:dyDescent="0.3">
      <c r="A52" s="3" t="s">
        <v>57</v>
      </c>
      <c r="B52" s="18">
        <v>1</v>
      </c>
      <c r="C52" s="18">
        <v>70</v>
      </c>
      <c r="D52" s="3">
        <v>2</v>
      </c>
      <c r="E52" s="3">
        <v>7.98</v>
      </c>
      <c r="F52" s="14">
        <v>5.7099999999999998E-2</v>
      </c>
      <c r="G52" s="19">
        <v>4</v>
      </c>
      <c r="H52" s="18">
        <v>1</v>
      </c>
      <c r="I52" s="14">
        <v>0.25</v>
      </c>
      <c r="J52" s="3">
        <v>7.98</v>
      </c>
      <c r="K52">
        <v>1</v>
      </c>
      <c r="L52" s="2">
        <f>Tabel57[[#This Row],[Conversions]]/Tabel57[[#This Row],[Total Clicks]]</f>
        <v>0.25</v>
      </c>
      <c r="M52" s="15">
        <f>Tabel57[[#This Row],[Conversions]]/Tabel57[[#This Row],[Number of Vacancies]]</f>
        <v>1</v>
      </c>
      <c r="N52" s="3">
        <v>7.98</v>
      </c>
    </row>
    <row r="53" spans="1:14" x14ac:dyDescent="0.3">
      <c r="A53" s="3" t="s">
        <v>58</v>
      </c>
      <c r="B53" s="18">
        <v>1</v>
      </c>
      <c r="C53" s="18">
        <v>170</v>
      </c>
      <c r="D53" s="3">
        <v>3.22</v>
      </c>
      <c r="E53" s="3">
        <v>8.59</v>
      </c>
      <c r="F53" s="14">
        <v>4.7100000000000003E-2</v>
      </c>
      <c r="G53" s="19">
        <v>8</v>
      </c>
      <c r="H53" s="18">
        <v>3</v>
      </c>
      <c r="I53" s="14">
        <v>0.375</v>
      </c>
      <c r="J53" s="3">
        <v>25.78</v>
      </c>
      <c r="K53">
        <v>1</v>
      </c>
      <c r="L53" s="2">
        <f>Tabel57[[#This Row],[Conversions]]/Tabel57[[#This Row],[Total Clicks]]</f>
        <v>0.125</v>
      </c>
      <c r="M53" s="15">
        <f>Tabel57[[#This Row],[Conversions]]/Tabel57[[#This Row],[Number of Vacancies]]</f>
        <v>1</v>
      </c>
      <c r="N53" s="3">
        <v>25.78</v>
      </c>
    </row>
    <row r="54" spans="1:14" x14ac:dyDescent="0.3">
      <c r="A54" s="3" t="s">
        <v>59</v>
      </c>
      <c r="B54" s="18">
        <v>2</v>
      </c>
      <c r="C54" s="18">
        <v>1546</v>
      </c>
      <c r="D54" s="3">
        <v>0.41</v>
      </c>
      <c r="E54" s="3">
        <v>2.83</v>
      </c>
      <c r="F54" s="14">
        <v>7.4349999999999999E-2</v>
      </c>
      <c r="G54" s="19">
        <v>124</v>
      </c>
      <c r="H54" s="18">
        <v>8</v>
      </c>
      <c r="I54" s="14">
        <v>0.13635</v>
      </c>
      <c r="J54" s="3">
        <v>22.64</v>
      </c>
      <c r="K54">
        <v>1</v>
      </c>
      <c r="L54" s="2">
        <f>Tabel57[[#This Row],[Conversions]]/Tabel57[[#This Row],[Total Clicks]]</f>
        <v>8.0645161290322578E-3</v>
      </c>
      <c r="M54" s="15">
        <f>Tabel57[[#This Row],[Conversions]]/Tabel57[[#This Row],[Number of Vacancies]]</f>
        <v>0.5</v>
      </c>
      <c r="N54" s="3">
        <v>22.64</v>
      </c>
    </row>
    <row r="55" spans="1:14" x14ac:dyDescent="0.3">
      <c r="A55" s="3" t="s">
        <v>60</v>
      </c>
      <c r="B55" s="18">
        <v>2</v>
      </c>
      <c r="C55" s="18">
        <v>2079</v>
      </c>
      <c r="D55" s="3">
        <v>0.13500000000000001</v>
      </c>
      <c r="E55" s="3">
        <v>7.26</v>
      </c>
      <c r="F55" s="14">
        <v>6.6700000000000009E-2</v>
      </c>
      <c r="G55" s="19">
        <v>145</v>
      </c>
      <c r="H55" s="18">
        <v>4</v>
      </c>
      <c r="I55" s="14">
        <v>1.8700000000000001E-2</v>
      </c>
      <c r="J55" s="3">
        <v>29.02</v>
      </c>
      <c r="K55">
        <v>1</v>
      </c>
      <c r="L55" s="2">
        <f>Tabel57[[#This Row],[Conversions]]/Tabel57[[#This Row],[Total Clicks]]</f>
        <v>6.8965517241379309E-3</v>
      </c>
      <c r="M55" s="15">
        <f>Tabel57[[#This Row],[Conversions]]/Tabel57[[#This Row],[Number of Vacancies]]</f>
        <v>0.5</v>
      </c>
      <c r="N55" s="3">
        <v>29.02</v>
      </c>
    </row>
    <row r="56" spans="1:14" x14ac:dyDescent="0.3">
      <c r="A56" s="3" t="s">
        <v>61</v>
      </c>
      <c r="B56" s="18">
        <v>2</v>
      </c>
      <c r="C56" s="18">
        <v>424</v>
      </c>
      <c r="D56" s="3">
        <v>0.91999999999999993</v>
      </c>
      <c r="E56" s="3">
        <v>5.2850000000000001</v>
      </c>
      <c r="F56" s="14">
        <v>9.7049999999999997E-2</v>
      </c>
      <c r="G56" s="19">
        <v>39</v>
      </c>
      <c r="H56" s="18">
        <v>7</v>
      </c>
      <c r="I56" s="14">
        <v>0.17244999999999999</v>
      </c>
      <c r="J56" s="3">
        <v>37.54</v>
      </c>
      <c r="K56">
        <v>1</v>
      </c>
      <c r="L56" s="2">
        <f>Tabel57[[#This Row],[Conversions]]/Tabel57[[#This Row],[Total Clicks]]</f>
        <v>2.564102564102564E-2</v>
      </c>
      <c r="M56" s="15">
        <f>Tabel57[[#This Row],[Conversions]]/Tabel57[[#This Row],[Number of Vacancies]]</f>
        <v>0.5</v>
      </c>
      <c r="N56" s="3">
        <v>37.54</v>
      </c>
    </row>
    <row r="57" spans="1:14" x14ac:dyDescent="0.3">
      <c r="A57" s="3" t="s">
        <v>62</v>
      </c>
      <c r="B57" s="18">
        <v>2</v>
      </c>
      <c r="C57" s="18">
        <v>194</v>
      </c>
      <c r="D57" s="3">
        <v>9.65</v>
      </c>
      <c r="E57" s="3">
        <v>173.74</v>
      </c>
      <c r="F57" s="14">
        <v>8.2699999999999996E-2</v>
      </c>
      <c r="G57" s="19">
        <v>13</v>
      </c>
      <c r="H57" s="18">
        <v>1</v>
      </c>
      <c r="I57" s="14">
        <v>5.5549999999999995E-2</v>
      </c>
      <c r="J57" s="3">
        <v>173.74</v>
      </c>
      <c r="K57">
        <v>1</v>
      </c>
      <c r="L57" s="2">
        <f>Tabel57[[#This Row],[Conversions]]/Tabel57[[#This Row],[Total Clicks]]</f>
        <v>7.6923076923076927E-2</v>
      </c>
      <c r="M57" s="15">
        <f>Tabel57[[#This Row],[Conversions]]/Tabel57[[#This Row],[Number of Vacancies]]</f>
        <v>0.5</v>
      </c>
      <c r="N57" s="3">
        <v>173.74</v>
      </c>
    </row>
    <row r="58" spans="1:14" x14ac:dyDescent="0.3">
      <c r="A58" s="3" t="s">
        <v>63</v>
      </c>
      <c r="B58" s="18">
        <v>2</v>
      </c>
      <c r="C58" s="18">
        <v>2586</v>
      </c>
      <c r="D58" s="3">
        <v>0.245</v>
      </c>
      <c r="E58" s="3">
        <v>4.8599999999999994</v>
      </c>
      <c r="F58" s="14">
        <v>9.06E-2</v>
      </c>
      <c r="G58" s="19">
        <v>268</v>
      </c>
      <c r="H58" s="18">
        <v>15</v>
      </c>
      <c r="I58" s="14">
        <v>5.135E-2</v>
      </c>
      <c r="J58" s="3">
        <v>64.91</v>
      </c>
      <c r="K58">
        <v>1</v>
      </c>
      <c r="L58" s="2">
        <f>Tabel57[[#This Row],[Conversions]]/Tabel57[[#This Row],[Total Clicks]]</f>
        <v>3.7313432835820895E-3</v>
      </c>
      <c r="M58" s="15">
        <f>Tabel57[[#This Row],[Conversions]]/Tabel57[[#This Row],[Number of Vacancies]]</f>
        <v>0.5</v>
      </c>
      <c r="N58" s="3">
        <v>64.91</v>
      </c>
    </row>
    <row r="59" spans="1:14" x14ac:dyDescent="0.3">
      <c r="A59" s="3" t="s">
        <v>64</v>
      </c>
      <c r="B59" s="18">
        <v>2</v>
      </c>
      <c r="C59" s="18">
        <v>1148</v>
      </c>
      <c r="D59" s="3">
        <v>0.19500000000000001</v>
      </c>
      <c r="E59" s="3">
        <v>2.5700000000000003</v>
      </c>
      <c r="F59" s="14">
        <v>0.10300000000000001</v>
      </c>
      <c r="G59" s="19">
        <v>126</v>
      </c>
      <c r="H59" s="18">
        <v>7</v>
      </c>
      <c r="I59" s="14">
        <v>6.9499999999999992E-2</v>
      </c>
      <c r="J59" s="3">
        <v>15.72</v>
      </c>
      <c r="K59">
        <v>1</v>
      </c>
      <c r="L59" s="2">
        <f>Tabel57[[#This Row],[Conversions]]/Tabel57[[#This Row],[Total Clicks]]</f>
        <v>7.9365079365079361E-3</v>
      </c>
      <c r="M59" s="15">
        <f>Tabel57[[#This Row],[Conversions]]/Tabel57[[#This Row],[Number of Vacancies]]</f>
        <v>0.5</v>
      </c>
      <c r="N59" s="3">
        <v>15.72</v>
      </c>
    </row>
    <row r="60" spans="1:14" x14ac:dyDescent="0.3">
      <c r="A60" s="3" t="s">
        <v>65</v>
      </c>
      <c r="B60" s="18">
        <v>3</v>
      </c>
      <c r="C60" s="18">
        <v>279</v>
      </c>
      <c r="D60" s="3">
        <v>0.64500000000000002</v>
      </c>
      <c r="E60" s="3">
        <v>7.72</v>
      </c>
      <c r="F60" s="14">
        <v>2.8700000000000003E-2</v>
      </c>
      <c r="G60" s="19">
        <v>12</v>
      </c>
      <c r="H60" s="18">
        <v>1</v>
      </c>
      <c r="I60" s="14">
        <v>5.5566666666666674E-2</v>
      </c>
      <c r="J60" s="3">
        <v>7.72</v>
      </c>
      <c r="K60">
        <v>1</v>
      </c>
      <c r="L60" s="2">
        <f>Tabel57[[#This Row],[Conversions]]/Tabel57[[#This Row],[Total Clicks]]</f>
        <v>8.3333333333333329E-2</v>
      </c>
      <c r="M60" s="15">
        <f>Tabel57[[#This Row],[Conversions]]/Tabel57[[#This Row],[Number of Vacancies]]</f>
        <v>0.33333333333333331</v>
      </c>
      <c r="N60" s="3">
        <v>7.72</v>
      </c>
    </row>
    <row r="61" spans="1:14" x14ac:dyDescent="0.3">
      <c r="A61" s="3" t="s">
        <v>66</v>
      </c>
      <c r="B61" s="18">
        <v>3</v>
      </c>
      <c r="C61" s="18">
        <v>1227</v>
      </c>
      <c r="D61" s="3">
        <v>0.29333333333333333</v>
      </c>
      <c r="E61" s="3">
        <v>6.05</v>
      </c>
      <c r="F61" s="14">
        <v>8.3566666666666678E-2</v>
      </c>
      <c r="G61" s="19">
        <v>102</v>
      </c>
      <c r="H61" s="18">
        <v>5</v>
      </c>
      <c r="I61" s="14">
        <v>5.5766666666666659E-2</v>
      </c>
      <c r="J61" s="3">
        <v>25.96</v>
      </c>
      <c r="K61">
        <v>1</v>
      </c>
      <c r="L61" s="2">
        <f>Tabel57[[#This Row],[Conversions]]/Tabel57[[#This Row],[Total Clicks]]</f>
        <v>9.8039215686274508E-3</v>
      </c>
      <c r="M61" s="15">
        <f>Tabel57[[#This Row],[Conversions]]/Tabel57[[#This Row],[Number of Vacancies]]</f>
        <v>0.33333333333333331</v>
      </c>
      <c r="N61" s="3">
        <v>25.96</v>
      </c>
    </row>
    <row r="62" spans="1:14" x14ac:dyDescent="0.3">
      <c r="A62" s="3" t="s">
        <v>67</v>
      </c>
      <c r="B62" s="18">
        <v>3</v>
      </c>
      <c r="C62" s="18">
        <v>1001</v>
      </c>
      <c r="D62" s="3">
        <v>0.83666666666666656</v>
      </c>
      <c r="E62" s="3">
        <v>14.285</v>
      </c>
      <c r="F62" s="14">
        <v>4.583333333333333E-2</v>
      </c>
      <c r="G62" s="19">
        <v>50</v>
      </c>
      <c r="H62" s="18">
        <v>4</v>
      </c>
      <c r="I62" s="14">
        <v>7.1433333333333335E-2</v>
      </c>
      <c r="J62" s="3">
        <v>72.36</v>
      </c>
      <c r="K62">
        <v>1</v>
      </c>
      <c r="L62" s="2">
        <f>Tabel57[[#This Row],[Conversions]]/Tabel57[[#This Row],[Total Clicks]]</f>
        <v>0.02</v>
      </c>
      <c r="M62" s="15">
        <f>Tabel57[[#This Row],[Conversions]]/Tabel57[[#This Row],[Number of Vacancies]]</f>
        <v>0.33333333333333331</v>
      </c>
      <c r="N62" s="3">
        <v>72.36</v>
      </c>
    </row>
    <row r="63" spans="1:14" x14ac:dyDescent="0.3">
      <c r="A63" s="3" t="s">
        <v>68</v>
      </c>
      <c r="B63" s="18">
        <v>3</v>
      </c>
      <c r="C63" s="18">
        <v>2432</v>
      </c>
      <c r="D63" s="3">
        <v>2.2433333333333332</v>
      </c>
      <c r="E63" s="3">
        <v>9.5133333333333336</v>
      </c>
      <c r="F63" s="14">
        <v>7.5999999999999998E-2</v>
      </c>
      <c r="G63" s="19">
        <v>183</v>
      </c>
      <c r="H63" s="18">
        <v>13</v>
      </c>
      <c r="I63" s="14">
        <v>5.0333333333333341E-2</v>
      </c>
      <c r="J63" s="3">
        <v>223.63</v>
      </c>
      <c r="K63">
        <v>1</v>
      </c>
      <c r="L63" s="2">
        <f>Tabel57[[#This Row],[Conversions]]/Tabel57[[#This Row],[Total Clicks]]</f>
        <v>5.4644808743169399E-3</v>
      </c>
      <c r="M63" s="15">
        <f>Tabel57[[#This Row],[Conversions]]/Tabel57[[#This Row],[Number of Vacancies]]</f>
        <v>0.33333333333333331</v>
      </c>
      <c r="N63" s="3">
        <v>223.63</v>
      </c>
    </row>
    <row r="64" spans="1:14" x14ac:dyDescent="0.3">
      <c r="A64" s="3" t="s">
        <v>69</v>
      </c>
      <c r="B64" s="18">
        <v>4</v>
      </c>
      <c r="C64" s="18">
        <v>292</v>
      </c>
      <c r="D64" s="3">
        <v>0.36</v>
      </c>
      <c r="E64" s="3">
        <v>10.504999999999999</v>
      </c>
      <c r="F64" s="14">
        <v>0.14005000000000001</v>
      </c>
      <c r="G64" s="19">
        <v>81</v>
      </c>
      <c r="H64" s="18">
        <v>3</v>
      </c>
      <c r="I64" s="14">
        <v>1.83E-2</v>
      </c>
      <c r="J64" s="3">
        <v>29.1</v>
      </c>
      <c r="K64">
        <v>1</v>
      </c>
      <c r="L64" s="2">
        <f>Tabel57[[#This Row],[Conversions]]/Tabel57[[#This Row],[Total Clicks]]</f>
        <v>1.2345679012345678E-2</v>
      </c>
      <c r="M64" s="15">
        <f>Tabel57[[#This Row],[Conversions]]/Tabel57[[#This Row],[Number of Vacancies]]</f>
        <v>0.25</v>
      </c>
      <c r="N64" s="3">
        <v>29.1</v>
      </c>
    </row>
    <row r="65" spans="1:14" x14ac:dyDescent="0.3">
      <c r="A65" s="3" t="s">
        <v>70</v>
      </c>
      <c r="B65" s="18">
        <v>4</v>
      </c>
      <c r="C65" s="18">
        <v>589</v>
      </c>
      <c r="D65" s="3">
        <v>0.09</v>
      </c>
      <c r="E65" s="3">
        <v>7.1</v>
      </c>
      <c r="F65" s="14">
        <v>6.275E-2</v>
      </c>
      <c r="G65" s="19">
        <v>36</v>
      </c>
      <c r="H65" s="18">
        <v>1</v>
      </c>
      <c r="I65" s="14">
        <v>1.2500000000000001E-2</v>
      </c>
      <c r="J65" s="3">
        <v>7.1</v>
      </c>
      <c r="K65">
        <v>1</v>
      </c>
      <c r="L65" s="2">
        <f>Tabel57[[#This Row],[Conversions]]/Tabel57[[#This Row],[Total Clicks]]</f>
        <v>2.7777777777777776E-2</v>
      </c>
      <c r="M65" s="15">
        <f>Tabel57[[#This Row],[Conversions]]/Tabel57[[#This Row],[Number of Vacancies]]</f>
        <v>0.25</v>
      </c>
      <c r="N65" s="3">
        <v>7.1</v>
      </c>
    </row>
    <row r="66" spans="1:14" x14ac:dyDescent="0.3">
      <c r="A66" s="3" t="s">
        <v>71</v>
      </c>
      <c r="B66" s="18">
        <v>4</v>
      </c>
      <c r="C66" s="18">
        <v>871</v>
      </c>
      <c r="D66" s="3">
        <v>0.47</v>
      </c>
      <c r="E66" s="3">
        <v>13.15</v>
      </c>
      <c r="F66" s="14">
        <v>3.1274999999999997E-2</v>
      </c>
      <c r="G66" s="19">
        <v>25</v>
      </c>
      <c r="H66" s="18">
        <v>1</v>
      </c>
      <c r="I66" s="14">
        <v>3.5725E-2</v>
      </c>
      <c r="J66" s="3">
        <v>13.15</v>
      </c>
      <c r="K66">
        <v>1</v>
      </c>
      <c r="L66" s="2">
        <f>Tabel57[[#This Row],[Conversions]]/Tabel57[[#This Row],[Total Clicks]]</f>
        <v>0.04</v>
      </c>
      <c r="M66" s="15">
        <f>Tabel57[[#This Row],[Conversions]]/Tabel57[[#This Row],[Number of Vacancies]]</f>
        <v>0.25</v>
      </c>
      <c r="N66" s="3">
        <v>13.15</v>
      </c>
    </row>
    <row r="67" spans="1:14" x14ac:dyDescent="0.3">
      <c r="A67" s="3" t="s">
        <v>72</v>
      </c>
      <c r="B67" s="18">
        <v>5</v>
      </c>
      <c r="C67" s="18">
        <v>980</v>
      </c>
      <c r="D67" s="3">
        <v>0.17400000000000002</v>
      </c>
      <c r="E67" s="3">
        <v>2.8874999999999997</v>
      </c>
      <c r="F67" s="14">
        <v>0.10306</v>
      </c>
      <c r="G67" s="19">
        <v>98</v>
      </c>
      <c r="H67" s="18">
        <v>7</v>
      </c>
      <c r="I67" s="14">
        <v>6.1939999999999995E-2</v>
      </c>
      <c r="J67" s="3">
        <v>20.7</v>
      </c>
      <c r="K67">
        <v>1</v>
      </c>
      <c r="L67" s="2">
        <f>Tabel57[[#This Row],[Conversions]]/Tabel57[[#This Row],[Total Clicks]]</f>
        <v>1.020408163265306E-2</v>
      </c>
      <c r="M67" s="15">
        <f>Tabel57[[#This Row],[Conversions]]/Tabel57[[#This Row],[Number of Vacancies]]</f>
        <v>0.2</v>
      </c>
      <c r="N67" s="3">
        <v>20.7</v>
      </c>
    </row>
    <row r="68" spans="1:14" x14ac:dyDescent="0.3">
      <c r="A68" s="3" t="s">
        <v>73</v>
      </c>
      <c r="B68" s="18">
        <v>7</v>
      </c>
      <c r="C68" s="18">
        <v>2124</v>
      </c>
      <c r="D68" s="3">
        <v>0.21571428571428569</v>
      </c>
      <c r="E68" s="3">
        <v>4.4020000000000001</v>
      </c>
      <c r="F68" s="14">
        <v>6.8071428571428561E-2</v>
      </c>
      <c r="G68" s="19">
        <v>147</v>
      </c>
      <c r="H68" s="18">
        <v>8</v>
      </c>
      <c r="I68" s="14">
        <v>6.3314285714285726E-2</v>
      </c>
      <c r="J68" s="3">
        <v>36.17</v>
      </c>
      <c r="K68">
        <v>1</v>
      </c>
      <c r="L68" s="2">
        <f>Tabel57[[#This Row],[Conversions]]/Tabel57[[#This Row],[Total Clicks]]</f>
        <v>6.8027210884353739E-3</v>
      </c>
      <c r="M68" s="15">
        <f>Tabel57[[#This Row],[Conversions]]/Tabel57[[#This Row],[Number of Vacancies]]</f>
        <v>0.14285714285714285</v>
      </c>
      <c r="N68" s="3">
        <v>36.17</v>
      </c>
    </row>
    <row r="69" spans="1:14" x14ac:dyDescent="0.3">
      <c r="A69" s="3" t="s">
        <v>74</v>
      </c>
      <c r="B69" s="18">
        <v>7</v>
      </c>
      <c r="C69" s="18">
        <v>5156</v>
      </c>
      <c r="D69" s="3">
        <v>0.50142857142857145</v>
      </c>
      <c r="E69" s="3">
        <v>3.3371428571428572</v>
      </c>
      <c r="F69" s="14">
        <v>0.10939999999999998</v>
      </c>
      <c r="G69" s="19">
        <v>542</v>
      </c>
      <c r="H69" s="18">
        <v>76</v>
      </c>
      <c r="I69" s="14">
        <v>0.14064285714285713</v>
      </c>
      <c r="J69" s="3">
        <v>274.21999999999997</v>
      </c>
      <c r="K69">
        <v>1</v>
      </c>
      <c r="L69" s="2">
        <f>Tabel57[[#This Row],[Conversions]]/Tabel57[[#This Row],[Total Clicks]]</f>
        <v>1.8450184501845018E-3</v>
      </c>
      <c r="M69" s="15">
        <f>Tabel57[[#This Row],[Conversions]]/Tabel57[[#This Row],[Number of Vacancies]]</f>
        <v>0.14285714285714285</v>
      </c>
      <c r="N69" s="3">
        <v>274.21999999999997</v>
      </c>
    </row>
    <row r="70" spans="1:14" x14ac:dyDescent="0.3">
      <c r="A70" s="3" t="s">
        <v>75</v>
      </c>
      <c r="B70" s="18">
        <v>7</v>
      </c>
      <c r="C70" s="18">
        <v>1582</v>
      </c>
      <c r="D70" s="3">
        <v>0.52500000000000002</v>
      </c>
      <c r="E70" s="3">
        <v>6.9859999999999998</v>
      </c>
      <c r="F70" s="14">
        <v>8.5357142857142868E-2</v>
      </c>
      <c r="G70" s="19">
        <v>137</v>
      </c>
      <c r="H70" s="18">
        <v>11</v>
      </c>
      <c r="I70" s="14">
        <v>7.6985714285714282E-2</v>
      </c>
      <c r="J70" s="3">
        <v>55.670000000000009</v>
      </c>
      <c r="K70">
        <v>1</v>
      </c>
      <c r="L70" s="2">
        <f>Tabel57[[#This Row],[Conversions]]/Tabel57[[#This Row],[Total Clicks]]</f>
        <v>7.2992700729927005E-3</v>
      </c>
      <c r="M70" s="15">
        <f>Tabel57[[#This Row],[Conversions]]/Tabel57[[#This Row],[Number of Vacancies]]</f>
        <v>0.14285714285714285</v>
      </c>
      <c r="N70" s="3">
        <v>55.670000000000009</v>
      </c>
    </row>
    <row r="71" spans="1:14" x14ac:dyDescent="0.3">
      <c r="A71" s="3" t="s">
        <v>76</v>
      </c>
      <c r="B71" s="18">
        <v>57</v>
      </c>
      <c r="C71" s="18">
        <v>7262</v>
      </c>
      <c r="D71" s="3">
        <v>0.62769230769230766</v>
      </c>
      <c r="E71" s="3">
        <v>9.1137499999999996</v>
      </c>
      <c r="F71" s="14">
        <v>3.6489473684210516E-2</v>
      </c>
      <c r="G71" s="19">
        <v>410</v>
      </c>
      <c r="H71" s="18">
        <v>28</v>
      </c>
      <c r="I71" s="14">
        <v>4.8473684210526322E-2</v>
      </c>
      <c r="J71" s="3">
        <v>235.05</v>
      </c>
      <c r="K71">
        <v>1</v>
      </c>
      <c r="L71" s="2">
        <f>Tabel57[[#This Row],[Conversions]]/Tabel57[[#This Row],[Total Clicks]]</f>
        <v>2.4390243902439024E-3</v>
      </c>
      <c r="M71" s="15">
        <f>Tabel57[[#This Row],[Conversions]]/Tabel57[[#This Row],[Number of Vacancies]]</f>
        <v>1.7543859649122806E-2</v>
      </c>
      <c r="N71" s="3">
        <v>235.05</v>
      </c>
    </row>
    <row r="72" spans="1:14" x14ac:dyDescent="0.3">
      <c r="A72" s="3" t="s">
        <v>77</v>
      </c>
      <c r="B72" s="18">
        <v>28</v>
      </c>
      <c r="C72" s="18">
        <v>2180</v>
      </c>
      <c r="D72" s="3">
        <v>1.7241666666666664</v>
      </c>
      <c r="E72" s="3">
        <v>13.6525</v>
      </c>
      <c r="F72" s="14">
        <v>4.3660714285714289E-2</v>
      </c>
      <c r="G72" s="19">
        <v>79</v>
      </c>
      <c r="H72" s="18">
        <v>4</v>
      </c>
      <c r="I72" s="14">
        <v>7.5892857142857137E-2</v>
      </c>
      <c r="J72" s="3">
        <v>54.61</v>
      </c>
      <c r="K72">
        <v>0</v>
      </c>
      <c r="L72" s="2">
        <f>Tabel57[[#This Row],[Conversions]]/Tabel57[[#This Row],[Total Clicks]]</f>
        <v>0</v>
      </c>
      <c r="M72" s="15">
        <f>Tabel57[[#This Row],[Conversions]]/Tabel57[[#This Row],[Number of Vacancies]]</f>
        <v>0</v>
      </c>
      <c r="N72" s="3">
        <v>0</v>
      </c>
    </row>
    <row r="73" spans="1:14" x14ac:dyDescent="0.3">
      <c r="A73" s="3" t="s">
        <v>78</v>
      </c>
      <c r="B73" s="18">
        <v>8</v>
      </c>
      <c r="C73" s="18">
        <v>2024</v>
      </c>
      <c r="D73" s="3">
        <v>4.1357142857142861</v>
      </c>
      <c r="E73" s="3">
        <v>33.056666666666665</v>
      </c>
      <c r="F73" s="14">
        <v>7.3112500000000011E-2</v>
      </c>
      <c r="G73" s="19">
        <v>147</v>
      </c>
      <c r="H73" s="18">
        <v>9</v>
      </c>
      <c r="I73" s="14">
        <v>5.8037499999999992E-2</v>
      </c>
      <c r="J73" s="3">
        <v>116.99</v>
      </c>
      <c r="K73">
        <v>0</v>
      </c>
      <c r="L73" s="2">
        <f>Tabel57[[#This Row],[Conversions]]/Tabel57[[#This Row],[Total Clicks]]</f>
        <v>0</v>
      </c>
      <c r="M73" s="15">
        <f>Tabel57[[#This Row],[Conversions]]/Tabel57[[#This Row],[Number of Vacancies]]</f>
        <v>0</v>
      </c>
      <c r="N73" s="3">
        <v>0</v>
      </c>
    </row>
    <row r="74" spans="1:14" x14ac:dyDescent="0.3">
      <c r="A74" s="3" t="s">
        <v>79</v>
      </c>
      <c r="B74" s="18">
        <v>6</v>
      </c>
      <c r="C74" s="18">
        <v>77</v>
      </c>
      <c r="D74" s="3">
        <v>0</v>
      </c>
      <c r="E74" s="3">
        <v>0</v>
      </c>
      <c r="F74" s="14">
        <v>8.3333333333333332E-3</v>
      </c>
      <c r="G74" s="19">
        <v>1</v>
      </c>
      <c r="H74" s="18">
        <v>0</v>
      </c>
      <c r="I74" s="14">
        <v>0</v>
      </c>
      <c r="J74" s="3">
        <v>0</v>
      </c>
      <c r="K74">
        <v>0</v>
      </c>
      <c r="L74" s="2">
        <f>Tabel57[[#This Row],[Conversions]]/Tabel57[[#This Row],[Total Clicks]]</f>
        <v>0</v>
      </c>
      <c r="M74" s="15">
        <f>Tabel57[[#This Row],[Conversions]]/Tabel57[[#This Row],[Number of Vacancies]]</f>
        <v>0</v>
      </c>
      <c r="N74" s="3">
        <v>0</v>
      </c>
    </row>
    <row r="75" spans="1:14" x14ac:dyDescent="0.3">
      <c r="A75" s="3" t="s">
        <v>80</v>
      </c>
      <c r="B75" s="18">
        <v>5</v>
      </c>
      <c r="C75" s="18">
        <v>1165</v>
      </c>
      <c r="D75" s="3">
        <v>9.8000000000000004E-2</v>
      </c>
      <c r="E75" s="3">
        <v>1.9833333333333334</v>
      </c>
      <c r="F75" s="14">
        <v>6.2460000000000002E-2</v>
      </c>
      <c r="G75" s="19">
        <v>72</v>
      </c>
      <c r="H75" s="18">
        <v>4</v>
      </c>
      <c r="I75" s="14">
        <v>4.82E-2</v>
      </c>
      <c r="J75" s="3">
        <v>8.49</v>
      </c>
      <c r="K75">
        <v>0</v>
      </c>
      <c r="L75" s="2">
        <f>Tabel57[[#This Row],[Conversions]]/Tabel57[[#This Row],[Total Clicks]]</f>
        <v>0</v>
      </c>
      <c r="M75" s="15">
        <f>Tabel57[[#This Row],[Conversions]]/Tabel57[[#This Row],[Number of Vacancies]]</f>
        <v>0</v>
      </c>
      <c r="N75" s="3">
        <v>0</v>
      </c>
    </row>
    <row r="76" spans="1:14" x14ac:dyDescent="0.3">
      <c r="A76" s="3" t="s">
        <v>81</v>
      </c>
      <c r="B76" s="18">
        <v>4</v>
      </c>
      <c r="C76" s="18">
        <v>1499</v>
      </c>
      <c r="D76" s="3">
        <v>0.34749999999999998</v>
      </c>
      <c r="E76" s="3">
        <v>6.8025000000000002</v>
      </c>
      <c r="F76" s="14">
        <v>7.0000000000000007E-2</v>
      </c>
      <c r="G76" s="19">
        <v>103</v>
      </c>
      <c r="H76" s="18">
        <v>6</v>
      </c>
      <c r="I76" s="14">
        <v>6.0550000000000007E-2</v>
      </c>
      <c r="J76" s="3">
        <v>36.840000000000003</v>
      </c>
      <c r="K76">
        <v>0</v>
      </c>
      <c r="L76" s="2">
        <f>Tabel57[[#This Row],[Conversions]]/Tabel57[[#This Row],[Total Clicks]]</f>
        <v>0</v>
      </c>
      <c r="M76" s="15">
        <f>Tabel57[[#This Row],[Conversions]]/Tabel57[[#This Row],[Number of Vacancies]]</f>
        <v>0</v>
      </c>
      <c r="N76" s="3">
        <v>0</v>
      </c>
    </row>
    <row r="77" spans="1:14" x14ac:dyDescent="0.3">
      <c r="A77" s="3" t="s">
        <v>82</v>
      </c>
      <c r="B77" s="18">
        <v>4</v>
      </c>
      <c r="C77" s="18">
        <v>1073</v>
      </c>
      <c r="D77" s="3">
        <v>0.20499999999999999</v>
      </c>
      <c r="E77" s="3">
        <v>4.07</v>
      </c>
      <c r="F77" s="14">
        <v>0.10499999999999998</v>
      </c>
      <c r="G77" s="19">
        <v>126</v>
      </c>
      <c r="H77" s="18">
        <v>8</v>
      </c>
      <c r="I77" s="14">
        <v>5.5974999999999997E-2</v>
      </c>
      <c r="J77" s="3">
        <v>33.68</v>
      </c>
      <c r="K77">
        <v>0</v>
      </c>
      <c r="L77" s="2">
        <f>Tabel57[[#This Row],[Conversions]]/Tabel57[[#This Row],[Total Clicks]]</f>
        <v>0</v>
      </c>
      <c r="M77" s="15">
        <f>Tabel57[[#This Row],[Conversions]]/Tabel57[[#This Row],[Number of Vacancies]]</f>
        <v>0</v>
      </c>
      <c r="N77" s="3">
        <v>0</v>
      </c>
    </row>
    <row r="78" spans="1:14" x14ac:dyDescent="0.3">
      <c r="A78" s="3" t="s">
        <v>83</v>
      </c>
      <c r="B78" s="18">
        <v>3</v>
      </c>
      <c r="C78" s="18">
        <v>439</v>
      </c>
      <c r="D78" s="3">
        <v>0</v>
      </c>
      <c r="E78" s="3">
        <v>0</v>
      </c>
      <c r="F78" s="14">
        <v>5.7199999999999994E-2</v>
      </c>
      <c r="G78" s="19">
        <v>29</v>
      </c>
      <c r="H78" s="18">
        <v>0</v>
      </c>
      <c r="I78" s="14">
        <v>0</v>
      </c>
      <c r="J78" s="3">
        <v>0</v>
      </c>
      <c r="K78">
        <v>0</v>
      </c>
      <c r="L78" s="2">
        <f>Tabel57[[#This Row],[Conversions]]/Tabel57[[#This Row],[Total Clicks]]</f>
        <v>0</v>
      </c>
      <c r="M78" s="15">
        <f>Tabel57[[#This Row],[Conversions]]/Tabel57[[#This Row],[Number of Vacancies]]</f>
        <v>0</v>
      </c>
      <c r="N78" s="3">
        <v>0</v>
      </c>
    </row>
    <row r="79" spans="1:14" x14ac:dyDescent="0.3">
      <c r="A79" s="3" t="s">
        <v>84</v>
      </c>
      <c r="B79" s="18">
        <v>3</v>
      </c>
      <c r="C79" s="18">
        <v>959</v>
      </c>
      <c r="D79" s="3">
        <v>1.4999999999999999E-2</v>
      </c>
      <c r="E79" s="3">
        <v>1.96</v>
      </c>
      <c r="F79" s="14">
        <v>7.4633333333333329E-2</v>
      </c>
      <c r="G79" s="19">
        <v>109</v>
      </c>
      <c r="H79" s="18">
        <v>1</v>
      </c>
      <c r="I79" s="14">
        <v>4.7666666666666664E-3</v>
      </c>
      <c r="J79" s="3">
        <v>1.96</v>
      </c>
      <c r="K79">
        <v>0</v>
      </c>
      <c r="L79" s="2">
        <f>Tabel57[[#This Row],[Conversions]]/Tabel57[[#This Row],[Total Clicks]]</f>
        <v>0</v>
      </c>
      <c r="M79" s="15">
        <f>Tabel57[[#This Row],[Conversions]]/Tabel57[[#This Row],[Number of Vacancies]]</f>
        <v>0</v>
      </c>
      <c r="N79" s="3">
        <v>0</v>
      </c>
    </row>
    <row r="80" spans="1:14" x14ac:dyDescent="0.3">
      <c r="A80" s="3" t="s">
        <v>85</v>
      </c>
      <c r="B80" s="18">
        <v>3</v>
      </c>
      <c r="C80" s="18">
        <v>228</v>
      </c>
      <c r="D80" s="3">
        <v>1.04</v>
      </c>
      <c r="E80" s="3">
        <v>10.035</v>
      </c>
      <c r="F80" s="14">
        <v>8.0399999999999999E-2</v>
      </c>
      <c r="G80" s="19">
        <v>27</v>
      </c>
      <c r="H80" s="18">
        <v>3</v>
      </c>
      <c r="I80" s="14">
        <v>7.506666666666667E-2</v>
      </c>
      <c r="J80" s="3">
        <v>27.86</v>
      </c>
      <c r="K80">
        <v>0</v>
      </c>
      <c r="L80" s="2">
        <f>Tabel57[[#This Row],[Conversions]]/Tabel57[[#This Row],[Total Clicks]]</f>
        <v>0</v>
      </c>
      <c r="M80" s="15">
        <f>Tabel57[[#This Row],[Conversions]]/Tabel57[[#This Row],[Number of Vacancies]]</f>
        <v>0</v>
      </c>
      <c r="N80" s="3">
        <v>0</v>
      </c>
    </row>
    <row r="81" spans="1:14" x14ac:dyDescent="0.3">
      <c r="A81" s="3" t="s">
        <v>86</v>
      </c>
      <c r="B81" s="18">
        <v>2</v>
      </c>
      <c r="C81" s="18">
        <v>16</v>
      </c>
      <c r="D81" s="3">
        <v>0</v>
      </c>
      <c r="E81" s="3">
        <v>0</v>
      </c>
      <c r="F81" s="14">
        <v>0</v>
      </c>
      <c r="G81" s="19">
        <v>0</v>
      </c>
      <c r="H81" s="18">
        <v>0</v>
      </c>
      <c r="I81" s="14">
        <v>0</v>
      </c>
      <c r="J81" s="3">
        <v>0</v>
      </c>
      <c r="K81">
        <v>0</v>
      </c>
      <c r="L81" s="2" t="e">
        <f>Tabel57[[#This Row],[Conversions]]/Tabel57[[#This Row],[Total Clicks]]</f>
        <v>#DIV/0!</v>
      </c>
      <c r="M81" s="15">
        <f>Tabel57[[#This Row],[Conversions]]/Tabel57[[#This Row],[Number of Vacancies]]</f>
        <v>0</v>
      </c>
      <c r="N81" s="3">
        <v>0</v>
      </c>
    </row>
    <row r="82" spans="1:14" x14ac:dyDescent="0.3">
      <c r="A82" s="3" t="s">
        <v>87</v>
      </c>
      <c r="B82" s="18">
        <v>2</v>
      </c>
      <c r="C82" s="18">
        <v>172</v>
      </c>
      <c r="D82" s="3">
        <v>0</v>
      </c>
      <c r="E82" s="3">
        <v>0</v>
      </c>
      <c r="F82" s="14">
        <v>6.9500000000000006E-2</v>
      </c>
      <c r="G82" s="19">
        <v>12</v>
      </c>
      <c r="H82" s="18">
        <v>0</v>
      </c>
      <c r="I82" s="14">
        <v>0</v>
      </c>
      <c r="J82" s="3">
        <v>0</v>
      </c>
      <c r="K82">
        <v>0</v>
      </c>
      <c r="L82" s="2">
        <f>Tabel57[[#This Row],[Conversions]]/Tabel57[[#This Row],[Total Clicks]]</f>
        <v>0</v>
      </c>
      <c r="M82" s="15">
        <f>Tabel57[[#This Row],[Conversions]]/Tabel57[[#This Row],[Number of Vacancies]]</f>
        <v>0</v>
      </c>
      <c r="N82" s="3">
        <v>0</v>
      </c>
    </row>
    <row r="83" spans="1:14" x14ac:dyDescent="0.3">
      <c r="A83" s="3" t="s">
        <v>88</v>
      </c>
      <c r="B83" s="18">
        <v>2</v>
      </c>
      <c r="C83" s="18">
        <v>1033</v>
      </c>
      <c r="D83" s="3">
        <v>0.115</v>
      </c>
      <c r="E83" s="3">
        <v>5.63</v>
      </c>
      <c r="F83" s="14">
        <v>7.4199999999999988E-2</v>
      </c>
      <c r="G83" s="19">
        <v>87</v>
      </c>
      <c r="H83" s="18">
        <v>3</v>
      </c>
      <c r="I83" s="14">
        <v>2.085E-2</v>
      </c>
      <c r="J83" s="3">
        <v>16.89</v>
      </c>
      <c r="K83">
        <v>0</v>
      </c>
      <c r="L83" s="2">
        <f>Tabel57[[#This Row],[Conversions]]/Tabel57[[#This Row],[Total Clicks]]</f>
        <v>0</v>
      </c>
      <c r="M83" s="15">
        <f>Tabel57[[#This Row],[Conversions]]/Tabel57[[#This Row],[Number of Vacancies]]</f>
        <v>0</v>
      </c>
      <c r="N83" s="3">
        <v>0</v>
      </c>
    </row>
    <row r="84" spans="1:14" x14ac:dyDescent="0.3">
      <c r="A84" s="3" t="s">
        <v>89</v>
      </c>
      <c r="B84" s="18">
        <v>2</v>
      </c>
      <c r="C84" s="18">
        <v>1007</v>
      </c>
      <c r="D84" s="3">
        <v>5.5E-2</v>
      </c>
      <c r="E84" s="3">
        <v>2.39</v>
      </c>
      <c r="F84" s="14">
        <v>0.11515</v>
      </c>
      <c r="G84" s="19">
        <v>105</v>
      </c>
      <c r="H84" s="18">
        <v>4</v>
      </c>
      <c r="I84" s="14">
        <v>2.2200000000000001E-2</v>
      </c>
      <c r="J84" s="3">
        <v>9.56</v>
      </c>
      <c r="K84">
        <v>0</v>
      </c>
      <c r="L84" s="2">
        <f>Tabel57[[#This Row],[Conversions]]/Tabel57[[#This Row],[Total Clicks]]</f>
        <v>0</v>
      </c>
      <c r="M84" s="15">
        <f>Tabel57[[#This Row],[Conversions]]/Tabel57[[#This Row],[Number of Vacancies]]</f>
        <v>0</v>
      </c>
      <c r="N84" s="3">
        <v>0</v>
      </c>
    </row>
    <row r="85" spans="1:14" x14ac:dyDescent="0.3">
      <c r="A85" s="3" t="s">
        <v>90</v>
      </c>
      <c r="B85" s="18">
        <v>2</v>
      </c>
      <c r="C85" s="18">
        <v>13</v>
      </c>
      <c r="D85" s="3">
        <v>0</v>
      </c>
      <c r="E85" s="3">
        <v>0</v>
      </c>
      <c r="F85" s="14">
        <v>0</v>
      </c>
      <c r="G85" s="19">
        <v>0</v>
      </c>
      <c r="H85" s="18">
        <v>0</v>
      </c>
      <c r="I85" s="14">
        <v>0</v>
      </c>
      <c r="J85" s="3">
        <v>0</v>
      </c>
      <c r="K85">
        <v>0</v>
      </c>
      <c r="L85" s="2" t="e">
        <f>Tabel57[[#This Row],[Conversions]]/Tabel57[[#This Row],[Total Clicks]]</f>
        <v>#DIV/0!</v>
      </c>
      <c r="M85" s="15">
        <f>Tabel57[[#This Row],[Conversions]]/Tabel57[[#This Row],[Number of Vacancies]]</f>
        <v>0</v>
      </c>
      <c r="N85" s="3">
        <v>0</v>
      </c>
    </row>
    <row r="86" spans="1:14" x14ac:dyDescent="0.3">
      <c r="A86" s="3" t="s">
        <v>91</v>
      </c>
      <c r="B86" s="18">
        <v>2</v>
      </c>
      <c r="C86" s="18">
        <v>750</v>
      </c>
      <c r="D86" s="3">
        <v>0.08</v>
      </c>
      <c r="E86" s="3">
        <v>2.79</v>
      </c>
      <c r="F86" s="14">
        <v>6.6099999999999992E-2</v>
      </c>
      <c r="G86" s="19">
        <v>49</v>
      </c>
      <c r="H86" s="18">
        <v>1</v>
      </c>
      <c r="I86" s="14">
        <v>2.9399999999999999E-2</v>
      </c>
      <c r="J86" s="3">
        <v>2.79</v>
      </c>
      <c r="K86">
        <v>0</v>
      </c>
      <c r="L86" s="2">
        <f>Tabel57[[#This Row],[Conversions]]/Tabel57[[#This Row],[Total Clicks]]</f>
        <v>0</v>
      </c>
      <c r="M86" s="15">
        <f>Tabel57[[#This Row],[Conversions]]/Tabel57[[#This Row],[Number of Vacancies]]</f>
        <v>0</v>
      </c>
      <c r="N86" s="3">
        <v>0</v>
      </c>
    </row>
    <row r="87" spans="1:14" x14ac:dyDescent="0.3">
      <c r="A87" s="3" t="s">
        <v>92</v>
      </c>
      <c r="B87" s="18">
        <v>2</v>
      </c>
      <c r="C87" s="18">
        <v>148</v>
      </c>
      <c r="D87" s="3">
        <v>0.14000000000000001</v>
      </c>
      <c r="E87" s="3">
        <v>1.96</v>
      </c>
      <c r="F87" s="14">
        <v>9.06E-2</v>
      </c>
      <c r="G87" s="19">
        <v>16</v>
      </c>
      <c r="H87" s="18">
        <v>2</v>
      </c>
      <c r="I87" s="14">
        <v>7.145E-2</v>
      </c>
      <c r="J87" s="3">
        <v>3.92</v>
      </c>
      <c r="K87">
        <v>0</v>
      </c>
      <c r="L87" s="2">
        <f>Tabel57[[#This Row],[Conversions]]/Tabel57[[#This Row],[Total Clicks]]</f>
        <v>0</v>
      </c>
      <c r="M87" s="15">
        <f>Tabel57[[#This Row],[Conversions]]/Tabel57[[#This Row],[Number of Vacancies]]</f>
        <v>0</v>
      </c>
      <c r="N87" s="3">
        <v>0</v>
      </c>
    </row>
    <row r="88" spans="1:14" x14ac:dyDescent="0.3">
      <c r="A88" s="3" t="s">
        <v>93</v>
      </c>
      <c r="B88" s="18">
        <v>2</v>
      </c>
      <c r="C88" s="18">
        <v>34</v>
      </c>
      <c r="D88" s="3">
        <v>0</v>
      </c>
      <c r="E88" s="3">
        <v>0</v>
      </c>
      <c r="F88" s="14">
        <v>0.11905</v>
      </c>
      <c r="G88" s="19">
        <v>3</v>
      </c>
      <c r="H88" s="18">
        <v>0</v>
      </c>
      <c r="I88" s="14">
        <v>0</v>
      </c>
      <c r="J88" s="3">
        <v>0</v>
      </c>
      <c r="K88">
        <v>0</v>
      </c>
      <c r="L88" s="2">
        <f>Tabel57[[#This Row],[Conversions]]/Tabel57[[#This Row],[Total Clicks]]</f>
        <v>0</v>
      </c>
      <c r="M88" s="15">
        <f>Tabel57[[#This Row],[Conversions]]/Tabel57[[#This Row],[Number of Vacancies]]</f>
        <v>0</v>
      </c>
      <c r="N88" s="3">
        <v>0</v>
      </c>
    </row>
    <row r="89" spans="1:14" x14ac:dyDescent="0.3">
      <c r="A89" s="3" t="s">
        <v>94</v>
      </c>
      <c r="B89" s="18">
        <v>2</v>
      </c>
      <c r="C89" s="18">
        <v>593</v>
      </c>
      <c r="D89" s="3">
        <v>0.23</v>
      </c>
      <c r="E89" s="3">
        <v>3.46</v>
      </c>
      <c r="F89" s="14">
        <v>6.1900000000000004E-2</v>
      </c>
      <c r="G89" s="19">
        <v>37</v>
      </c>
      <c r="H89" s="18">
        <v>2</v>
      </c>
      <c r="I89" s="14">
        <v>6.6650000000000001E-2</v>
      </c>
      <c r="J89" s="3">
        <v>6.92</v>
      </c>
      <c r="K89">
        <v>0</v>
      </c>
      <c r="L89" s="2">
        <f>Tabel57[[#This Row],[Conversions]]/Tabel57[[#This Row],[Total Clicks]]</f>
        <v>0</v>
      </c>
      <c r="M89" s="15">
        <f>Tabel57[[#This Row],[Conversions]]/Tabel57[[#This Row],[Number of Vacancies]]</f>
        <v>0</v>
      </c>
      <c r="N89" s="3">
        <v>0</v>
      </c>
    </row>
    <row r="90" spans="1:14" x14ac:dyDescent="0.3">
      <c r="A90" s="3" t="s">
        <v>95</v>
      </c>
      <c r="B90" s="18">
        <v>2</v>
      </c>
      <c r="C90" s="18">
        <v>4349</v>
      </c>
      <c r="D90" s="3">
        <v>0.315</v>
      </c>
      <c r="E90" s="3">
        <v>3.12</v>
      </c>
      <c r="F90" s="14">
        <v>7.8699999999999992E-2</v>
      </c>
      <c r="G90" s="19">
        <v>386</v>
      </c>
      <c r="H90" s="18">
        <v>35</v>
      </c>
      <c r="I90" s="14">
        <v>0.1021</v>
      </c>
      <c r="J90" s="3">
        <v>111.83000000000001</v>
      </c>
      <c r="K90">
        <v>0</v>
      </c>
      <c r="L90" s="2">
        <f>Tabel57[[#This Row],[Conversions]]/Tabel57[[#This Row],[Total Clicks]]</f>
        <v>0</v>
      </c>
      <c r="M90" s="15">
        <f>Tabel57[[#This Row],[Conversions]]/Tabel57[[#This Row],[Number of Vacancies]]</f>
        <v>0</v>
      </c>
      <c r="N90" s="3">
        <v>0</v>
      </c>
    </row>
    <row r="91" spans="1:14" x14ac:dyDescent="0.3">
      <c r="A91" s="3" t="s">
        <v>96</v>
      </c>
      <c r="B91" s="18">
        <v>2</v>
      </c>
      <c r="C91" s="18">
        <v>288</v>
      </c>
      <c r="D91" s="3">
        <v>0.42499999999999999</v>
      </c>
      <c r="E91" s="3">
        <v>5.97</v>
      </c>
      <c r="F91" s="14">
        <v>7.8949999999999992E-2</v>
      </c>
      <c r="G91" s="19">
        <v>23</v>
      </c>
      <c r="H91" s="18">
        <v>2</v>
      </c>
      <c r="I91" s="14">
        <v>7.145E-2</v>
      </c>
      <c r="J91" s="3">
        <v>11.94</v>
      </c>
      <c r="K91">
        <v>0</v>
      </c>
      <c r="L91" s="2">
        <f>Tabel57[[#This Row],[Conversions]]/Tabel57[[#This Row],[Total Clicks]]</f>
        <v>0</v>
      </c>
      <c r="M91" s="15">
        <f>Tabel57[[#This Row],[Conversions]]/Tabel57[[#This Row],[Number of Vacancies]]</f>
        <v>0</v>
      </c>
      <c r="N91" s="3">
        <v>0</v>
      </c>
    </row>
    <row r="92" spans="1:14" x14ac:dyDescent="0.3">
      <c r="A92" s="3" t="s">
        <v>97</v>
      </c>
      <c r="B92" s="18">
        <v>2</v>
      </c>
      <c r="C92" s="18">
        <v>605</v>
      </c>
      <c r="D92" s="3">
        <v>0</v>
      </c>
      <c r="E92" s="3">
        <v>0</v>
      </c>
      <c r="F92" s="14">
        <v>2.29E-2</v>
      </c>
      <c r="G92" s="19">
        <v>15</v>
      </c>
      <c r="H92" s="18">
        <v>0</v>
      </c>
      <c r="I92" s="14">
        <v>0</v>
      </c>
      <c r="J92" s="3">
        <v>0</v>
      </c>
      <c r="K92">
        <v>0</v>
      </c>
      <c r="L92" s="2">
        <f>Tabel57[[#This Row],[Conversions]]/Tabel57[[#This Row],[Total Clicks]]</f>
        <v>0</v>
      </c>
      <c r="M92" s="15">
        <f>Tabel57[[#This Row],[Conversions]]/Tabel57[[#This Row],[Number of Vacancies]]</f>
        <v>0</v>
      </c>
      <c r="N92" s="3">
        <v>0</v>
      </c>
    </row>
    <row r="93" spans="1:14" x14ac:dyDescent="0.3">
      <c r="A93" s="3" t="s">
        <v>98</v>
      </c>
      <c r="B93" s="18">
        <v>2</v>
      </c>
      <c r="C93" s="18">
        <v>636</v>
      </c>
      <c r="D93" s="3">
        <v>0.30499999999999999</v>
      </c>
      <c r="E93" s="3">
        <v>12.81</v>
      </c>
      <c r="F93" s="14">
        <v>0.11255</v>
      </c>
      <c r="G93" s="19">
        <v>69</v>
      </c>
      <c r="H93" s="18">
        <v>1</v>
      </c>
      <c r="I93" s="14">
        <v>2.3799999999999998E-2</v>
      </c>
      <c r="J93" s="3">
        <v>12.81</v>
      </c>
      <c r="K93">
        <v>0</v>
      </c>
      <c r="L93" s="2">
        <f>Tabel57[[#This Row],[Conversions]]/Tabel57[[#This Row],[Total Clicks]]</f>
        <v>0</v>
      </c>
      <c r="M93" s="15">
        <f>Tabel57[[#This Row],[Conversions]]/Tabel57[[#This Row],[Number of Vacancies]]</f>
        <v>0</v>
      </c>
      <c r="N93" s="3">
        <v>0</v>
      </c>
    </row>
    <row r="94" spans="1:14" x14ac:dyDescent="0.3">
      <c r="A94" s="3" t="s">
        <v>99</v>
      </c>
      <c r="B94" s="18">
        <v>2</v>
      </c>
      <c r="C94" s="18">
        <v>0</v>
      </c>
      <c r="D94" s="3">
        <v>0</v>
      </c>
      <c r="E94" s="3">
        <v>0</v>
      </c>
      <c r="F94" s="14">
        <v>0</v>
      </c>
      <c r="G94" s="19">
        <v>0</v>
      </c>
      <c r="H94" s="18">
        <v>0</v>
      </c>
      <c r="I94" s="14">
        <v>0</v>
      </c>
      <c r="J94" s="3">
        <v>0</v>
      </c>
      <c r="K94">
        <v>0</v>
      </c>
      <c r="L94" s="2" t="e">
        <f>Tabel57[[#This Row],[Conversions]]/Tabel57[[#This Row],[Total Clicks]]</f>
        <v>#DIV/0!</v>
      </c>
      <c r="M94" s="15">
        <f>Tabel57[[#This Row],[Conversions]]/Tabel57[[#This Row],[Number of Vacancies]]</f>
        <v>0</v>
      </c>
      <c r="N94" s="3">
        <v>0</v>
      </c>
    </row>
    <row r="95" spans="1:14" x14ac:dyDescent="0.3">
      <c r="A95" s="3" t="s">
        <v>100</v>
      </c>
      <c r="B95" s="18">
        <v>2</v>
      </c>
      <c r="C95" s="18">
        <v>428</v>
      </c>
      <c r="D95" s="3">
        <v>0.26</v>
      </c>
      <c r="E95" s="3">
        <v>9.84</v>
      </c>
      <c r="F95" s="14">
        <v>6.2299999999999994E-2</v>
      </c>
      <c r="G95" s="19">
        <v>27</v>
      </c>
      <c r="H95" s="18">
        <v>1</v>
      </c>
      <c r="I95" s="14">
        <v>2.63E-2</v>
      </c>
      <c r="J95" s="3">
        <v>9.84</v>
      </c>
      <c r="K95">
        <v>0</v>
      </c>
      <c r="L95" s="2">
        <f>Tabel57[[#This Row],[Conversions]]/Tabel57[[#This Row],[Total Clicks]]</f>
        <v>0</v>
      </c>
      <c r="M95" s="15">
        <f>Tabel57[[#This Row],[Conversions]]/Tabel57[[#This Row],[Number of Vacancies]]</f>
        <v>0</v>
      </c>
      <c r="N95" s="3">
        <v>0</v>
      </c>
    </row>
    <row r="96" spans="1:14" x14ac:dyDescent="0.3">
      <c r="A96" s="3" t="s">
        <v>101</v>
      </c>
      <c r="B96" s="18">
        <v>1</v>
      </c>
      <c r="C96" s="18">
        <v>19</v>
      </c>
      <c r="D96" s="3">
        <v>0</v>
      </c>
      <c r="E96" s="3">
        <v>0</v>
      </c>
      <c r="F96" s="14">
        <v>0.15789999999999998</v>
      </c>
      <c r="G96" s="19">
        <v>3</v>
      </c>
      <c r="H96" s="18">
        <v>0</v>
      </c>
      <c r="I96" s="14">
        <v>0</v>
      </c>
      <c r="J96" s="3">
        <v>0</v>
      </c>
      <c r="K96">
        <v>0</v>
      </c>
      <c r="L96" s="2">
        <f>Tabel57[[#This Row],[Conversions]]/Tabel57[[#This Row],[Total Clicks]]</f>
        <v>0</v>
      </c>
      <c r="M96" s="15">
        <f>Tabel57[[#This Row],[Conversions]]/Tabel57[[#This Row],[Number of Vacancies]]</f>
        <v>0</v>
      </c>
      <c r="N96" s="3">
        <v>0</v>
      </c>
    </row>
    <row r="97" spans="1:14" x14ac:dyDescent="0.3">
      <c r="A97" s="3" t="s">
        <v>102</v>
      </c>
      <c r="B97" s="18">
        <v>1</v>
      </c>
      <c r="C97" s="18">
        <v>112</v>
      </c>
      <c r="D97" s="3">
        <v>0</v>
      </c>
      <c r="E97" s="3">
        <v>0</v>
      </c>
      <c r="F97" s="14">
        <v>0.1429</v>
      </c>
      <c r="G97" s="19">
        <v>16</v>
      </c>
      <c r="H97" s="18">
        <v>1</v>
      </c>
      <c r="I97" s="14">
        <v>6.25E-2</v>
      </c>
      <c r="J97" s="3">
        <v>0</v>
      </c>
      <c r="K97">
        <v>0</v>
      </c>
      <c r="L97" s="2">
        <f>Tabel57[[#This Row],[Conversions]]/Tabel57[[#This Row],[Total Clicks]]</f>
        <v>0</v>
      </c>
      <c r="M97" s="15">
        <f>Tabel57[[#This Row],[Conversions]]/Tabel57[[#This Row],[Number of Vacancies]]</f>
        <v>0</v>
      </c>
      <c r="N97" s="3">
        <v>0</v>
      </c>
    </row>
    <row r="98" spans="1:14" x14ac:dyDescent="0.3">
      <c r="A98" s="3" t="s">
        <v>103</v>
      </c>
      <c r="B98" s="18">
        <v>1</v>
      </c>
      <c r="C98" s="18">
        <v>79</v>
      </c>
      <c r="D98" s="3">
        <v>0</v>
      </c>
      <c r="E98" s="3">
        <v>0</v>
      </c>
      <c r="F98" s="14">
        <v>0.1013</v>
      </c>
      <c r="G98" s="19">
        <v>8</v>
      </c>
      <c r="H98" s="18">
        <v>0</v>
      </c>
      <c r="I98" s="14">
        <v>0</v>
      </c>
      <c r="J98" s="3">
        <v>0</v>
      </c>
      <c r="K98">
        <v>0</v>
      </c>
      <c r="L98" s="2">
        <f>Tabel57[[#This Row],[Conversions]]/Tabel57[[#This Row],[Total Clicks]]</f>
        <v>0</v>
      </c>
      <c r="M98" s="15">
        <f>Tabel57[[#This Row],[Conversions]]/Tabel57[[#This Row],[Number of Vacancies]]</f>
        <v>0</v>
      </c>
      <c r="N98" s="3">
        <v>0</v>
      </c>
    </row>
    <row r="99" spans="1:14" x14ac:dyDescent="0.3">
      <c r="A99" s="3" t="s">
        <v>104</v>
      </c>
      <c r="B99" s="18">
        <v>1</v>
      </c>
      <c r="C99" s="18">
        <v>184</v>
      </c>
      <c r="D99" s="3">
        <v>0</v>
      </c>
      <c r="E99" s="3">
        <v>0</v>
      </c>
      <c r="F99" s="14">
        <v>5.9800000000000006E-2</v>
      </c>
      <c r="G99" s="19">
        <v>11</v>
      </c>
      <c r="H99" s="18">
        <v>0</v>
      </c>
      <c r="I99" s="14">
        <v>0</v>
      </c>
      <c r="J99" s="3">
        <v>0</v>
      </c>
      <c r="K99">
        <v>0</v>
      </c>
      <c r="L99" s="2">
        <f>Tabel57[[#This Row],[Conversions]]/Tabel57[[#This Row],[Total Clicks]]</f>
        <v>0</v>
      </c>
      <c r="M99" s="15">
        <f>Tabel57[[#This Row],[Conversions]]/Tabel57[[#This Row],[Number of Vacancies]]</f>
        <v>0</v>
      </c>
      <c r="N99" s="3">
        <v>0</v>
      </c>
    </row>
    <row r="100" spans="1:14" x14ac:dyDescent="0.3">
      <c r="A100" s="3" t="s">
        <v>105</v>
      </c>
      <c r="B100" s="18">
        <v>1</v>
      </c>
      <c r="C100" s="18">
        <v>211</v>
      </c>
      <c r="D100" s="3">
        <v>0.82</v>
      </c>
      <c r="E100" s="3">
        <v>8.18</v>
      </c>
      <c r="F100" s="14">
        <v>0.14219999999999999</v>
      </c>
      <c r="G100" s="19">
        <v>30</v>
      </c>
      <c r="H100" s="18">
        <v>3</v>
      </c>
      <c r="I100" s="14">
        <v>0.1</v>
      </c>
      <c r="J100" s="3">
        <v>24.55</v>
      </c>
      <c r="K100">
        <v>0</v>
      </c>
      <c r="L100" s="2">
        <f>Tabel57[[#This Row],[Conversions]]/Tabel57[[#This Row],[Total Clicks]]</f>
        <v>0</v>
      </c>
      <c r="M100" s="15">
        <f>Tabel57[[#This Row],[Conversions]]/Tabel57[[#This Row],[Number of Vacancies]]</f>
        <v>0</v>
      </c>
      <c r="N100" s="3">
        <v>0</v>
      </c>
    </row>
    <row r="101" spans="1:14" x14ac:dyDescent="0.3">
      <c r="A101" s="3" t="s">
        <v>106</v>
      </c>
      <c r="B101" s="18">
        <v>1</v>
      </c>
      <c r="C101" s="18">
        <v>208</v>
      </c>
      <c r="D101" s="3">
        <v>0</v>
      </c>
      <c r="E101" s="3">
        <v>0</v>
      </c>
      <c r="F101" s="14">
        <v>3.3700000000000001E-2</v>
      </c>
      <c r="G101" s="19">
        <v>7</v>
      </c>
      <c r="H101" s="18">
        <v>0</v>
      </c>
      <c r="I101" s="14">
        <v>0</v>
      </c>
      <c r="J101" s="3">
        <v>0</v>
      </c>
      <c r="K101">
        <v>0</v>
      </c>
      <c r="L101" s="2">
        <f>Tabel57[[#This Row],[Conversions]]/Tabel57[[#This Row],[Total Clicks]]</f>
        <v>0</v>
      </c>
      <c r="M101" s="15">
        <f>Tabel57[[#This Row],[Conversions]]/Tabel57[[#This Row],[Number of Vacancies]]</f>
        <v>0</v>
      </c>
      <c r="N101" s="3">
        <v>0</v>
      </c>
    </row>
    <row r="102" spans="1:14" x14ac:dyDescent="0.3">
      <c r="A102" s="3" t="s">
        <v>107</v>
      </c>
      <c r="B102" s="18">
        <v>1</v>
      </c>
      <c r="C102" s="18">
        <v>50</v>
      </c>
      <c r="D102" s="3">
        <v>0</v>
      </c>
      <c r="E102" s="3">
        <v>0</v>
      </c>
      <c r="F102" s="14">
        <v>0</v>
      </c>
      <c r="G102" s="19">
        <v>0</v>
      </c>
      <c r="H102" s="18">
        <v>0</v>
      </c>
      <c r="I102" s="14">
        <v>0</v>
      </c>
      <c r="J102" s="3">
        <v>0</v>
      </c>
      <c r="K102">
        <v>0</v>
      </c>
      <c r="L102" s="2" t="e">
        <f>Tabel57[[#This Row],[Conversions]]/Tabel57[[#This Row],[Total Clicks]]</f>
        <v>#DIV/0!</v>
      </c>
      <c r="M102" s="15">
        <f>Tabel57[[#This Row],[Conversions]]/Tabel57[[#This Row],[Number of Vacancies]]</f>
        <v>0</v>
      </c>
      <c r="N102" s="3">
        <v>0</v>
      </c>
    </row>
    <row r="103" spans="1:14" x14ac:dyDescent="0.3">
      <c r="A103" s="3" t="s">
        <v>108</v>
      </c>
      <c r="B103" s="18">
        <v>1</v>
      </c>
      <c r="C103" s="18">
        <v>595</v>
      </c>
      <c r="D103" s="3">
        <v>0.25</v>
      </c>
      <c r="E103" s="3">
        <v>2.0699999999999998</v>
      </c>
      <c r="F103" s="14">
        <v>0.15629999999999999</v>
      </c>
      <c r="G103" s="19">
        <v>93</v>
      </c>
      <c r="H103" s="18">
        <v>11</v>
      </c>
      <c r="I103" s="14">
        <v>0.1183</v>
      </c>
      <c r="J103" s="3">
        <v>22.8</v>
      </c>
      <c r="K103">
        <v>0</v>
      </c>
      <c r="L103" s="2">
        <f>Tabel57[[#This Row],[Conversions]]/Tabel57[[#This Row],[Total Clicks]]</f>
        <v>0</v>
      </c>
      <c r="M103" s="15">
        <f>Tabel57[[#This Row],[Conversions]]/Tabel57[[#This Row],[Number of Vacancies]]</f>
        <v>0</v>
      </c>
      <c r="N103" s="3">
        <v>0</v>
      </c>
    </row>
    <row r="104" spans="1:14" x14ac:dyDescent="0.3">
      <c r="A104" s="3" t="s">
        <v>109</v>
      </c>
      <c r="B104" s="18">
        <v>1</v>
      </c>
      <c r="C104" s="18">
        <v>611</v>
      </c>
      <c r="D104" s="3">
        <v>0.28000000000000003</v>
      </c>
      <c r="E104" s="3">
        <v>2.09</v>
      </c>
      <c r="F104" s="14">
        <v>0.10800000000000001</v>
      </c>
      <c r="G104" s="19">
        <v>66</v>
      </c>
      <c r="H104" s="18">
        <v>9</v>
      </c>
      <c r="I104" s="14">
        <v>0.13639999999999999</v>
      </c>
      <c r="J104" s="3">
        <v>18.78</v>
      </c>
      <c r="K104">
        <v>0</v>
      </c>
      <c r="L104" s="2">
        <f>Tabel57[[#This Row],[Conversions]]/Tabel57[[#This Row],[Total Clicks]]</f>
        <v>0</v>
      </c>
      <c r="M104" s="15">
        <f>Tabel57[[#This Row],[Conversions]]/Tabel57[[#This Row],[Number of Vacancies]]</f>
        <v>0</v>
      </c>
      <c r="N104" s="3">
        <v>0</v>
      </c>
    </row>
    <row r="105" spans="1:14" x14ac:dyDescent="0.3">
      <c r="A105" s="3" t="s">
        <v>110</v>
      </c>
      <c r="B105" s="18">
        <v>1</v>
      </c>
      <c r="C105" s="18">
        <v>323</v>
      </c>
      <c r="D105" s="3">
        <v>0.32</v>
      </c>
      <c r="E105" s="3">
        <v>1.74</v>
      </c>
      <c r="F105" s="14">
        <v>0.10220000000000001</v>
      </c>
      <c r="G105" s="19">
        <v>33</v>
      </c>
      <c r="H105" s="18">
        <v>6</v>
      </c>
      <c r="I105" s="14">
        <v>0.18179999999999999</v>
      </c>
      <c r="J105" s="3">
        <v>10.41</v>
      </c>
      <c r="K105">
        <v>0</v>
      </c>
      <c r="L105" s="2">
        <f>Tabel57[[#This Row],[Conversions]]/Tabel57[[#This Row],[Total Clicks]]</f>
        <v>0</v>
      </c>
      <c r="M105" s="15">
        <f>Tabel57[[#This Row],[Conversions]]/Tabel57[[#This Row],[Number of Vacancies]]</f>
        <v>0</v>
      </c>
      <c r="N105" s="3">
        <v>0</v>
      </c>
    </row>
    <row r="106" spans="1:14" x14ac:dyDescent="0.3">
      <c r="A106" s="3" t="s">
        <v>111</v>
      </c>
      <c r="B106" s="18">
        <v>1</v>
      </c>
      <c r="C106" s="18">
        <v>379</v>
      </c>
      <c r="D106" s="3">
        <v>0.08</v>
      </c>
      <c r="E106" s="3">
        <v>2</v>
      </c>
      <c r="F106" s="14">
        <v>6.8600000000000008E-2</v>
      </c>
      <c r="G106" s="19">
        <v>26</v>
      </c>
      <c r="H106" s="18">
        <v>1</v>
      </c>
      <c r="I106" s="14">
        <v>3.85E-2</v>
      </c>
      <c r="J106" s="3">
        <v>2</v>
      </c>
      <c r="K106">
        <v>0</v>
      </c>
      <c r="L106" s="2">
        <f>Tabel57[[#This Row],[Conversions]]/Tabel57[[#This Row],[Total Clicks]]</f>
        <v>0</v>
      </c>
      <c r="M106" s="15">
        <f>Tabel57[[#This Row],[Conversions]]/Tabel57[[#This Row],[Number of Vacancies]]</f>
        <v>0</v>
      </c>
      <c r="N106" s="3">
        <v>0</v>
      </c>
    </row>
    <row r="107" spans="1:14" x14ac:dyDescent="0.3">
      <c r="A107" s="3" t="s">
        <v>112</v>
      </c>
      <c r="B107" s="18">
        <v>1</v>
      </c>
      <c r="C107" s="18">
        <v>1063</v>
      </c>
      <c r="D107" s="3">
        <v>0.18</v>
      </c>
      <c r="E107" s="3">
        <v>4.55</v>
      </c>
      <c r="F107" s="14">
        <v>4.8899999999999999E-2</v>
      </c>
      <c r="G107" s="19">
        <v>52</v>
      </c>
      <c r="H107" s="18">
        <v>2</v>
      </c>
      <c r="I107" s="14">
        <v>3.85E-2</v>
      </c>
      <c r="J107" s="3">
        <v>9.1</v>
      </c>
      <c r="K107">
        <v>0</v>
      </c>
      <c r="L107" s="2">
        <f>Tabel57[[#This Row],[Conversions]]/Tabel57[[#This Row],[Total Clicks]]</f>
        <v>0</v>
      </c>
      <c r="M107" s="15">
        <f>Tabel57[[#This Row],[Conversions]]/Tabel57[[#This Row],[Number of Vacancies]]</f>
        <v>0</v>
      </c>
      <c r="N107" s="3">
        <v>0</v>
      </c>
    </row>
    <row r="108" spans="1:14" x14ac:dyDescent="0.3">
      <c r="A108" s="3" t="s">
        <v>113</v>
      </c>
      <c r="B108" s="18">
        <v>1</v>
      </c>
      <c r="C108" s="18">
        <v>2264</v>
      </c>
      <c r="D108" s="3">
        <v>0.18</v>
      </c>
      <c r="E108" s="3">
        <v>2.31</v>
      </c>
      <c r="F108" s="14">
        <v>0.106</v>
      </c>
      <c r="G108" s="19">
        <v>240</v>
      </c>
      <c r="H108" s="18">
        <v>19</v>
      </c>
      <c r="I108" s="14">
        <v>7.9199999999999993E-2</v>
      </c>
      <c r="J108" s="3">
        <v>43.94</v>
      </c>
      <c r="K108">
        <v>0</v>
      </c>
      <c r="L108" s="2">
        <f>Tabel57[[#This Row],[Conversions]]/Tabel57[[#This Row],[Total Clicks]]</f>
        <v>0</v>
      </c>
      <c r="M108" s="15">
        <f>Tabel57[[#This Row],[Conversions]]/Tabel57[[#This Row],[Number of Vacancies]]</f>
        <v>0</v>
      </c>
      <c r="N108" s="3">
        <v>0</v>
      </c>
    </row>
    <row r="109" spans="1:14" x14ac:dyDescent="0.3">
      <c r="A109" s="3" t="s">
        <v>114</v>
      </c>
      <c r="B109" s="18">
        <v>1</v>
      </c>
      <c r="C109" s="18">
        <v>386</v>
      </c>
      <c r="D109" s="3">
        <v>0.46</v>
      </c>
      <c r="E109" s="3">
        <v>6.49</v>
      </c>
      <c r="F109" s="14">
        <v>0.10880000000000001</v>
      </c>
      <c r="G109" s="19">
        <v>42</v>
      </c>
      <c r="H109" s="18">
        <v>3</v>
      </c>
      <c r="I109" s="14">
        <v>7.1399999999999991E-2</v>
      </c>
      <c r="J109" s="3">
        <v>19.46</v>
      </c>
      <c r="K109">
        <v>0</v>
      </c>
      <c r="L109" s="2">
        <f>Tabel57[[#This Row],[Conversions]]/Tabel57[[#This Row],[Total Clicks]]</f>
        <v>0</v>
      </c>
      <c r="M109" s="15">
        <f>Tabel57[[#This Row],[Conversions]]/Tabel57[[#This Row],[Number of Vacancies]]</f>
        <v>0</v>
      </c>
      <c r="N109" s="3">
        <v>0</v>
      </c>
    </row>
    <row r="110" spans="1:14" x14ac:dyDescent="0.3">
      <c r="A110" s="3" t="s">
        <v>115</v>
      </c>
      <c r="B110" s="18">
        <v>1</v>
      </c>
      <c r="C110" s="18">
        <v>188</v>
      </c>
      <c r="D110" s="3">
        <v>0</v>
      </c>
      <c r="E110" s="3">
        <v>0</v>
      </c>
      <c r="F110" s="14">
        <v>7.4499999999999997E-2</v>
      </c>
      <c r="G110" s="19">
        <v>14</v>
      </c>
      <c r="H110" s="18">
        <v>0</v>
      </c>
      <c r="I110" s="14">
        <v>0</v>
      </c>
      <c r="J110" s="3">
        <v>0</v>
      </c>
      <c r="K110">
        <v>0</v>
      </c>
      <c r="L110" s="2">
        <f>Tabel57[[#This Row],[Conversions]]/Tabel57[[#This Row],[Total Clicks]]</f>
        <v>0</v>
      </c>
      <c r="M110" s="15">
        <f>Tabel57[[#This Row],[Conversions]]/Tabel57[[#This Row],[Number of Vacancies]]</f>
        <v>0</v>
      </c>
      <c r="N110" s="3">
        <v>0</v>
      </c>
    </row>
    <row r="111" spans="1:14" x14ac:dyDescent="0.3">
      <c r="A111" s="3" t="s">
        <v>116</v>
      </c>
      <c r="B111" s="18">
        <v>1</v>
      </c>
      <c r="C111" s="18">
        <v>84</v>
      </c>
      <c r="D111" s="3">
        <v>0</v>
      </c>
      <c r="E111" s="3">
        <v>0</v>
      </c>
      <c r="F111" s="14">
        <v>7.1399999999999991E-2</v>
      </c>
      <c r="G111" s="19">
        <v>6</v>
      </c>
      <c r="H111" s="18">
        <v>0</v>
      </c>
      <c r="I111" s="14">
        <v>0</v>
      </c>
      <c r="J111" s="3">
        <v>0</v>
      </c>
      <c r="K111">
        <v>0</v>
      </c>
      <c r="L111" s="2">
        <f>Tabel57[[#This Row],[Conversions]]/Tabel57[[#This Row],[Total Clicks]]</f>
        <v>0</v>
      </c>
      <c r="M111" s="15">
        <f>Tabel57[[#This Row],[Conversions]]/Tabel57[[#This Row],[Number of Vacancies]]</f>
        <v>0</v>
      </c>
      <c r="N111" s="3">
        <v>0</v>
      </c>
    </row>
    <row r="112" spans="1:14" x14ac:dyDescent="0.3">
      <c r="A112" s="3" t="s">
        <v>117</v>
      </c>
      <c r="B112" s="18">
        <v>1</v>
      </c>
      <c r="C112" s="18">
        <v>6</v>
      </c>
      <c r="D112" s="3">
        <v>0</v>
      </c>
      <c r="E112" s="3">
        <v>0</v>
      </c>
      <c r="F112" s="14">
        <v>0</v>
      </c>
      <c r="G112" s="19">
        <v>0</v>
      </c>
      <c r="H112" s="18">
        <v>0</v>
      </c>
      <c r="I112" s="14">
        <v>0</v>
      </c>
      <c r="J112" s="3">
        <v>0</v>
      </c>
      <c r="K112">
        <v>0</v>
      </c>
      <c r="L112" s="2" t="e">
        <f>Tabel57[[#This Row],[Conversions]]/Tabel57[[#This Row],[Total Clicks]]</f>
        <v>#DIV/0!</v>
      </c>
      <c r="M112" s="15">
        <f>Tabel57[[#This Row],[Conversions]]/Tabel57[[#This Row],[Number of Vacancies]]</f>
        <v>0</v>
      </c>
      <c r="N112" s="3">
        <v>0</v>
      </c>
    </row>
    <row r="113" spans="1:14" x14ac:dyDescent="0.3">
      <c r="A113" s="3" t="s">
        <v>118</v>
      </c>
      <c r="B113" s="18">
        <v>1</v>
      </c>
      <c r="C113" s="18">
        <v>685</v>
      </c>
      <c r="D113" s="3">
        <v>0.28999999999999998</v>
      </c>
      <c r="E113" s="3">
        <v>3.61</v>
      </c>
      <c r="F113" s="14">
        <v>5.5500000000000001E-2</v>
      </c>
      <c r="G113" s="19">
        <v>38</v>
      </c>
      <c r="H113" s="18">
        <v>3</v>
      </c>
      <c r="I113" s="14">
        <v>7.8899999999999998E-2</v>
      </c>
      <c r="J113" s="3">
        <v>10.84</v>
      </c>
      <c r="K113">
        <v>0</v>
      </c>
      <c r="L113" s="2">
        <f>Tabel57[[#This Row],[Conversions]]/Tabel57[[#This Row],[Total Clicks]]</f>
        <v>0</v>
      </c>
      <c r="M113" s="15">
        <f>Tabel57[[#This Row],[Conversions]]/Tabel57[[#This Row],[Number of Vacancies]]</f>
        <v>0</v>
      </c>
      <c r="N113" s="3">
        <v>0</v>
      </c>
    </row>
    <row r="114" spans="1:14" x14ac:dyDescent="0.3">
      <c r="A114" s="3" t="s">
        <v>119</v>
      </c>
      <c r="B114" s="18">
        <v>1</v>
      </c>
      <c r="C114" s="18">
        <v>30</v>
      </c>
      <c r="D114" s="3">
        <v>0</v>
      </c>
      <c r="E114" s="3">
        <v>0</v>
      </c>
      <c r="F114" s="14">
        <v>0.16670000000000001</v>
      </c>
      <c r="G114" s="19">
        <v>5</v>
      </c>
      <c r="H114" s="18">
        <v>0</v>
      </c>
      <c r="I114" s="14">
        <v>0</v>
      </c>
      <c r="J114" s="3">
        <v>0</v>
      </c>
      <c r="K114">
        <v>0</v>
      </c>
      <c r="L114" s="2">
        <f>Tabel57[[#This Row],[Conversions]]/Tabel57[[#This Row],[Total Clicks]]</f>
        <v>0</v>
      </c>
      <c r="M114" s="15">
        <f>Tabel57[[#This Row],[Conversions]]/Tabel57[[#This Row],[Number of Vacancies]]</f>
        <v>0</v>
      </c>
      <c r="N114" s="3">
        <v>0</v>
      </c>
    </row>
    <row r="115" spans="1:14" x14ac:dyDescent="0.3">
      <c r="A115" s="3" t="s">
        <v>120</v>
      </c>
      <c r="B115" s="18">
        <v>1</v>
      </c>
      <c r="C115" s="18">
        <v>750</v>
      </c>
      <c r="D115" s="3">
        <v>0.19</v>
      </c>
      <c r="E115" s="3">
        <v>11.08</v>
      </c>
      <c r="F115" s="14">
        <v>7.7300000000000008E-2</v>
      </c>
      <c r="G115" s="19">
        <v>58</v>
      </c>
      <c r="H115" s="18">
        <v>1</v>
      </c>
      <c r="I115" s="14">
        <v>1.72E-2</v>
      </c>
      <c r="J115" s="3">
        <v>11.08</v>
      </c>
      <c r="K115">
        <v>0</v>
      </c>
      <c r="L115" s="2">
        <f>Tabel57[[#This Row],[Conversions]]/Tabel57[[#This Row],[Total Clicks]]</f>
        <v>0</v>
      </c>
      <c r="M115" s="15">
        <f>Tabel57[[#This Row],[Conversions]]/Tabel57[[#This Row],[Number of Vacancies]]</f>
        <v>0</v>
      </c>
      <c r="N115" s="3">
        <v>0</v>
      </c>
    </row>
    <row r="116" spans="1:14" x14ac:dyDescent="0.3">
      <c r="A116" s="3" t="s">
        <v>121</v>
      </c>
      <c r="B116" s="18">
        <v>1</v>
      </c>
      <c r="C116" s="18">
        <v>132</v>
      </c>
      <c r="D116" s="3">
        <v>0</v>
      </c>
      <c r="E116" s="3">
        <v>0</v>
      </c>
      <c r="F116" s="14">
        <v>1.52E-2</v>
      </c>
      <c r="G116" s="19">
        <v>2</v>
      </c>
      <c r="H116" s="18">
        <v>0</v>
      </c>
      <c r="I116" s="14">
        <v>0</v>
      </c>
      <c r="J116" s="3">
        <v>0</v>
      </c>
      <c r="K116">
        <v>0</v>
      </c>
      <c r="L116" s="2">
        <f>Tabel57[[#This Row],[Conversions]]/Tabel57[[#This Row],[Total Clicks]]</f>
        <v>0</v>
      </c>
      <c r="M116" s="15">
        <f>Tabel57[[#This Row],[Conversions]]/Tabel57[[#This Row],[Number of Vacancies]]</f>
        <v>0</v>
      </c>
      <c r="N116" s="3">
        <v>0</v>
      </c>
    </row>
    <row r="117" spans="1:14" x14ac:dyDescent="0.3">
      <c r="A117" s="3" t="s">
        <v>122</v>
      </c>
      <c r="B117" s="18">
        <v>1</v>
      </c>
      <c r="C117" s="18">
        <v>455</v>
      </c>
      <c r="D117" s="3">
        <v>0.21</v>
      </c>
      <c r="E117" s="3">
        <v>2.16</v>
      </c>
      <c r="F117" s="14">
        <v>0.1143</v>
      </c>
      <c r="G117" s="19">
        <v>52</v>
      </c>
      <c r="H117" s="18">
        <v>5</v>
      </c>
      <c r="I117" s="14">
        <v>9.6199999999999994E-2</v>
      </c>
      <c r="J117" s="3">
        <v>10.78</v>
      </c>
      <c r="K117">
        <v>0</v>
      </c>
      <c r="L117" s="2">
        <f>Tabel57[[#This Row],[Conversions]]/Tabel57[[#This Row],[Total Clicks]]</f>
        <v>0</v>
      </c>
      <c r="M117" s="15">
        <f>Tabel57[[#This Row],[Conversions]]/Tabel57[[#This Row],[Number of Vacancies]]</f>
        <v>0</v>
      </c>
      <c r="N117" s="3">
        <v>0</v>
      </c>
    </row>
    <row r="118" spans="1:14" x14ac:dyDescent="0.3">
      <c r="A118" s="3" t="s">
        <v>123</v>
      </c>
      <c r="B118" s="18">
        <v>1</v>
      </c>
      <c r="C118" s="18">
        <v>541</v>
      </c>
      <c r="D118" s="3">
        <v>0.02</v>
      </c>
      <c r="E118" s="3">
        <v>1.7</v>
      </c>
      <c r="F118" s="14">
        <v>0.1331</v>
      </c>
      <c r="G118" s="19">
        <v>72</v>
      </c>
      <c r="H118" s="18">
        <v>1</v>
      </c>
      <c r="I118" s="14">
        <v>1.3899999999999999E-2</v>
      </c>
      <c r="J118" s="3">
        <v>1.7</v>
      </c>
      <c r="K118">
        <v>0</v>
      </c>
      <c r="L118" s="2">
        <f>Tabel57[[#This Row],[Conversions]]/Tabel57[[#This Row],[Total Clicks]]</f>
        <v>0</v>
      </c>
      <c r="M118" s="15">
        <f>Tabel57[[#This Row],[Conversions]]/Tabel57[[#This Row],[Number of Vacancies]]</f>
        <v>0</v>
      </c>
      <c r="N118" s="3">
        <v>0</v>
      </c>
    </row>
    <row r="119" spans="1:14" x14ac:dyDescent="0.3">
      <c r="A119" s="3" t="s">
        <v>124</v>
      </c>
      <c r="B119" s="18">
        <v>1</v>
      </c>
      <c r="C119" s="18">
        <v>1441</v>
      </c>
      <c r="D119" s="3">
        <v>0.1</v>
      </c>
      <c r="E119" s="3">
        <v>2.63</v>
      </c>
      <c r="F119" s="14">
        <v>5.62E-2</v>
      </c>
      <c r="G119" s="19">
        <v>81</v>
      </c>
      <c r="H119" s="18">
        <v>3</v>
      </c>
      <c r="I119" s="14">
        <v>3.7000000000000005E-2</v>
      </c>
      <c r="J119" s="3">
        <v>7.89</v>
      </c>
      <c r="K119">
        <v>0</v>
      </c>
      <c r="L119" s="2">
        <f>Tabel57[[#This Row],[Conversions]]/Tabel57[[#This Row],[Total Clicks]]</f>
        <v>0</v>
      </c>
      <c r="M119" s="15">
        <f>Tabel57[[#This Row],[Conversions]]/Tabel57[[#This Row],[Number of Vacancies]]</f>
        <v>0</v>
      </c>
      <c r="N119" s="3">
        <v>0</v>
      </c>
    </row>
    <row r="120" spans="1:14" x14ac:dyDescent="0.3">
      <c r="A120" s="3" t="s">
        <v>125</v>
      </c>
      <c r="B120" s="18">
        <v>1</v>
      </c>
      <c r="C120" s="18">
        <v>397</v>
      </c>
      <c r="D120" s="3">
        <v>0.19</v>
      </c>
      <c r="E120" s="3">
        <v>1.71</v>
      </c>
      <c r="F120" s="14">
        <v>8.8200000000000001E-2</v>
      </c>
      <c r="G120" s="19">
        <v>35</v>
      </c>
      <c r="H120" s="18">
        <v>4</v>
      </c>
      <c r="I120" s="14">
        <v>0.1143</v>
      </c>
      <c r="J120" s="3">
        <v>6.82</v>
      </c>
      <c r="K120">
        <v>0</v>
      </c>
      <c r="L120" s="2">
        <f>Tabel57[[#This Row],[Conversions]]/Tabel57[[#This Row],[Total Clicks]]</f>
        <v>0</v>
      </c>
      <c r="M120" s="15">
        <f>Tabel57[[#This Row],[Conversions]]/Tabel57[[#This Row],[Number of Vacancies]]</f>
        <v>0</v>
      </c>
      <c r="N120" s="3">
        <v>0</v>
      </c>
    </row>
    <row r="121" spans="1:14" x14ac:dyDescent="0.3">
      <c r="A121" s="3" t="s">
        <v>126</v>
      </c>
      <c r="B121" s="18">
        <v>1</v>
      </c>
      <c r="C121" s="18">
        <v>404</v>
      </c>
      <c r="D121" s="3">
        <v>0.27</v>
      </c>
      <c r="E121" s="3">
        <v>1.87</v>
      </c>
      <c r="F121" s="14">
        <v>0.10150000000000001</v>
      </c>
      <c r="G121" s="19">
        <v>41</v>
      </c>
      <c r="H121" s="18">
        <v>6</v>
      </c>
      <c r="I121" s="14">
        <v>0.14630000000000001</v>
      </c>
      <c r="J121" s="3">
        <v>11.22</v>
      </c>
      <c r="K121">
        <v>0</v>
      </c>
      <c r="L121" s="2">
        <f>Tabel57[[#This Row],[Conversions]]/Tabel57[[#This Row],[Total Clicks]]</f>
        <v>0</v>
      </c>
      <c r="M121" s="15">
        <f>Tabel57[[#This Row],[Conversions]]/Tabel57[[#This Row],[Number of Vacancies]]</f>
        <v>0</v>
      </c>
      <c r="N121" s="3">
        <v>0</v>
      </c>
    </row>
    <row r="122" spans="1:14" x14ac:dyDescent="0.3">
      <c r="A122" s="3" t="s">
        <v>127</v>
      </c>
      <c r="B122" s="18">
        <v>1</v>
      </c>
      <c r="C122" s="18">
        <v>164</v>
      </c>
      <c r="D122" s="3">
        <v>0</v>
      </c>
      <c r="E122" s="3">
        <v>0</v>
      </c>
      <c r="F122" s="14">
        <v>2.4399999999999998E-2</v>
      </c>
      <c r="G122" s="19">
        <v>4</v>
      </c>
      <c r="H122" s="18">
        <v>0</v>
      </c>
      <c r="I122" s="14">
        <v>0</v>
      </c>
      <c r="J122" s="3">
        <v>0</v>
      </c>
      <c r="K122">
        <v>0</v>
      </c>
      <c r="L122" s="2">
        <f>Tabel57[[#This Row],[Conversions]]/Tabel57[[#This Row],[Total Clicks]]</f>
        <v>0</v>
      </c>
      <c r="M122" s="15">
        <f>Tabel57[[#This Row],[Conversions]]/Tabel57[[#This Row],[Number of Vacancies]]</f>
        <v>0</v>
      </c>
      <c r="N122" s="3">
        <v>0</v>
      </c>
    </row>
    <row r="123" spans="1:14" x14ac:dyDescent="0.3">
      <c r="A123" s="3" t="s">
        <v>128</v>
      </c>
      <c r="B123" s="18">
        <v>1</v>
      </c>
      <c r="C123" s="18">
        <v>1350</v>
      </c>
      <c r="D123" s="3">
        <v>0.37</v>
      </c>
      <c r="E123" s="3">
        <v>5.19</v>
      </c>
      <c r="F123" s="14">
        <v>9.3299999999999994E-2</v>
      </c>
      <c r="G123" s="19">
        <v>126</v>
      </c>
      <c r="H123" s="18">
        <v>9</v>
      </c>
      <c r="I123" s="14">
        <v>7.1399999999999991E-2</v>
      </c>
      <c r="J123" s="3">
        <v>46.74</v>
      </c>
      <c r="K123">
        <v>0</v>
      </c>
      <c r="L123" s="2">
        <f>Tabel57[[#This Row],[Conversions]]/Tabel57[[#This Row],[Total Clicks]]</f>
        <v>0</v>
      </c>
      <c r="M123" s="15">
        <f>Tabel57[[#This Row],[Conversions]]/Tabel57[[#This Row],[Number of Vacancies]]</f>
        <v>0</v>
      </c>
      <c r="N123" s="3">
        <v>0</v>
      </c>
    </row>
    <row r="124" spans="1:14" x14ac:dyDescent="0.3">
      <c r="A124" s="3" t="s">
        <v>129</v>
      </c>
      <c r="B124" s="18">
        <v>1</v>
      </c>
      <c r="C124" s="18">
        <v>250</v>
      </c>
      <c r="D124" s="3">
        <v>0.6</v>
      </c>
      <c r="E124" s="3">
        <v>12.05</v>
      </c>
      <c r="F124" s="14">
        <v>0.08</v>
      </c>
      <c r="G124" s="19">
        <v>20</v>
      </c>
      <c r="H124" s="18">
        <v>1</v>
      </c>
      <c r="I124" s="14">
        <v>0.05</v>
      </c>
      <c r="J124" s="3">
        <v>12.05</v>
      </c>
      <c r="K124">
        <v>0</v>
      </c>
      <c r="L124" s="2">
        <f>Tabel57[[#This Row],[Conversions]]/Tabel57[[#This Row],[Total Clicks]]</f>
        <v>0</v>
      </c>
      <c r="M124" s="15">
        <f>Tabel57[[#This Row],[Conversions]]/Tabel57[[#This Row],[Number of Vacancies]]</f>
        <v>0</v>
      </c>
      <c r="N124" s="3">
        <v>0</v>
      </c>
    </row>
    <row r="125" spans="1:14" x14ac:dyDescent="0.3">
      <c r="A125" s="3" t="s">
        <v>130</v>
      </c>
      <c r="B125" s="18">
        <v>1</v>
      </c>
      <c r="C125" s="18">
        <v>312</v>
      </c>
      <c r="D125" s="3">
        <v>0.15</v>
      </c>
      <c r="E125" s="3">
        <v>2.87</v>
      </c>
      <c r="F125" s="14">
        <v>6.0899999999999996E-2</v>
      </c>
      <c r="G125" s="19">
        <v>19</v>
      </c>
      <c r="H125" s="18">
        <v>1</v>
      </c>
      <c r="I125" s="14">
        <v>5.2600000000000001E-2</v>
      </c>
      <c r="J125" s="3">
        <v>2.87</v>
      </c>
      <c r="K125">
        <v>0</v>
      </c>
      <c r="L125" s="2">
        <f>Tabel57[[#This Row],[Conversions]]/Tabel57[[#This Row],[Total Clicks]]</f>
        <v>0</v>
      </c>
      <c r="M125" s="15">
        <f>Tabel57[[#This Row],[Conversions]]/Tabel57[[#This Row],[Number of Vacancies]]</f>
        <v>0</v>
      </c>
      <c r="N125" s="3">
        <v>0</v>
      </c>
    </row>
    <row r="126" spans="1:14" x14ac:dyDescent="0.3">
      <c r="A126" s="3" t="s">
        <v>131</v>
      </c>
      <c r="B126" s="18">
        <v>1</v>
      </c>
      <c r="C126" s="18">
        <v>392</v>
      </c>
      <c r="D126" s="3">
        <v>0</v>
      </c>
      <c r="E126" s="3">
        <v>0</v>
      </c>
      <c r="F126" s="14">
        <v>4.8499999999999995E-2</v>
      </c>
      <c r="G126" s="19">
        <v>19</v>
      </c>
      <c r="H126" s="18">
        <v>0</v>
      </c>
      <c r="I126" s="14">
        <v>0</v>
      </c>
      <c r="J126" s="3">
        <v>0</v>
      </c>
      <c r="K126">
        <v>0</v>
      </c>
      <c r="L126" s="2">
        <f>Tabel57[[#This Row],[Conversions]]/Tabel57[[#This Row],[Total Clicks]]</f>
        <v>0</v>
      </c>
      <c r="M126" s="15">
        <f>Tabel57[[#This Row],[Conversions]]/Tabel57[[#This Row],[Number of Vacancies]]</f>
        <v>0</v>
      </c>
      <c r="N126" s="3">
        <v>0</v>
      </c>
    </row>
    <row r="127" spans="1:14" x14ac:dyDescent="0.3">
      <c r="A127" s="3" t="s">
        <v>132</v>
      </c>
      <c r="B127" s="18">
        <v>1</v>
      </c>
      <c r="C127" s="18">
        <v>0</v>
      </c>
      <c r="D127" s="3">
        <v>0</v>
      </c>
      <c r="E127" s="3">
        <v>0</v>
      </c>
      <c r="F127" s="14">
        <v>0</v>
      </c>
      <c r="G127" s="19">
        <v>0</v>
      </c>
      <c r="H127" s="18">
        <v>0</v>
      </c>
      <c r="I127" s="14">
        <v>0</v>
      </c>
      <c r="J127" s="3">
        <v>0</v>
      </c>
      <c r="K127">
        <v>0</v>
      </c>
      <c r="L127" s="2" t="e">
        <f>Tabel57[[#This Row],[Conversions]]/Tabel57[[#This Row],[Total Clicks]]</f>
        <v>#DIV/0!</v>
      </c>
      <c r="M127" s="15">
        <f>Tabel57[[#This Row],[Conversions]]/Tabel57[[#This Row],[Number of Vacancies]]</f>
        <v>0</v>
      </c>
      <c r="N127" s="3">
        <v>0</v>
      </c>
    </row>
    <row r="128" spans="1:14" x14ac:dyDescent="0.3">
      <c r="A128" s="3" t="s">
        <v>133</v>
      </c>
      <c r="B128" s="18">
        <v>1</v>
      </c>
      <c r="C128" s="18">
        <v>489</v>
      </c>
      <c r="D128" s="3">
        <v>0.05</v>
      </c>
      <c r="E128" s="3">
        <v>2.31</v>
      </c>
      <c r="F128" s="14">
        <v>9.6099999999999991E-2</v>
      </c>
      <c r="G128" s="19">
        <v>47</v>
      </c>
      <c r="H128" s="18">
        <v>1</v>
      </c>
      <c r="I128" s="14">
        <v>2.1299999999999999E-2</v>
      </c>
      <c r="J128" s="3">
        <v>2.31</v>
      </c>
      <c r="K128">
        <v>0</v>
      </c>
      <c r="L128" s="2">
        <f>Tabel57[[#This Row],[Conversions]]/Tabel57[[#This Row],[Total Clicks]]</f>
        <v>0</v>
      </c>
      <c r="M128" s="15">
        <f>Tabel57[[#This Row],[Conversions]]/Tabel57[[#This Row],[Number of Vacancies]]</f>
        <v>0</v>
      </c>
      <c r="N128" s="3">
        <v>0</v>
      </c>
    </row>
    <row r="129" spans="1:14" x14ac:dyDescent="0.3">
      <c r="A129" s="3" t="s">
        <v>134</v>
      </c>
      <c r="B129" s="18">
        <v>1</v>
      </c>
      <c r="C129" s="18">
        <v>1145</v>
      </c>
      <c r="D129" s="3">
        <v>0.28000000000000003</v>
      </c>
      <c r="E129" s="3">
        <v>2.8</v>
      </c>
      <c r="F129" s="14">
        <v>0.12140000000000001</v>
      </c>
      <c r="G129" s="19">
        <v>139</v>
      </c>
      <c r="H129" s="18">
        <v>14</v>
      </c>
      <c r="I129" s="14">
        <v>0.1007</v>
      </c>
      <c r="J129" s="3">
        <v>39.14</v>
      </c>
      <c r="K129">
        <v>0</v>
      </c>
      <c r="L129" s="2">
        <f>Tabel57[[#This Row],[Conversions]]/Tabel57[[#This Row],[Total Clicks]]</f>
        <v>0</v>
      </c>
      <c r="M129" s="15">
        <f>Tabel57[[#This Row],[Conversions]]/Tabel57[[#This Row],[Number of Vacancies]]</f>
        <v>0</v>
      </c>
      <c r="N129" s="3">
        <v>0</v>
      </c>
    </row>
    <row r="130" spans="1:14" x14ac:dyDescent="0.3">
      <c r="A130" s="3" t="s">
        <v>135</v>
      </c>
      <c r="B130" s="18">
        <v>1</v>
      </c>
      <c r="C130" s="18">
        <v>541</v>
      </c>
      <c r="D130" s="3">
        <v>0</v>
      </c>
      <c r="E130" s="3">
        <v>0</v>
      </c>
      <c r="F130" s="14">
        <v>4.6199999999999998E-2</v>
      </c>
      <c r="G130" s="19">
        <v>25</v>
      </c>
      <c r="H130" s="18">
        <v>0</v>
      </c>
      <c r="I130" s="14">
        <v>0</v>
      </c>
      <c r="J130" s="3">
        <v>0</v>
      </c>
      <c r="K130">
        <v>0</v>
      </c>
      <c r="L130" s="2">
        <f>Tabel57[[#This Row],[Conversions]]/Tabel57[[#This Row],[Total Clicks]]</f>
        <v>0</v>
      </c>
      <c r="M130" s="15">
        <f>Tabel57[[#This Row],[Conversions]]/Tabel57[[#This Row],[Number of Vacancies]]</f>
        <v>0</v>
      </c>
      <c r="N130" s="3">
        <v>0</v>
      </c>
    </row>
    <row r="131" spans="1:14" x14ac:dyDescent="0.3">
      <c r="A131" s="3" t="s">
        <v>136</v>
      </c>
      <c r="B131" s="18">
        <v>1</v>
      </c>
      <c r="C131" s="18">
        <v>599</v>
      </c>
      <c r="D131" s="3">
        <v>0</v>
      </c>
      <c r="E131" s="3">
        <v>0</v>
      </c>
      <c r="F131" s="14">
        <v>4.3400000000000001E-2</v>
      </c>
      <c r="G131" s="19">
        <v>26</v>
      </c>
      <c r="H131" s="18">
        <v>0</v>
      </c>
      <c r="I131" s="14">
        <v>0</v>
      </c>
      <c r="J131" s="3">
        <v>0</v>
      </c>
      <c r="K131">
        <v>0</v>
      </c>
      <c r="L131" s="2">
        <f>Tabel57[[#This Row],[Conversions]]/Tabel57[[#This Row],[Total Clicks]]</f>
        <v>0</v>
      </c>
      <c r="M131" s="15">
        <f>Tabel57[[#This Row],[Conversions]]/Tabel57[[#This Row],[Number of Vacancies]]</f>
        <v>0</v>
      </c>
      <c r="N131" s="3">
        <v>0</v>
      </c>
    </row>
    <row r="132" spans="1:14" x14ac:dyDescent="0.3">
      <c r="A132" s="3" t="s">
        <v>137</v>
      </c>
      <c r="B132" s="18">
        <v>1</v>
      </c>
      <c r="C132" s="18">
        <v>1535</v>
      </c>
      <c r="D132" s="3">
        <v>0.05</v>
      </c>
      <c r="E132" s="3">
        <v>1.49</v>
      </c>
      <c r="F132" s="14">
        <v>5.5999999999999994E-2</v>
      </c>
      <c r="G132" s="19">
        <v>86</v>
      </c>
      <c r="H132" s="18">
        <v>3</v>
      </c>
      <c r="I132" s="14">
        <v>3.49E-2</v>
      </c>
      <c r="J132" s="3">
        <v>4.47</v>
      </c>
      <c r="K132">
        <v>0</v>
      </c>
      <c r="L132" s="2">
        <f>Tabel57[[#This Row],[Conversions]]/Tabel57[[#This Row],[Total Clicks]]</f>
        <v>0</v>
      </c>
      <c r="M132" s="15">
        <f>Tabel57[[#This Row],[Conversions]]/Tabel57[[#This Row],[Number of Vacancies]]</f>
        <v>0</v>
      </c>
      <c r="N132" s="3">
        <v>0</v>
      </c>
    </row>
    <row r="133" spans="1:14" x14ac:dyDescent="0.3">
      <c r="A133" s="3" t="s">
        <v>138</v>
      </c>
      <c r="B133" s="18">
        <v>1</v>
      </c>
      <c r="C133" s="18">
        <v>1041</v>
      </c>
      <c r="D133" s="3">
        <v>0.2</v>
      </c>
      <c r="E133" s="3">
        <v>2.42</v>
      </c>
      <c r="F133" s="14">
        <v>9.5100000000000004E-2</v>
      </c>
      <c r="G133" s="19">
        <v>99</v>
      </c>
      <c r="H133" s="18">
        <v>8</v>
      </c>
      <c r="I133" s="14">
        <v>8.0799999999999997E-2</v>
      </c>
      <c r="J133" s="3">
        <v>19.329999999999998</v>
      </c>
      <c r="K133">
        <v>0</v>
      </c>
      <c r="L133" s="2">
        <f>Tabel57[[#This Row],[Conversions]]/Tabel57[[#This Row],[Total Clicks]]</f>
        <v>0</v>
      </c>
      <c r="M133" s="15">
        <f>Tabel57[[#This Row],[Conversions]]/Tabel57[[#This Row],[Number of Vacancies]]</f>
        <v>0</v>
      </c>
      <c r="N133" s="3">
        <v>0</v>
      </c>
    </row>
    <row r="134" spans="1:14" x14ac:dyDescent="0.3">
      <c r="A134" s="3" t="s">
        <v>139</v>
      </c>
      <c r="B134" s="18">
        <v>1</v>
      </c>
      <c r="C134" s="18">
        <v>5</v>
      </c>
      <c r="D134" s="3">
        <v>0</v>
      </c>
      <c r="E134" s="3">
        <v>0</v>
      </c>
      <c r="F134" s="14">
        <v>0</v>
      </c>
      <c r="G134" s="19">
        <v>0</v>
      </c>
      <c r="H134" s="18">
        <v>0</v>
      </c>
      <c r="I134" s="14">
        <v>0</v>
      </c>
      <c r="J134" s="3">
        <v>0</v>
      </c>
      <c r="K134">
        <v>0</v>
      </c>
      <c r="L134" s="2" t="e">
        <f>Tabel57[[#This Row],[Conversions]]/Tabel57[[#This Row],[Total Clicks]]</f>
        <v>#DIV/0!</v>
      </c>
      <c r="M134" s="15">
        <f>Tabel57[[#This Row],[Conversions]]/Tabel57[[#This Row],[Number of Vacancies]]</f>
        <v>0</v>
      </c>
      <c r="N134" s="3">
        <v>0</v>
      </c>
    </row>
    <row r="135" spans="1:14" x14ac:dyDescent="0.3">
      <c r="A135" s="3" t="s">
        <v>140</v>
      </c>
      <c r="B135" s="18">
        <v>1</v>
      </c>
      <c r="C135" s="18">
        <v>947</v>
      </c>
      <c r="D135" s="3">
        <v>0.18</v>
      </c>
      <c r="E135" s="3">
        <v>2.69</v>
      </c>
      <c r="F135" s="14">
        <v>3.1699999999999999E-2</v>
      </c>
      <c r="G135" s="19">
        <v>30</v>
      </c>
      <c r="H135" s="18">
        <v>2</v>
      </c>
      <c r="I135" s="14">
        <v>6.6699999999999995E-2</v>
      </c>
      <c r="J135" s="3">
        <v>5.38</v>
      </c>
      <c r="K135">
        <v>0</v>
      </c>
      <c r="L135" s="2">
        <f>Tabel57[[#This Row],[Conversions]]/Tabel57[[#This Row],[Total Clicks]]</f>
        <v>0</v>
      </c>
      <c r="M135" s="15">
        <f>Tabel57[[#This Row],[Conversions]]/Tabel57[[#This Row],[Number of Vacancies]]</f>
        <v>0</v>
      </c>
      <c r="N135" s="3">
        <v>0</v>
      </c>
    </row>
    <row r="136" spans="1:14" x14ac:dyDescent="0.3">
      <c r="A136" s="3" t="s">
        <v>141</v>
      </c>
      <c r="B136" s="18">
        <v>1</v>
      </c>
      <c r="C136" s="18">
        <v>0</v>
      </c>
      <c r="D136" s="3">
        <v>0</v>
      </c>
      <c r="E136" s="3">
        <v>0</v>
      </c>
      <c r="F136" s="14">
        <v>0</v>
      </c>
      <c r="G136" s="19">
        <v>0</v>
      </c>
      <c r="H136" s="18">
        <v>0</v>
      </c>
      <c r="I136" s="14">
        <v>0</v>
      </c>
      <c r="J136" s="3">
        <v>0</v>
      </c>
      <c r="K136">
        <v>0</v>
      </c>
      <c r="L136" s="2" t="e">
        <f>Tabel57[[#This Row],[Conversions]]/Tabel57[[#This Row],[Total Clicks]]</f>
        <v>#DIV/0!</v>
      </c>
      <c r="M136" s="15">
        <f>Tabel57[[#This Row],[Conversions]]/Tabel57[[#This Row],[Number of Vacancies]]</f>
        <v>0</v>
      </c>
      <c r="N136" s="3">
        <v>0</v>
      </c>
    </row>
    <row r="137" spans="1:14" x14ac:dyDescent="0.3">
      <c r="A137" s="3" t="s">
        <v>142</v>
      </c>
      <c r="B137" s="18">
        <v>1</v>
      </c>
      <c r="C137" s="18">
        <v>78</v>
      </c>
      <c r="D137" s="3">
        <v>0</v>
      </c>
      <c r="E137" s="3">
        <v>0</v>
      </c>
      <c r="F137" s="14">
        <v>3.85E-2</v>
      </c>
      <c r="G137" s="19">
        <v>3</v>
      </c>
      <c r="H137" s="18">
        <v>0</v>
      </c>
      <c r="I137" s="14">
        <v>0</v>
      </c>
      <c r="J137" s="3">
        <v>0</v>
      </c>
      <c r="K137">
        <v>0</v>
      </c>
      <c r="L137" s="2">
        <f>Tabel57[[#This Row],[Conversions]]/Tabel57[[#This Row],[Total Clicks]]</f>
        <v>0</v>
      </c>
      <c r="M137" s="15">
        <f>Tabel57[[#This Row],[Conversions]]/Tabel57[[#This Row],[Number of Vacancies]]</f>
        <v>0</v>
      </c>
      <c r="N137" s="3">
        <v>0</v>
      </c>
    </row>
    <row r="138" spans="1:14" x14ac:dyDescent="0.3">
      <c r="A138" s="3" t="s">
        <v>143</v>
      </c>
      <c r="B138" s="18">
        <v>1</v>
      </c>
      <c r="C138" s="18">
        <v>0</v>
      </c>
      <c r="D138" s="3">
        <v>0</v>
      </c>
      <c r="E138" s="3">
        <v>0</v>
      </c>
      <c r="F138" s="14">
        <v>0</v>
      </c>
      <c r="G138" s="19">
        <v>0</v>
      </c>
      <c r="H138" s="18">
        <v>0</v>
      </c>
      <c r="I138" s="14">
        <v>0</v>
      </c>
      <c r="J138" s="3">
        <v>0</v>
      </c>
      <c r="K138">
        <v>0</v>
      </c>
      <c r="L138" s="2" t="e">
        <f>Tabel57[[#This Row],[Conversions]]/Tabel57[[#This Row],[Total Clicks]]</f>
        <v>#DIV/0!</v>
      </c>
      <c r="M138" s="15">
        <f>Tabel57[[#This Row],[Conversions]]/Tabel57[[#This Row],[Number of Vacancies]]</f>
        <v>0</v>
      </c>
      <c r="N138" s="3">
        <v>0</v>
      </c>
    </row>
    <row r="139" spans="1:14" x14ac:dyDescent="0.3">
      <c r="A139" s="3" t="s">
        <v>144</v>
      </c>
      <c r="B139" s="18">
        <v>1</v>
      </c>
      <c r="C139" s="18">
        <v>183</v>
      </c>
      <c r="D139" s="3">
        <v>0.79</v>
      </c>
      <c r="E139" s="3">
        <v>11.03</v>
      </c>
      <c r="F139" s="14">
        <v>7.6499999999999999E-2</v>
      </c>
      <c r="G139" s="19">
        <v>14</v>
      </c>
      <c r="H139" s="18">
        <v>1</v>
      </c>
      <c r="I139" s="14">
        <v>7.1399999999999991E-2</v>
      </c>
      <c r="J139" s="3">
        <v>11.03</v>
      </c>
      <c r="K139">
        <v>0</v>
      </c>
      <c r="L139" s="2">
        <f>Tabel57[[#This Row],[Conversions]]/Tabel57[[#This Row],[Total Clicks]]</f>
        <v>0</v>
      </c>
      <c r="M139" s="15">
        <f>Tabel57[[#This Row],[Conversions]]/Tabel57[[#This Row],[Number of Vacancies]]</f>
        <v>0</v>
      </c>
      <c r="N139" s="3">
        <v>0</v>
      </c>
    </row>
    <row r="140" spans="1:14" x14ac:dyDescent="0.3">
      <c r="A140" s="3" t="s">
        <v>145</v>
      </c>
      <c r="B140" s="18">
        <v>1</v>
      </c>
      <c r="C140" s="18">
        <v>728</v>
      </c>
      <c r="D140" s="3">
        <v>0.26</v>
      </c>
      <c r="E140" s="3">
        <v>1.53</v>
      </c>
      <c r="F140" s="14">
        <v>7.9699999999999993E-2</v>
      </c>
      <c r="G140" s="19">
        <v>58</v>
      </c>
      <c r="H140" s="18">
        <v>10</v>
      </c>
      <c r="I140" s="14">
        <v>0.1724</v>
      </c>
      <c r="J140" s="3">
        <v>15.3</v>
      </c>
      <c r="K140">
        <v>0</v>
      </c>
      <c r="L140" s="2">
        <f>Tabel57[[#This Row],[Conversions]]/Tabel57[[#This Row],[Total Clicks]]</f>
        <v>0</v>
      </c>
      <c r="M140" s="15">
        <f>Tabel57[[#This Row],[Conversions]]/Tabel57[[#This Row],[Number of Vacancies]]</f>
        <v>0</v>
      </c>
      <c r="N140" s="3">
        <v>0</v>
      </c>
    </row>
    <row r="141" spans="1:14" x14ac:dyDescent="0.3">
      <c r="A141" s="3" t="s">
        <v>146</v>
      </c>
      <c r="B141" s="18">
        <v>1</v>
      </c>
      <c r="C141" s="18">
        <v>0</v>
      </c>
      <c r="D141" s="3">
        <v>0</v>
      </c>
      <c r="E141" s="3">
        <v>0</v>
      </c>
      <c r="F141" s="14">
        <v>0</v>
      </c>
      <c r="G141" s="19">
        <v>0</v>
      </c>
      <c r="H141" s="18">
        <v>0</v>
      </c>
      <c r="I141" s="14">
        <v>0</v>
      </c>
      <c r="J141" s="3">
        <v>0</v>
      </c>
      <c r="K141">
        <v>0</v>
      </c>
      <c r="L141" s="2" t="e">
        <f>Tabel57[[#This Row],[Conversions]]/Tabel57[[#This Row],[Total Clicks]]</f>
        <v>#DIV/0!</v>
      </c>
      <c r="M141" s="15">
        <f>Tabel57[[#This Row],[Conversions]]/Tabel57[[#This Row],[Number of Vacancies]]</f>
        <v>0</v>
      </c>
      <c r="N141" s="3">
        <v>0</v>
      </c>
    </row>
    <row r="142" spans="1:14" x14ac:dyDescent="0.3">
      <c r="A142" s="3" t="s">
        <v>147</v>
      </c>
      <c r="B142" s="18">
        <v>1</v>
      </c>
      <c r="C142" s="18">
        <v>363</v>
      </c>
      <c r="D142" s="3">
        <v>0.65</v>
      </c>
      <c r="E142" s="3">
        <v>5.59</v>
      </c>
      <c r="F142" s="14">
        <v>7.1599999999999997E-2</v>
      </c>
      <c r="G142" s="19">
        <v>26</v>
      </c>
      <c r="H142" s="18">
        <v>3</v>
      </c>
      <c r="I142" s="14">
        <v>0.11539999999999999</v>
      </c>
      <c r="J142" s="3">
        <v>16.78</v>
      </c>
      <c r="K142">
        <v>0</v>
      </c>
      <c r="L142" s="2">
        <f>Tabel57[[#This Row],[Conversions]]/Tabel57[[#This Row],[Total Clicks]]</f>
        <v>0</v>
      </c>
      <c r="M142" s="15">
        <f>Tabel57[[#This Row],[Conversions]]/Tabel57[[#This Row],[Number of Vacancies]]</f>
        <v>0</v>
      </c>
      <c r="N142" s="3">
        <v>0</v>
      </c>
    </row>
    <row r="143" spans="1:14" x14ac:dyDescent="0.3">
      <c r="A143" s="3" t="s">
        <v>148</v>
      </c>
      <c r="B143" s="18">
        <v>1</v>
      </c>
      <c r="C143" s="18">
        <v>131</v>
      </c>
      <c r="D143" s="3">
        <v>0</v>
      </c>
      <c r="E143" s="3">
        <v>0</v>
      </c>
      <c r="F143" s="14">
        <v>4.58E-2</v>
      </c>
      <c r="G143" s="19">
        <v>6</v>
      </c>
      <c r="H143" s="18">
        <v>0</v>
      </c>
      <c r="I143" s="14">
        <v>0</v>
      </c>
      <c r="J143" s="3">
        <v>0</v>
      </c>
      <c r="K143">
        <v>0</v>
      </c>
      <c r="L143" s="2">
        <f>Tabel57[[#This Row],[Conversions]]/Tabel57[[#This Row],[Total Clicks]]</f>
        <v>0</v>
      </c>
      <c r="M143" s="15">
        <f>Tabel57[[#This Row],[Conversions]]/Tabel57[[#This Row],[Number of Vacancies]]</f>
        <v>0</v>
      </c>
      <c r="N143" s="3">
        <v>0</v>
      </c>
    </row>
    <row r="144" spans="1:14" x14ac:dyDescent="0.3">
      <c r="A144" s="3" t="s">
        <v>149</v>
      </c>
      <c r="B144" s="18">
        <v>1</v>
      </c>
      <c r="C144" s="18">
        <v>37</v>
      </c>
      <c r="D144" s="3">
        <v>0</v>
      </c>
      <c r="E144" s="3">
        <v>0</v>
      </c>
      <c r="F144" s="14">
        <v>0</v>
      </c>
      <c r="G144" s="19">
        <v>0</v>
      </c>
      <c r="H144" s="18">
        <v>0</v>
      </c>
      <c r="I144" s="14">
        <v>0</v>
      </c>
      <c r="J144" s="3">
        <v>0</v>
      </c>
      <c r="K144">
        <v>0</v>
      </c>
      <c r="L144" s="2" t="e">
        <f>Tabel57[[#This Row],[Conversions]]/Tabel57[[#This Row],[Total Clicks]]</f>
        <v>#DIV/0!</v>
      </c>
      <c r="M144" s="15">
        <f>Tabel57[[#This Row],[Conversions]]/Tabel57[[#This Row],[Number of Vacancies]]</f>
        <v>0</v>
      </c>
      <c r="N144" s="3">
        <v>0</v>
      </c>
    </row>
    <row r="145" spans="1:14" x14ac:dyDescent="0.3">
      <c r="A145" s="3" t="s">
        <v>150</v>
      </c>
      <c r="B145" s="18">
        <v>1</v>
      </c>
      <c r="C145" s="18">
        <v>4078</v>
      </c>
      <c r="D145" s="3">
        <v>0.28999999999999998</v>
      </c>
      <c r="E145" s="3">
        <v>5.08</v>
      </c>
      <c r="F145" s="14">
        <v>6.4500000000000002E-2</v>
      </c>
      <c r="G145" s="19">
        <v>263</v>
      </c>
      <c r="H145" s="18">
        <v>15</v>
      </c>
      <c r="I145" s="14">
        <v>5.7000000000000002E-2</v>
      </c>
      <c r="J145" s="3">
        <v>76.260000000000005</v>
      </c>
      <c r="K145">
        <v>0</v>
      </c>
      <c r="L145" s="2">
        <f>Tabel57[[#This Row],[Conversions]]/Tabel57[[#This Row],[Total Clicks]]</f>
        <v>0</v>
      </c>
      <c r="M145" s="15">
        <f>Tabel57[[#This Row],[Conversions]]/Tabel57[[#This Row],[Number of Vacancies]]</f>
        <v>0</v>
      </c>
      <c r="N145" s="3">
        <v>0</v>
      </c>
    </row>
    <row r="146" spans="1:14" x14ac:dyDescent="0.3">
      <c r="A146" s="3" t="s">
        <v>151</v>
      </c>
      <c r="B146" s="18">
        <v>1</v>
      </c>
      <c r="C146" s="18">
        <v>299</v>
      </c>
      <c r="D146" s="3">
        <v>0</v>
      </c>
      <c r="E146" s="3">
        <v>0</v>
      </c>
      <c r="F146" s="14">
        <v>5.0199999999999995E-2</v>
      </c>
      <c r="G146" s="19">
        <v>15</v>
      </c>
      <c r="H146" s="18">
        <v>0</v>
      </c>
      <c r="I146" s="14">
        <v>0</v>
      </c>
      <c r="J146" s="3">
        <v>0</v>
      </c>
      <c r="K146">
        <v>0</v>
      </c>
      <c r="L146" s="2">
        <f>Tabel57[[#This Row],[Conversions]]/Tabel57[[#This Row],[Total Clicks]]</f>
        <v>0</v>
      </c>
      <c r="M146" s="15">
        <f>Tabel57[[#This Row],[Conversions]]/Tabel57[[#This Row],[Number of Vacancies]]</f>
        <v>0</v>
      </c>
      <c r="N146" s="3">
        <v>0</v>
      </c>
    </row>
    <row r="147" spans="1:14" x14ac:dyDescent="0.3">
      <c r="A147" s="3" t="s">
        <v>152</v>
      </c>
      <c r="B147" s="18">
        <v>1</v>
      </c>
      <c r="C147" s="18">
        <v>17</v>
      </c>
      <c r="D147" s="3">
        <v>3.62</v>
      </c>
      <c r="E147" s="3">
        <v>7.24</v>
      </c>
      <c r="F147" s="14">
        <v>0.1176</v>
      </c>
      <c r="G147" s="19">
        <v>2</v>
      </c>
      <c r="H147" s="18">
        <v>1</v>
      </c>
      <c r="I147" s="14">
        <v>0.5</v>
      </c>
      <c r="J147" s="3">
        <v>7.24</v>
      </c>
      <c r="K147">
        <v>0</v>
      </c>
      <c r="L147" s="2">
        <f>Tabel57[[#This Row],[Conversions]]/Tabel57[[#This Row],[Total Clicks]]</f>
        <v>0</v>
      </c>
      <c r="M147" s="15">
        <f>Tabel57[[#This Row],[Conversions]]/Tabel57[[#This Row],[Number of Vacancies]]</f>
        <v>0</v>
      </c>
      <c r="N147" s="3">
        <v>0</v>
      </c>
    </row>
    <row r="148" spans="1:14" x14ac:dyDescent="0.3">
      <c r="A148" s="3" t="s">
        <v>153</v>
      </c>
      <c r="B148" s="18">
        <v>1</v>
      </c>
      <c r="C148" s="18">
        <v>146</v>
      </c>
      <c r="D148" s="3">
        <v>0.45</v>
      </c>
      <c r="E148" s="3">
        <v>2.97</v>
      </c>
      <c r="F148" s="14">
        <v>0.13699999999999998</v>
      </c>
      <c r="G148" s="19">
        <v>20</v>
      </c>
      <c r="H148" s="18">
        <v>3</v>
      </c>
      <c r="I148" s="14">
        <v>0.15</v>
      </c>
      <c r="J148" s="3">
        <v>8.91</v>
      </c>
      <c r="K148">
        <v>0</v>
      </c>
      <c r="L148" s="2">
        <f>Tabel57[[#This Row],[Conversions]]/Tabel57[[#This Row],[Total Clicks]]</f>
        <v>0</v>
      </c>
      <c r="M148" s="15">
        <f>Tabel57[[#This Row],[Conversions]]/Tabel57[[#This Row],[Number of Vacancies]]</f>
        <v>0</v>
      </c>
      <c r="N148" s="3">
        <v>0</v>
      </c>
    </row>
    <row r="149" spans="1:14" x14ac:dyDescent="0.3">
      <c r="A149" s="3" t="s">
        <v>154</v>
      </c>
      <c r="B149" s="18">
        <v>1</v>
      </c>
      <c r="C149" s="18">
        <v>645</v>
      </c>
      <c r="D149" s="3">
        <v>0</v>
      </c>
      <c r="E149" s="3">
        <v>0</v>
      </c>
      <c r="F149" s="14">
        <v>3.1E-2</v>
      </c>
      <c r="G149" s="19">
        <v>20</v>
      </c>
      <c r="H149" s="18">
        <v>0</v>
      </c>
      <c r="I149" s="14">
        <v>0</v>
      </c>
      <c r="J149" s="3">
        <v>0</v>
      </c>
      <c r="K149">
        <v>0</v>
      </c>
      <c r="L149" s="2">
        <f>Tabel57[[#This Row],[Conversions]]/Tabel57[[#This Row],[Total Clicks]]</f>
        <v>0</v>
      </c>
      <c r="M149" s="15">
        <f>Tabel57[[#This Row],[Conversions]]/Tabel57[[#This Row],[Number of Vacancies]]</f>
        <v>0</v>
      </c>
      <c r="N149" s="3">
        <v>0</v>
      </c>
    </row>
    <row r="150" spans="1:14" x14ac:dyDescent="0.3">
      <c r="A150" s="3" t="s">
        <v>155</v>
      </c>
      <c r="B150" s="18">
        <v>1</v>
      </c>
      <c r="C150" s="18">
        <v>271</v>
      </c>
      <c r="D150" s="3">
        <v>0.4</v>
      </c>
      <c r="E150" s="3">
        <v>2.37</v>
      </c>
      <c r="F150" s="14">
        <v>6.6400000000000001E-2</v>
      </c>
      <c r="G150" s="19">
        <v>18</v>
      </c>
      <c r="H150" s="18">
        <v>3</v>
      </c>
      <c r="I150" s="14">
        <v>0.16670000000000001</v>
      </c>
      <c r="J150" s="3">
        <v>7.12</v>
      </c>
      <c r="K150">
        <v>0</v>
      </c>
      <c r="L150" s="2">
        <f>Tabel57[[#This Row],[Conversions]]/Tabel57[[#This Row],[Total Clicks]]</f>
        <v>0</v>
      </c>
      <c r="M150" s="15">
        <f>Tabel57[[#This Row],[Conversions]]/Tabel57[[#This Row],[Number of Vacancies]]</f>
        <v>0</v>
      </c>
      <c r="N150" s="3">
        <v>0</v>
      </c>
    </row>
    <row r="151" spans="1:14" x14ac:dyDescent="0.3">
      <c r="A151" s="3" t="s">
        <v>156</v>
      </c>
      <c r="B151" s="18">
        <v>1</v>
      </c>
      <c r="C151" s="18">
        <v>0</v>
      </c>
      <c r="D151" s="3">
        <v>0</v>
      </c>
      <c r="E151" s="3">
        <v>0</v>
      </c>
      <c r="F151" s="14">
        <v>0</v>
      </c>
      <c r="G151" s="19">
        <v>0</v>
      </c>
      <c r="H151" s="18">
        <v>0</v>
      </c>
      <c r="I151" s="14">
        <v>0</v>
      </c>
      <c r="J151" s="3">
        <v>0</v>
      </c>
      <c r="K151">
        <v>0</v>
      </c>
      <c r="L151" s="2" t="e">
        <f>Tabel57[[#This Row],[Conversions]]/Tabel57[[#This Row],[Total Clicks]]</f>
        <v>#DIV/0!</v>
      </c>
      <c r="M151" s="15">
        <f>Tabel57[[#This Row],[Conversions]]/Tabel57[[#This Row],[Number of Vacancies]]</f>
        <v>0</v>
      </c>
      <c r="N151" s="3">
        <v>0</v>
      </c>
    </row>
    <row r="152" spans="1:14" x14ac:dyDescent="0.3">
      <c r="A152" s="3" t="s">
        <v>157</v>
      </c>
      <c r="B152" s="18">
        <v>1</v>
      </c>
      <c r="C152" s="18">
        <v>184</v>
      </c>
      <c r="D152" s="3">
        <v>1.26</v>
      </c>
      <c r="E152" s="3">
        <v>6.91</v>
      </c>
      <c r="F152" s="14">
        <v>5.9800000000000006E-2</v>
      </c>
      <c r="G152" s="19">
        <v>11</v>
      </c>
      <c r="H152" s="18">
        <v>2</v>
      </c>
      <c r="I152" s="14">
        <v>0.18179999999999999</v>
      </c>
      <c r="J152" s="3">
        <v>13.81</v>
      </c>
      <c r="K152">
        <v>0</v>
      </c>
      <c r="L152" s="2">
        <f>Tabel57[[#This Row],[Conversions]]/Tabel57[[#This Row],[Total Clicks]]</f>
        <v>0</v>
      </c>
      <c r="M152" s="15">
        <f>Tabel57[[#This Row],[Conversions]]/Tabel57[[#This Row],[Number of Vacancies]]</f>
        <v>0</v>
      </c>
      <c r="N152" s="3">
        <v>0</v>
      </c>
    </row>
    <row r="153" spans="1:14" x14ac:dyDescent="0.3">
      <c r="A153" s="3" t="s">
        <v>158</v>
      </c>
      <c r="B153" s="18">
        <v>1</v>
      </c>
      <c r="C153" s="18">
        <v>612</v>
      </c>
      <c r="D153" s="3">
        <v>0.57999999999999996</v>
      </c>
      <c r="E153" s="3">
        <v>5.34</v>
      </c>
      <c r="F153" s="14">
        <v>6.0499999999999998E-2</v>
      </c>
      <c r="G153" s="19">
        <v>37</v>
      </c>
      <c r="H153" s="18">
        <v>4</v>
      </c>
      <c r="I153" s="14">
        <v>0.1081</v>
      </c>
      <c r="J153" s="3">
        <v>21.36</v>
      </c>
      <c r="K153">
        <v>0</v>
      </c>
      <c r="L153" s="2">
        <f>Tabel57[[#This Row],[Conversions]]/Tabel57[[#This Row],[Total Clicks]]</f>
        <v>0</v>
      </c>
      <c r="M153" s="15">
        <f>Tabel57[[#This Row],[Conversions]]/Tabel57[[#This Row],[Number of Vacancies]]</f>
        <v>0</v>
      </c>
      <c r="N153" s="3">
        <v>0</v>
      </c>
    </row>
    <row r="154" spans="1:14" x14ac:dyDescent="0.3">
      <c r="A154" s="3" t="s">
        <v>159</v>
      </c>
      <c r="B154" s="18">
        <v>1</v>
      </c>
      <c r="C154" s="18">
        <v>175</v>
      </c>
      <c r="D154" s="3">
        <v>0</v>
      </c>
      <c r="E154" s="3">
        <v>0</v>
      </c>
      <c r="F154" s="14">
        <v>0.08</v>
      </c>
      <c r="G154" s="19">
        <v>14</v>
      </c>
      <c r="H154" s="18">
        <v>0</v>
      </c>
      <c r="I154" s="14">
        <v>0</v>
      </c>
      <c r="J154" s="3">
        <v>0</v>
      </c>
      <c r="K154">
        <v>0</v>
      </c>
      <c r="L154" s="2">
        <f>Tabel57[[#This Row],[Conversions]]/Tabel57[[#This Row],[Total Clicks]]</f>
        <v>0</v>
      </c>
      <c r="M154" s="15">
        <f>Tabel57[[#This Row],[Conversions]]/Tabel57[[#This Row],[Number of Vacancies]]</f>
        <v>0</v>
      </c>
      <c r="N154" s="3">
        <v>0</v>
      </c>
    </row>
    <row r="155" spans="1:14" x14ac:dyDescent="0.3">
      <c r="A155" s="3" t="s">
        <v>160</v>
      </c>
      <c r="B155" s="18">
        <v>1</v>
      </c>
      <c r="C155" s="18">
        <v>479</v>
      </c>
      <c r="D155" s="3">
        <v>0.15</v>
      </c>
      <c r="E155" s="3">
        <v>4.4400000000000004</v>
      </c>
      <c r="F155" s="14">
        <v>6.0499999999999998E-2</v>
      </c>
      <c r="G155" s="19">
        <v>29</v>
      </c>
      <c r="H155" s="18">
        <v>1</v>
      </c>
      <c r="I155" s="14">
        <v>3.4500000000000003E-2</v>
      </c>
      <c r="J155" s="3">
        <v>4.4400000000000004</v>
      </c>
      <c r="K155">
        <v>0</v>
      </c>
      <c r="L155" s="2">
        <f>Tabel57[[#This Row],[Conversions]]/Tabel57[[#This Row],[Total Clicks]]</f>
        <v>0</v>
      </c>
      <c r="M155" s="15">
        <f>Tabel57[[#This Row],[Conversions]]/Tabel57[[#This Row],[Number of Vacancies]]</f>
        <v>0</v>
      </c>
      <c r="N155" s="3">
        <v>0</v>
      </c>
    </row>
    <row r="156" spans="1:14" x14ac:dyDescent="0.3">
      <c r="A156" s="3" t="s">
        <v>161</v>
      </c>
      <c r="B156" s="18">
        <v>1</v>
      </c>
      <c r="C156" s="18">
        <v>477</v>
      </c>
      <c r="D156" s="3">
        <v>0.18</v>
      </c>
      <c r="E156" s="3">
        <v>14.52</v>
      </c>
      <c r="F156" s="14">
        <v>0.1656</v>
      </c>
      <c r="G156" s="19">
        <v>79</v>
      </c>
      <c r="H156" s="18">
        <v>1</v>
      </c>
      <c r="I156" s="14">
        <v>1.2699999999999999E-2</v>
      </c>
      <c r="J156" s="3">
        <v>14.52</v>
      </c>
      <c r="K156">
        <v>0</v>
      </c>
      <c r="L156" s="2">
        <f>Tabel57[[#This Row],[Conversions]]/Tabel57[[#This Row],[Total Clicks]]</f>
        <v>0</v>
      </c>
      <c r="M156" s="15">
        <f>Tabel57[[#This Row],[Conversions]]/Tabel57[[#This Row],[Number of Vacancies]]</f>
        <v>0</v>
      </c>
      <c r="N156" s="3">
        <v>0</v>
      </c>
    </row>
    <row r="157" spans="1:14" x14ac:dyDescent="0.3">
      <c r="A157" s="3" t="s">
        <v>162</v>
      </c>
      <c r="B157" s="18">
        <v>1</v>
      </c>
      <c r="C157" s="18">
        <v>0</v>
      </c>
      <c r="D157" s="3">
        <v>0</v>
      </c>
      <c r="E157" s="3">
        <v>0</v>
      </c>
      <c r="F157" s="14">
        <v>0</v>
      </c>
      <c r="G157" s="19">
        <v>0</v>
      </c>
      <c r="H157" s="18">
        <v>0</v>
      </c>
      <c r="I157" s="14">
        <v>0</v>
      </c>
      <c r="J157" s="3">
        <v>0</v>
      </c>
      <c r="K157">
        <v>0</v>
      </c>
      <c r="L157" s="2" t="e">
        <f>Tabel57[[#This Row],[Conversions]]/Tabel57[[#This Row],[Total Clicks]]</f>
        <v>#DIV/0!</v>
      </c>
      <c r="M157" s="15">
        <f>Tabel57[[#This Row],[Conversions]]/Tabel57[[#This Row],[Number of Vacancies]]</f>
        <v>0</v>
      </c>
      <c r="N157" s="3">
        <v>0</v>
      </c>
    </row>
    <row r="158" spans="1:14" x14ac:dyDescent="0.3">
      <c r="A158" s="3" t="s">
        <v>163</v>
      </c>
      <c r="B158" s="18">
        <v>1</v>
      </c>
      <c r="C158" s="18">
        <v>248</v>
      </c>
      <c r="D158" s="3">
        <v>0</v>
      </c>
      <c r="E158" s="3">
        <v>0</v>
      </c>
      <c r="F158" s="14">
        <v>6.0499999999999998E-2</v>
      </c>
      <c r="G158" s="19">
        <v>15</v>
      </c>
      <c r="H158" s="18">
        <v>0</v>
      </c>
      <c r="I158" s="14">
        <v>0</v>
      </c>
      <c r="J158" s="3">
        <v>0</v>
      </c>
      <c r="K158">
        <v>0</v>
      </c>
      <c r="L158" s="2">
        <f>Tabel57[[#This Row],[Conversions]]/Tabel57[[#This Row],[Total Clicks]]</f>
        <v>0</v>
      </c>
      <c r="M158" s="15">
        <f>Tabel57[[#This Row],[Conversions]]/Tabel57[[#This Row],[Number of Vacancies]]</f>
        <v>0</v>
      </c>
      <c r="N158" s="3">
        <v>0</v>
      </c>
    </row>
    <row r="159" spans="1:14" x14ac:dyDescent="0.3">
      <c r="A159" s="3" t="s">
        <v>164</v>
      </c>
      <c r="B159" s="18">
        <v>1</v>
      </c>
      <c r="C159" s="18">
        <v>125</v>
      </c>
      <c r="D159" s="3">
        <v>0</v>
      </c>
      <c r="E159" s="3">
        <v>0</v>
      </c>
      <c r="F159" s="14">
        <v>7.2000000000000008E-2</v>
      </c>
      <c r="G159" s="19">
        <v>9</v>
      </c>
      <c r="H159" s="18">
        <v>0</v>
      </c>
      <c r="I159" s="14">
        <v>0</v>
      </c>
      <c r="J159" s="3">
        <v>0</v>
      </c>
      <c r="K159">
        <v>0</v>
      </c>
      <c r="L159" s="2">
        <f>Tabel57[[#This Row],[Conversions]]/Tabel57[[#This Row],[Total Clicks]]</f>
        <v>0</v>
      </c>
      <c r="M159" s="15">
        <f>Tabel57[[#This Row],[Conversions]]/Tabel57[[#This Row],[Number of Vacancies]]</f>
        <v>0</v>
      </c>
      <c r="N159" s="3">
        <v>0</v>
      </c>
    </row>
    <row r="160" spans="1:14" x14ac:dyDescent="0.3">
      <c r="A160" s="3" t="s">
        <v>165</v>
      </c>
      <c r="B160" s="18">
        <v>1</v>
      </c>
      <c r="C160" s="18">
        <v>35</v>
      </c>
      <c r="D160" s="3">
        <v>0</v>
      </c>
      <c r="E160" s="3">
        <v>0</v>
      </c>
      <c r="F160" s="14">
        <v>5.7099999999999998E-2</v>
      </c>
      <c r="G160" s="19">
        <v>2</v>
      </c>
      <c r="H160" s="18">
        <v>0</v>
      </c>
      <c r="I160" s="14">
        <v>0</v>
      </c>
      <c r="J160" s="3">
        <v>0</v>
      </c>
      <c r="K160">
        <v>0</v>
      </c>
      <c r="L160" s="2">
        <f>Tabel57[[#This Row],[Conversions]]/Tabel57[[#This Row],[Total Clicks]]</f>
        <v>0</v>
      </c>
      <c r="M160" s="15">
        <f>Tabel57[[#This Row],[Conversions]]/Tabel57[[#This Row],[Number of Vacancies]]</f>
        <v>0</v>
      </c>
      <c r="N160" s="3">
        <v>0</v>
      </c>
    </row>
    <row r="161" spans="1:14" x14ac:dyDescent="0.3">
      <c r="A161" s="3" t="s">
        <v>166</v>
      </c>
      <c r="B161" s="18">
        <v>1</v>
      </c>
      <c r="C161" s="18">
        <v>189</v>
      </c>
      <c r="D161" s="3">
        <v>0</v>
      </c>
      <c r="E161" s="3">
        <v>0</v>
      </c>
      <c r="F161" s="14">
        <v>0.10580000000000001</v>
      </c>
      <c r="G161" s="19">
        <v>20</v>
      </c>
      <c r="H161" s="18">
        <v>0</v>
      </c>
      <c r="I161" s="14">
        <v>0</v>
      </c>
      <c r="J161" s="3">
        <v>0</v>
      </c>
      <c r="K161">
        <v>0</v>
      </c>
      <c r="L161" s="2">
        <f>Tabel57[[#This Row],[Conversions]]/Tabel57[[#This Row],[Total Clicks]]</f>
        <v>0</v>
      </c>
      <c r="M161" s="15">
        <f>Tabel57[[#This Row],[Conversions]]/Tabel57[[#This Row],[Number of Vacancies]]</f>
        <v>0</v>
      </c>
      <c r="N161" s="3">
        <v>0</v>
      </c>
    </row>
    <row r="162" spans="1:14" x14ac:dyDescent="0.3">
      <c r="A162" s="3" t="s">
        <v>167</v>
      </c>
      <c r="B162" s="18">
        <v>1</v>
      </c>
      <c r="C162" s="18">
        <v>127</v>
      </c>
      <c r="D162" s="3">
        <v>0.9</v>
      </c>
      <c r="E162" s="3">
        <v>6.3</v>
      </c>
      <c r="F162" s="14">
        <v>5.5099999999999996E-2</v>
      </c>
      <c r="G162" s="19">
        <v>7</v>
      </c>
      <c r="H162" s="18">
        <v>1</v>
      </c>
      <c r="I162" s="14">
        <v>0.1429</v>
      </c>
      <c r="J162" s="3">
        <v>6.3</v>
      </c>
      <c r="K162">
        <v>0</v>
      </c>
      <c r="L162" s="2">
        <f>Tabel57[[#This Row],[Conversions]]/Tabel57[[#This Row],[Total Clicks]]</f>
        <v>0</v>
      </c>
      <c r="M162" s="15">
        <f>Tabel57[[#This Row],[Conversions]]/Tabel57[[#This Row],[Number of Vacancies]]</f>
        <v>0</v>
      </c>
      <c r="N162" s="3">
        <v>0</v>
      </c>
    </row>
    <row r="163" spans="1:14" x14ac:dyDescent="0.3">
      <c r="A163" s="3" t="s">
        <v>168</v>
      </c>
      <c r="B163" s="18">
        <v>1</v>
      </c>
      <c r="C163" s="18">
        <v>1</v>
      </c>
      <c r="D163" s="3">
        <v>0</v>
      </c>
      <c r="E163" s="3">
        <v>0</v>
      </c>
      <c r="F163" s="14">
        <v>0</v>
      </c>
      <c r="G163" s="19">
        <v>0</v>
      </c>
      <c r="H163" s="18">
        <v>0</v>
      </c>
      <c r="I163" s="14">
        <v>0</v>
      </c>
      <c r="J163" s="3">
        <v>0</v>
      </c>
      <c r="K163">
        <v>0</v>
      </c>
      <c r="L163" s="2" t="e">
        <f>Tabel57[[#This Row],[Conversions]]/Tabel57[[#This Row],[Total Clicks]]</f>
        <v>#DIV/0!</v>
      </c>
      <c r="M163" s="15">
        <f>Tabel57[[#This Row],[Conversions]]/Tabel57[[#This Row],[Number of Vacancies]]</f>
        <v>0</v>
      </c>
      <c r="N163" s="3">
        <v>0</v>
      </c>
    </row>
    <row r="164" spans="1:14" x14ac:dyDescent="0.3">
      <c r="A164" s="3" t="s">
        <v>169</v>
      </c>
      <c r="B164" s="18">
        <v>1</v>
      </c>
      <c r="C164" s="18">
        <v>134</v>
      </c>
      <c r="D164" s="3">
        <v>0.39</v>
      </c>
      <c r="E164" s="3">
        <v>6.57</v>
      </c>
      <c r="F164" s="14">
        <v>0.12689999999999999</v>
      </c>
      <c r="G164" s="19">
        <v>17</v>
      </c>
      <c r="H164" s="18">
        <v>1</v>
      </c>
      <c r="I164" s="14">
        <v>5.8799999999999998E-2</v>
      </c>
      <c r="J164" s="3">
        <v>6.57</v>
      </c>
      <c r="K164">
        <v>0</v>
      </c>
      <c r="L164" s="2">
        <f>Tabel57[[#This Row],[Conversions]]/Tabel57[[#This Row],[Total Clicks]]</f>
        <v>0</v>
      </c>
      <c r="M164" s="15">
        <f>Tabel57[[#This Row],[Conversions]]/Tabel57[[#This Row],[Number of Vacancies]]</f>
        <v>0</v>
      </c>
      <c r="N164" s="3">
        <v>0</v>
      </c>
    </row>
    <row r="165" spans="1:14" x14ac:dyDescent="0.3">
      <c r="A165" s="3" t="s">
        <v>170</v>
      </c>
      <c r="B165" s="18">
        <v>1</v>
      </c>
      <c r="C165" s="18">
        <v>128</v>
      </c>
      <c r="D165" s="3">
        <v>0.28999999999999998</v>
      </c>
      <c r="E165" s="3">
        <v>2.06</v>
      </c>
      <c r="F165" s="14">
        <v>5.4699999999999999E-2</v>
      </c>
      <c r="G165" s="19">
        <v>7</v>
      </c>
      <c r="H165" s="18">
        <v>1</v>
      </c>
      <c r="I165" s="14">
        <v>0.1429</v>
      </c>
      <c r="J165" s="3">
        <v>2.06</v>
      </c>
      <c r="K165">
        <v>0</v>
      </c>
      <c r="L165" s="2">
        <f>Tabel57[[#This Row],[Conversions]]/Tabel57[[#This Row],[Total Clicks]]</f>
        <v>0</v>
      </c>
      <c r="M165" s="15">
        <f>Tabel57[[#This Row],[Conversions]]/Tabel57[[#This Row],[Number of Vacancies]]</f>
        <v>0</v>
      </c>
      <c r="N165" s="3">
        <v>0</v>
      </c>
    </row>
    <row r="166" spans="1:14" x14ac:dyDescent="0.3">
      <c r="A166" s="3" t="s">
        <v>171</v>
      </c>
      <c r="B166" s="18">
        <v>1</v>
      </c>
      <c r="C166" s="18">
        <v>169</v>
      </c>
      <c r="D166" s="3">
        <v>0</v>
      </c>
      <c r="E166" s="3">
        <v>0</v>
      </c>
      <c r="F166" s="14">
        <v>1.78E-2</v>
      </c>
      <c r="G166" s="19">
        <v>3</v>
      </c>
      <c r="H166" s="18">
        <v>0</v>
      </c>
      <c r="I166" s="14">
        <v>0</v>
      </c>
      <c r="J166" s="3">
        <v>0</v>
      </c>
      <c r="K166">
        <v>0</v>
      </c>
      <c r="L166" s="2">
        <f>Tabel57[[#This Row],[Conversions]]/Tabel57[[#This Row],[Total Clicks]]</f>
        <v>0</v>
      </c>
      <c r="M166" s="15">
        <f>Tabel57[[#This Row],[Conversions]]/Tabel57[[#This Row],[Number of Vacancies]]</f>
        <v>0</v>
      </c>
      <c r="N166" s="3">
        <v>0</v>
      </c>
    </row>
    <row r="167" spans="1:14" x14ac:dyDescent="0.3">
      <c r="A167" s="3" t="s">
        <v>172</v>
      </c>
      <c r="B167" s="18">
        <v>1</v>
      </c>
      <c r="C167" s="18">
        <v>1108</v>
      </c>
      <c r="D167" s="3">
        <v>0.17</v>
      </c>
      <c r="E167" s="3">
        <v>4.82</v>
      </c>
      <c r="F167" s="14">
        <v>5.2300000000000006E-2</v>
      </c>
      <c r="G167" s="19">
        <v>58</v>
      </c>
      <c r="H167" s="18">
        <v>2</v>
      </c>
      <c r="I167" s="14">
        <v>3.4500000000000003E-2</v>
      </c>
      <c r="J167" s="3">
        <v>9.64</v>
      </c>
      <c r="K167">
        <v>0</v>
      </c>
      <c r="L167" s="2">
        <f>Tabel57[[#This Row],[Conversions]]/Tabel57[[#This Row],[Total Clicks]]</f>
        <v>0</v>
      </c>
      <c r="M167" s="15">
        <f>Tabel57[[#This Row],[Conversions]]/Tabel57[[#This Row],[Number of Vacancies]]</f>
        <v>0</v>
      </c>
      <c r="N167" s="3">
        <v>0</v>
      </c>
    </row>
    <row r="168" spans="1:14" x14ac:dyDescent="0.3">
      <c r="A168" t="s">
        <v>173</v>
      </c>
      <c r="B168" s="17">
        <f>SUBTOTAL(109,Tabel57[Number of Vacancies])</f>
        <v>967</v>
      </c>
      <c r="C168" s="17">
        <f>SUBTOTAL(109,Tabel57[Total Number of Impressions])</f>
        <v>283748</v>
      </c>
      <c r="D168" s="12">
        <f>SUBTOTAL(101,Tabel57[Average Cost Per Click])</f>
        <v>0.49541037053928189</v>
      </c>
      <c r="E168" s="12">
        <f>SUBTOTAL(101,Tabel57[Average cost per application start])</f>
        <v>5.5530235120762255</v>
      </c>
      <c r="F168" s="14">
        <f>SUBTOTAL(101,Tabel57[Average Click-Through Rate])</f>
        <v>7.6826379731615047E-2</v>
      </c>
      <c r="G168" s="17">
        <f>SUBTOTAL(109,Tabel57[Total Clicks])</f>
        <v>23628</v>
      </c>
      <c r="H168" s="17">
        <f>SUBTOTAL(109,Tabel57[Total started applications])</f>
        <v>1826</v>
      </c>
      <c r="I168" s="14">
        <f>SUBTOTAL(101,Tabel57[Average percentage of started applications])</f>
        <v>6.9042682370490743E-2</v>
      </c>
      <c r="J168" s="12">
        <f>SUBTOTAL(109,Tabel57[Total costs])</f>
        <v>12495.239999999998</v>
      </c>
      <c r="K168">
        <f>SUBTOTAL(109,Tabel57[Conversions])</f>
        <v>398</v>
      </c>
      <c r="N168" s="12">
        <f>Tabel57[[#Totals],[Total costs]]/Tabel57[[#Totals],[Conversions]]</f>
        <v>31.395075376884417</v>
      </c>
    </row>
    <row r="169" spans="1:14" x14ac:dyDescent="0.3">
      <c r="K169" s="12"/>
    </row>
    <row r="171" spans="1:14" x14ac:dyDescent="0.3">
      <c r="K171" s="12"/>
    </row>
    <row r="174" spans="1:14" x14ac:dyDescent="0.3">
      <c r="A174"/>
      <c r="B174"/>
      <c r="C174" s="17"/>
      <c r="G174" s="17"/>
      <c r="H174" s="15"/>
    </row>
    <row r="175" spans="1:14" x14ac:dyDescent="0.3">
      <c r="A175"/>
      <c r="B175"/>
      <c r="C175" s="17"/>
      <c r="G175" s="17"/>
      <c r="H175" s="15"/>
    </row>
    <row r="176" spans="1:14" x14ac:dyDescent="0.3">
      <c r="A176"/>
      <c r="B176"/>
      <c r="C176" s="17"/>
      <c r="G176" s="17"/>
      <c r="H176" s="15"/>
    </row>
    <row r="177" spans="1:8" x14ac:dyDescent="0.3">
      <c r="A177"/>
      <c r="B177"/>
      <c r="C177" s="17"/>
      <c r="G177" s="17"/>
      <c r="H177" s="15"/>
    </row>
    <row r="178" spans="1:8" x14ac:dyDescent="0.3">
      <c r="A178"/>
      <c r="B178"/>
      <c r="C178" s="17"/>
      <c r="G178" s="17"/>
      <c r="H178" s="15"/>
    </row>
    <row r="179" spans="1:8" x14ac:dyDescent="0.3">
      <c r="A179"/>
      <c r="B179"/>
      <c r="C179" s="17"/>
      <c r="G179" s="17"/>
      <c r="H179" s="15"/>
    </row>
    <row r="180" spans="1:8" x14ac:dyDescent="0.3">
      <c r="A180"/>
      <c r="B180"/>
      <c r="C180" s="17"/>
      <c r="G180" s="17"/>
      <c r="H180" s="15"/>
    </row>
    <row r="181" spans="1:8" x14ac:dyDescent="0.3">
      <c r="A181"/>
      <c r="B181"/>
      <c r="C181" s="17"/>
      <c r="G181" s="17"/>
      <c r="H181" s="15"/>
    </row>
    <row r="182" spans="1:8" x14ac:dyDescent="0.3">
      <c r="A182"/>
      <c r="B182"/>
      <c r="C182" s="17"/>
      <c r="G182" s="17"/>
      <c r="H182" s="15"/>
    </row>
    <row r="183" spans="1:8" x14ac:dyDescent="0.3">
      <c r="A183"/>
      <c r="B183"/>
      <c r="C183" s="17"/>
      <c r="G183" s="17"/>
      <c r="H183" s="15"/>
    </row>
    <row r="184" spans="1:8" x14ac:dyDescent="0.3">
      <c r="A184"/>
      <c r="B184"/>
      <c r="C184" s="17"/>
      <c r="G184" s="17"/>
      <c r="H184" s="15"/>
    </row>
    <row r="185" spans="1:8" x14ac:dyDescent="0.3">
      <c r="A185"/>
      <c r="B185"/>
      <c r="C185" s="17"/>
      <c r="G185" s="17"/>
      <c r="H185" s="15"/>
    </row>
    <row r="186" spans="1:8" x14ac:dyDescent="0.3">
      <c r="A186"/>
      <c r="B186"/>
      <c r="C186" s="17"/>
      <c r="G186" s="17"/>
      <c r="H186" s="15"/>
    </row>
    <row r="187" spans="1:8" x14ac:dyDescent="0.3">
      <c r="A187"/>
      <c r="B187"/>
      <c r="C187" s="17"/>
      <c r="G187" s="17"/>
      <c r="H187" s="15"/>
    </row>
    <row r="188" spans="1:8" x14ac:dyDescent="0.3">
      <c r="A188"/>
      <c r="B188"/>
      <c r="C188" s="17"/>
      <c r="G188" s="17"/>
      <c r="H188" s="15"/>
    </row>
    <row r="189" spans="1:8" x14ac:dyDescent="0.3">
      <c r="A189"/>
      <c r="B189"/>
      <c r="C189" s="17"/>
      <c r="G189" s="17"/>
      <c r="H189" s="15"/>
    </row>
    <row r="190" spans="1:8" x14ac:dyDescent="0.3">
      <c r="A190"/>
      <c r="B190"/>
      <c r="C190" s="17"/>
      <c r="G190" s="17"/>
      <c r="H190" s="15"/>
    </row>
    <row r="191" spans="1:8" x14ac:dyDescent="0.3">
      <c r="A191"/>
      <c r="B191"/>
      <c r="C191" s="17"/>
      <c r="G191" s="17"/>
      <c r="H191" s="15"/>
    </row>
    <row r="192" spans="1:8" x14ac:dyDescent="0.3">
      <c r="A192"/>
      <c r="B192"/>
      <c r="C192" s="17"/>
      <c r="G192" s="17"/>
      <c r="H192" s="15"/>
    </row>
    <row r="193" spans="1:8" x14ac:dyDescent="0.3">
      <c r="A193"/>
      <c r="B193"/>
      <c r="C193" s="17"/>
      <c r="G193" s="17"/>
      <c r="H193" s="15"/>
    </row>
    <row r="194" spans="1:8" x14ac:dyDescent="0.3">
      <c r="A194"/>
      <c r="B194"/>
      <c r="C194" s="17"/>
      <c r="G194" s="17"/>
      <c r="H194" s="15"/>
    </row>
    <row r="195" spans="1:8" x14ac:dyDescent="0.3">
      <c r="A195"/>
      <c r="B195"/>
      <c r="C195" s="17"/>
      <c r="G195" s="17"/>
      <c r="H195" s="15"/>
    </row>
    <row r="196" spans="1:8" x14ac:dyDescent="0.3">
      <c r="A196"/>
      <c r="B196"/>
      <c r="C196" s="17"/>
      <c r="G196" s="17"/>
      <c r="H196" s="15"/>
    </row>
    <row r="197" spans="1:8" x14ac:dyDescent="0.3">
      <c r="A197"/>
      <c r="B197"/>
      <c r="C197" s="17"/>
      <c r="G197" s="17"/>
      <c r="H197" s="15"/>
    </row>
    <row r="198" spans="1:8" x14ac:dyDescent="0.3">
      <c r="A198"/>
      <c r="B198"/>
      <c r="C198" s="17"/>
      <c r="G198" s="17"/>
      <c r="H198" s="15"/>
    </row>
    <row r="199" spans="1:8" x14ac:dyDescent="0.3">
      <c r="A199"/>
      <c r="B199"/>
      <c r="C199" s="17"/>
      <c r="G199" s="17"/>
      <c r="H199" s="15"/>
    </row>
    <row r="200" spans="1:8" x14ac:dyDescent="0.3">
      <c r="A200"/>
      <c r="B200"/>
      <c r="C200" s="17"/>
      <c r="G200" s="17"/>
      <c r="H200" s="15"/>
    </row>
    <row r="201" spans="1:8" x14ac:dyDescent="0.3">
      <c r="A201"/>
      <c r="B201"/>
      <c r="C201" s="17"/>
      <c r="G201" s="17"/>
      <c r="H201" s="15"/>
    </row>
    <row r="202" spans="1:8" x14ac:dyDescent="0.3">
      <c r="A202"/>
      <c r="B202"/>
      <c r="C202" s="17"/>
      <c r="G202" s="17"/>
      <c r="H202" s="15"/>
    </row>
    <row r="203" spans="1:8" x14ac:dyDescent="0.3">
      <c r="A203"/>
      <c r="B203"/>
      <c r="C203" s="17"/>
      <c r="G203" s="17"/>
      <c r="H203" s="15"/>
    </row>
    <row r="204" spans="1:8" x14ac:dyDescent="0.3">
      <c r="A204"/>
      <c r="B204"/>
      <c r="C204" s="17"/>
      <c r="G204" s="17"/>
      <c r="H204" s="15"/>
    </row>
    <row r="205" spans="1:8" x14ac:dyDescent="0.3">
      <c r="A205"/>
      <c r="B205"/>
      <c r="C205" s="17"/>
      <c r="G205" s="17"/>
      <c r="H205" s="15"/>
    </row>
    <row r="206" spans="1:8" x14ac:dyDescent="0.3">
      <c r="A206"/>
      <c r="B206"/>
      <c r="C206" s="17"/>
      <c r="G206" s="17"/>
      <c r="H206" s="15"/>
    </row>
    <row r="207" spans="1:8" x14ac:dyDescent="0.3">
      <c r="A207"/>
      <c r="B207"/>
      <c r="C207" s="17"/>
      <c r="G207" s="17"/>
      <c r="H207" s="15"/>
    </row>
    <row r="208" spans="1:8" x14ac:dyDescent="0.3">
      <c r="A208"/>
      <c r="B208"/>
      <c r="C208" s="17"/>
      <c r="G208" s="17"/>
      <c r="H208" s="15"/>
    </row>
    <row r="209" spans="1:8" x14ac:dyDescent="0.3">
      <c r="A209"/>
      <c r="B209"/>
      <c r="C209" s="17"/>
      <c r="G209" s="17"/>
      <c r="H209" s="15"/>
    </row>
    <row r="210" spans="1:8" x14ac:dyDescent="0.3">
      <c r="A210"/>
      <c r="B210"/>
      <c r="C210" s="17"/>
      <c r="G210" s="17"/>
      <c r="H210" s="15"/>
    </row>
    <row r="211" spans="1:8" x14ac:dyDescent="0.3">
      <c r="A211"/>
      <c r="B211"/>
      <c r="C211" s="17"/>
      <c r="G211" s="17"/>
      <c r="H211" s="15"/>
    </row>
    <row r="212" spans="1:8" x14ac:dyDescent="0.3">
      <c r="A212"/>
      <c r="B212"/>
      <c r="C212" s="17"/>
      <c r="G212" s="17"/>
      <c r="H212" s="15"/>
    </row>
    <row r="213" spans="1:8" x14ac:dyDescent="0.3">
      <c r="A213"/>
      <c r="B213"/>
      <c r="C213" s="17"/>
      <c r="G213" s="17"/>
      <c r="H213" s="15"/>
    </row>
    <row r="214" spans="1:8" x14ac:dyDescent="0.3">
      <c r="A214"/>
      <c r="B214"/>
      <c r="C214" s="17"/>
      <c r="G214" s="17"/>
      <c r="H214" s="15"/>
    </row>
    <row r="215" spans="1:8" x14ac:dyDescent="0.3">
      <c r="A215"/>
      <c r="B215"/>
      <c r="C215" s="17"/>
      <c r="G215" s="17"/>
      <c r="H215" s="15"/>
    </row>
    <row r="216" spans="1:8" x14ac:dyDescent="0.3">
      <c r="A216"/>
      <c r="B216"/>
      <c r="C216" s="17"/>
      <c r="G216" s="17"/>
      <c r="H216" s="15"/>
    </row>
    <row r="217" spans="1:8" x14ac:dyDescent="0.3">
      <c r="A217"/>
      <c r="B217"/>
      <c r="C217" s="17"/>
      <c r="G217" s="17"/>
      <c r="H217" s="15"/>
    </row>
    <row r="218" spans="1:8" x14ac:dyDescent="0.3">
      <c r="A218"/>
      <c r="B218"/>
      <c r="C218" s="17"/>
      <c r="G218" s="17"/>
      <c r="H218" s="15"/>
    </row>
    <row r="219" spans="1:8" x14ac:dyDescent="0.3">
      <c r="A219"/>
      <c r="B219"/>
      <c r="C219" s="17"/>
      <c r="G219" s="17"/>
      <c r="H219" s="15"/>
    </row>
    <row r="220" spans="1:8" x14ac:dyDescent="0.3">
      <c r="A220"/>
      <c r="B220"/>
      <c r="C220" s="17"/>
      <c r="G220" s="17"/>
      <c r="H220" s="15"/>
    </row>
    <row r="221" spans="1:8" x14ac:dyDescent="0.3">
      <c r="A221"/>
      <c r="B221"/>
      <c r="C221" s="17"/>
      <c r="G221" s="17"/>
      <c r="H221" s="15"/>
    </row>
    <row r="222" spans="1:8" x14ac:dyDescent="0.3">
      <c r="A222"/>
      <c r="B222"/>
      <c r="C222" s="17"/>
      <c r="G222" s="17"/>
      <c r="H222" s="15"/>
    </row>
    <row r="223" spans="1:8" x14ac:dyDescent="0.3">
      <c r="A223"/>
      <c r="B223"/>
      <c r="C223" s="17"/>
      <c r="G223" s="17"/>
      <c r="H223" s="15"/>
    </row>
    <row r="224" spans="1:8" x14ac:dyDescent="0.3">
      <c r="A224"/>
      <c r="B224"/>
      <c r="C224" s="17"/>
      <c r="G224" s="17"/>
      <c r="H224" s="15"/>
    </row>
    <row r="225" spans="1:8" x14ac:dyDescent="0.3">
      <c r="A225"/>
      <c r="B225"/>
      <c r="C225" s="17"/>
      <c r="G225" s="17"/>
      <c r="H225" s="15"/>
    </row>
    <row r="226" spans="1:8" x14ac:dyDescent="0.3">
      <c r="A226"/>
      <c r="B226"/>
      <c r="C226" s="17"/>
      <c r="G226" s="17"/>
      <c r="H226" s="15"/>
    </row>
    <row r="227" spans="1:8" x14ac:dyDescent="0.3">
      <c r="A227"/>
      <c r="B227"/>
      <c r="C227" s="17"/>
      <c r="G227" s="17"/>
      <c r="H227" s="15"/>
    </row>
    <row r="228" spans="1:8" x14ac:dyDescent="0.3">
      <c r="A228"/>
      <c r="B228"/>
      <c r="C228" s="17"/>
      <c r="G228" s="17"/>
      <c r="H228" s="15"/>
    </row>
    <row r="229" spans="1:8" x14ac:dyDescent="0.3">
      <c r="A229"/>
      <c r="B229"/>
      <c r="C229" s="17"/>
      <c r="G229" s="17"/>
      <c r="H229" s="15"/>
    </row>
    <row r="230" spans="1:8" x14ac:dyDescent="0.3">
      <c r="A230"/>
      <c r="B230"/>
      <c r="C230" s="17"/>
      <c r="G230" s="17"/>
      <c r="H230" s="15"/>
    </row>
    <row r="231" spans="1:8" x14ac:dyDescent="0.3">
      <c r="A231"/>
      <c r="B231"/>
      <c r="C231" s="17"/>
      <c r="G231" s="17"/>
      <c r="H231" s="15"/>
    </row>
    <row r="232" spans="1:8" x14ac:dyDescent="0.3">
      <c r="A232"/>
      <c r="B232"/>
      <c r="C232" s="17"/>
      <c r="G232" s="17"/>
      <c r="H232" s="15"/>
    </row>
    <row r="233" spans="1:8" x14ac:dyDescent="0.3">
      <c r="A233"/>
      <c r="B233"/>
      <c r="C233" s="17"/>
      <c r="G233" s="17"/>
      <c r="H233" s="15"/>
    </row>
    <row r="234" spans="1:8" x14ac:dyDescent="0.3">
      <c r="A234"/>
      <c r="B234"/>
      <c r="C234" s="17"/>
      <c r="G234" s="17"/>
      <c r="H234" s="15"/>
    </row>
    <row r="235" spans="1:8" x14ac:dyDescent="0.3">
      <c r="A235"/>
      <c r="B235"/>
      <c r="C235" s="17"/>
      <c r="G235" s="17"/>
      <c r="H235" s="15"/>
    </row>
    <row r="236" spans="1:8" x14ac:dyDescent="0.3">
      <c r="A236"/>
      <c r="B236"/>
      <c r="C236" s="17"/>
      <c r="G236" s="17"/>
      <c r="H236" s="15"/>
    </row>
    <row r="237" spans="1:8" x14ac:dyDescent="0.3">
      <c r="A237"/>
      <c r="B237"/>
      <c r="C237" s="17"/>
      <c r="G237" s="17"/>
      <c r="H237" s="15"/>
    </row>
    <row r="238" spans="1:8" x14ac:dyDescent="0.3">
      <c r="A238"/>
      <c r="B238"/>
      <c r="C238" s="17"/>
      <c r="G238" s="17"/>
      <c r="H238" s="15"/>
    </row>
    <row r="239" spans="1:8" x14ac:dyDescent="0.3">
      <c r="A239"/>
      <c r="B239"/>
      <c r="C239" s="17"/>
      <c r="G239" s="17"/>
      <c r="H239" s="15"/>
    </row>
    <row r="240" spans="1:8" x14ac:dyDescent="0.3">
      <c r="A240"/>
      <c r="B240"/>
      <c r="C240" s="17"/>
      <c r="G240" s="17"/>
      <c r="H240" s="15"/>
    </row>
    <row r="241" spans="1:8" x14ac:dyDescent="0.3">
      <c r="A241"/>
      <c r="B241"/>
      <c r="C241" s="17"/>
      <c r="G241" s="17"/>
      <c r="H241" s="15"/>
    </row>
    <row r="242" spans="1:8" x14ac:dyDescent="0.3">
      <c r="A242"/>
      <c r="B242"/>
      <c r="C242" s="17"/>
      <c r="G242" s="17"/>
      <c r="H242" s="15"/>
    </row>
    <row r="243" spans="1:8" x14ac:dyDescent="0.3">
      <c r="A243"/>
      <c r="B243"/>
      <c r="C243" s="17"/>
      <c r="G243" s="17"/>
      <c r="H243" s="15"/>
    </row>
    <row r="244" spans="1:8" x14ac:dyDescent="0.3">
      <c r="A244"/>
      <c r="B244"/>
      <c r="C244" s="17"/>
      <c r="G244" s="17"/>
      <c r="H244" s="15"/>
    </row>
    <row r="245" spans="1:8" x14ac:dyDescent="0.3">
      <c r="A245"/>
      <c r="B245"/>
      <c r="C245" s="17"/>
      <c r="G245" s="17"/>
      <c r="H245" s="15"/>
    </row>
    <row r="246" spans="1:8" x14ac:dyDescent="0.3">
      <c r="A246"/>
      <c r="B246"/>
      <c r="C246" s="17"/>
      <c r="G246" s="17"/>
      <c r="H246" s="15"/>
    </row>
    <row r="247" spans="1:8" x14ac:dyDescent="0.3">
      <c r="A247"/>
      <c r="B247"/>
      <c r="C247" s="17"/>
      <c r="G247" s="17"/>
      <c r="H247" s="15"/>
    </row>
    <row r="248" spans="1:8" x14ac:dyDescent="0.3">
      <c r="A248"/>
      <c r="B248"/>
      <c r="C248" s="17"/>
      <c r="G248" s="17"/>
      <c r="H248" s="15"/>
    </row>
    <row r="249" spans="1:8" x14ac:dyDescent="0.3">
      <c r="A249"/>
      <c r="B249"/>
      <c r="C249" s="17"/>
      <c r="G249" s="17"/>
      <c r="H249" s="15"/>
    </row>
    <row r="250" spans="1:8" x14ac:dyDescent="0.3">
      <c r="A250"/>
      <c r="B250"/>
      <c r="C250" s="17"/>
      <c r="G250" s="17"/>
      <c r="H250" s="15"/>
    </row>
    <row r="251" spans="1:8" x14ac:dyDescent="0.3">
      <c r="A251"/>
      <c r="B251"/>
      <c r="C251" s="17"/>
      <c r="G251" s="17"/>
      <c r="H251" s="15"/>
    </row>
    <row r="252" spans="1:8" x14ac:dyDescent="0.3">
      <c r="A252"/>
      <c r="B252"/>
      <c r="C252" s="17"/>
      <c r="G252" s="17"/>
      <c r="H252" s="15"/>
    </row>
    <row r="253" spans="1:8" x14ac:dyDescent="0.3">
      <c r="A253"/>
      <c r="B253"/>
      <c r="C253" s="17"/>
      <c r="G253" s="17"/>
      <c r="H253" s="15"/>
    </row>
    <row r="254" spans="1:8" x14ac:dyDescent="0.3">
      <c r="A254"/>
      <c r="B254"/>
      <c r="C254" s="17"/>
      <c r="G254" s="17"/>
      <c r="H254" s="15"/>
    </row>
    <row r="255" spans="1:8" x14ac:dyDescent="0.3">
      <c r="A255"/>
      <c r="B255"/>
      <c r="C255" s="17"/>
      <c r="G255" s="17"/>
      <c r="H255" s="15"/>
    </row>
    <row r="256" spans="1:8" x14ac:dyDescent="0.3">
      <c r="A256"/>
      <c r="B256"/>
      <c r="C256" s="17"/>
      <c r="G256" s="17"/>
      <c r="H256" s="15"/>
    </row>
    <row r="257" spans="1:8" x14ac:dyDescent="0.3">
      <c r="A257"/>
      <c r="B257"/>
      <c r="C257" s="17"/>
      <c r="G257" s="17"/>
      <c r="H257" s="15"/>
    </row>
    <row r="258" spans="1:8" x14ac:dyDescent="0.3">
      <c r="A258"/>
      <c r="B258"/>
      <c r="C258" s="17"/>
      <c r="G258" s="17"/>
      <c r="H258" s="15"/>
    </row>
    <row r="259" spans="1:8" x14ac:dyDescent="0.3">
      <c r="A259"/>
      <c r="B259"/>
      <c r="C259" s="17"/>
      <c r="G259" s="17"/>
      <c r="H259" s="15"/>
    </row>
    <row r="260" spans="1:8" x14ac:dyDescent="0.3">
      <c r="A260"/>
      <c r="B260"/>
      <c r="C260" s="17"/>
      <c r="G260" s="17"/>
      <c r="H260" s="15"/>
    </row>
    <row r="261" spans="1:8" x14ac:dyDescent="0.3">
      <c r="A261"/>
      <c r="B261"/>
      <c r="C261" s="17"/>
      <c r="G261" s="17"/>
      <c r="H261" s="15"/>
    </row>
    <row r="262" spans="1:8" x14ac:dyDescent="0.3">
      <c r="A262"/>
      <c r="B262"/>
      <c r="C262" s="17"/>
      <c r="G262" s="17"/>
      <c r="H262" s="15"/>
    </row>
    <row r="263" spans="1:8" x14ac:dyDescent="0.3">
      <c r="A263"/>
      <c r="B263"/>
      <c r="C263" s="17"/>
      <c r="G263" s="17"/>
      <c r="H263" s="15"/>
    </row>
    <row r="264" spans="1:8" x14ac:dyDescent="0.3">
      <c r="A264"/>
      <c r="B264"/>
      <c r="C264" s="17"/>
      <c r="G264" s="17"/>
      <c r="H264" s="15"/>
    </row>
    <row r="265" spans="1:8" x14ac:dyDescent="0.3">
      <c r="A265"/>
      <c r="B265"/>
      <c r="C265" s="17"/>
      <c r="G265" s="17"/>
      <c r="H265" s="15"/>
    </row>
    <row r="266" spans="1:8" x14ac:dyDescent="0.3">
      <c r="A266"/>
      <c r="B266"/>
      <c r="C266" s="17"/>
      <c r="G266" s="17"/>
      <c r="H266" s="15"/>
    </row>
    <row r="267" spans="1:8" x14ac:dyDescent="0.3">
      <c r="A267"/>
      <c r="B267"/>
      <c r="C267" s="17"/>
      <c r="G267" s="17"/>
      <c r="H267" s="15"/>
    </row>
    <row r="268" spans="1:8" x14ac:dyDescent="0.3">
      <c r="A268"/>
      <c r="B268"/>
      <c r="C268" s="17"/>
      <c r="G268" s="17"/>
      <c r="H268" s="15"/>
    </row>
    <row r="269" spans="1:8" x14ac:dyDescent="0.3">
      <c r="A269"/>
      <c r="B269"/>
      <c r="C269" s="17"/>
      <c r="G269" s="17"/>
      <c r="H269" s="15"/>
    </row>
    <row r="270" spans="1:8" x14ac:dyDescent="0.3">
      <c r="A270"/>
      <c r="B270"/>
      <c r="C270" s="17"/>
      <c r="G270" s="17"/>
      <c r="H270" s="15"/>
    </row>
    <row r="271" spans="1:8" x14ac:dyDescent="0.3">
      <c r="A271"/>
      <c r="B271"/>
      <c r="C271" s="17"/>
      <c r="G271" s="17"/>
      <c r="H271" s="15"/>
    </row>
    <row r="272" spans="1:8" x14ac:dyDescent="0.3">
      <c r="A272"/>
      <c r="B272"/>
      <c r="C272" s="17"/>
      <c r="G272" s="17"/>
      <c r="H272" s="15"/>
    </row>
    <row r="273" spans="1:8" x14ac:dyDescent="0.3">
      <c r="A273"/>
      <c r="B273"/>
      <c r="C273" s="17"/>
      <c r="G273" s="17"/>
      <c r="H273" s="15"/>
    </row>
    <row r="274" spans="1:8" x14ac:dyDescent="0.3">
      <c r="A274"/>
      <c r="B274"/>
      <c r="C274" s="17"/>
      <c r="G274" s="17"/>
      <c r="H274" s="15"/>
    </row>
    <row r="275" spans="1:8" x14ac:dyDescent="0.3">
      <c r="A275"/>
      <c r="B275"/>
      <c r="C275" s="17"/>
      <c r="G275" s="17"/>
      <c r="H275" s="15"/>
    </row>
    <row r="276" spans="1:8" x14ac:dyDescent="0.3">
      <c r="A276"/>
      <c r="B276"/>
      <c r="C276" s="17"/>
      <c r="G276" s="17"/>
      <c r="H276" s="15"/>
    </row>
    <row r="277" spans="1:8" x14ac:dyDescent="0.3">
      <c r="A277"/>
      <c r="B277"/>
      <c r="C277" s="17"/>
      <c r="G277" s="17"/>
      <c r="H277" s="15"/>
    </row>
    <row r="278" spans="1:8" x14ac:dyDescent="0.3">
      <c r="A278"/>
      <c r="B278"/>
      <c r="C278" s="17"/>
      <c r="G278" s="17"/>
      <c r="H278" s="15"/>
    </row>
    <row r="279" spans="1:8" x14ac:dyDescent="0.3">
      <c r="A279"/>
      <c r="B279"/>
      <c r="C279" s="17"/>
      <c r="G279" s="17"/>
      <c r="H279" s="15"/>
    </row>
    <row r="280" spans="1:8" x14ac:dyDescent="0.3">
      <c r="A280"/>
      <c r="B280"/>
      <c r="C280" s="17"/>
      <c r="G280" s="17"/>
      <c r="H280" s="15"/>
    </row>
    <row r="281" spans="1:8" x14ac:dyDescent="0.3">
      <c r="A281"/>
      <c r="B281"/>
      <c r="C281" s="17"/>
      <c r="G281" s="17"/>
      <c r="H281" s="15"/>
    </row>
    <row r="282" spans="1:8" x14ac:dyDescent="0.3">
      <c r="A282"/>
      <c r="B282"/>
      <c r="C282" s="17"/>
      <c r="G282" s="17"/>
      <c r="H282" s="15"/>
    </row>
    <row r="283" spans="1:8" x14ac:dyDescent="0.3">
      <c r="A283"/>
      <c r="B283"/>
      <c r="C283" s="17"/>
      <c r="G283" s="17"/>
      <c r="H283" s="15"/>
    </row>
    <row r="284" spans="1:8" x14ac:dyDescent="0.3">
      <c r="A284"/>
      <c r="B284"/>
      <c r="C284" s="17"/>
      <c r="G284" s="17"/>
      <c r="H284" s="15"/>
    </row>
    <row r="285" spans="1:8" x14ac:dyDescent="0.3">
      <c r="A285"/>
      <c r="B285"/>
      <c r="C285" s="17"/>
      <c r="G285" s="17"/>
      <c r="H285" s="15"/>
    </row>
    <row r="286" spans="1:8" x14ac:dyDescent="0.3">
      <c r="A286"/>
      <c r="B286"/>
      <c r="C286" s="17"/>
      <c r="G286" s="17"/>
      <c r="H286" s="15"/>
    </row>
    <row r="287" spans="1:8" x14ac:dyDescent="0.3">
      <c r="A287"/>
      <c r="B287"/>
      <c r="C287" s="17"/>
      <c r="G287" s="17"/>
      <c r="H287" s="15"/>
    </row>
    <row r="288" spans="1:8" x14ac:dyDescent="0.3">
      <c r="A288"/>
      <c r="B288"/>
      <c r="C288" s="17"/>
      <c r="G288" s="17"/>
      <c r="H288" s="15"/>
    </row>
    <row r="289" spans="1:8" x14ac:dyDescent="0.3">
      <c r="A289"/>
      <c r="B289"/>
      <c r="C289" s="17"/>
      <c r="G289" s="17"/>
      <c r="H289" s="15"/>
    </row>
    <row r="290" spans="1:8" x14ac:dyDescent="0.3">
      <c r="A290"/>
      <c r="B290"/>
      <c r="C290" s="17"/>
      <c r="G290" s="17"/>
      <c r="H290" s="15"/>
    </row>
    <row r="291" spans="1:8" x14ac:dyDescent="0.3">
      <c r="A291"/>
      <c r="B291"/>
      <c r="C291" s="17"/>
      <c r="G291" s="17"/>
      <c r="H291" s="15"/>
    </row>
    <row r="292" spans="1:8" x14ac:dyDescent="0.3">
      <c r="A292"/>
      <c r="B292"/>
      <c r="C292" s="17"/>
      <c r="G292" s="17"/>
      <c r="H292" s="15"/>
    </row>
    <row r="293" spans="1:8" x14ac:dyDescent="0.3">
      <c r="A293"/>
      <c r="B293"/>
      <c r="C293" s="17"/>
      <c r="G293" s="17"/>
      <c r="H293" s="15"/>
    </row>
    <row r="294" spans="1:8" x14ac:dyDescent="0.3">
      <c r="A294"/>
      <c r="B294"/>
      <c r="C294" s="17"/>
      <c r="G294" s="17"/>
      <c r="H294" s="15"/>
    </row>
    <row r="295" spans="1:8" x14ac:dyDescent="0.3">
      <c r="A295"/>
      <c r="B295"/>
      <c r="C295" s="17"/>
      <c r="G295" s="17"/>
      <c r="H295" s="15"/>
    </row>
    <row r="296" spans="1:8" x14ac:dyDescent="0.3">
      <c r="A296"/>
      <c r="B296"/>
      <c r="C296" s="17"/>
      <c r="G296" s="17"/>
      <c r="H296" s="15"/>
    </row>
    <row r="297" spans="1:8" x14ac:dyDescent="0.3">
      <c r="A297"/>
      <c r="B297"/>
      <c r="C297" s="17"/>
      <c r="G297" s="17"/>
      <c r="H297" s="15"/>
    </row>
    <row r="298" spans="1:8" x14ac:dyDescent="0.3">
      <c r="A298"/>
      <c r="B298"/>
      <c r="C298" s="17"/>
      <c r="G298" s="17"/>
      <c r="H298" s="15"/>
    </row>
    <row r="299" spans="1:8" x14ac:dyDescent="0.3">
      <c r="A299"/>
      <c r="B299"/>
      <c r="C299" s="17"/>
      <c r="G299" s="17"/>
      <c r="H299" s="15"/>
    </row>
    <row r="300" spans="1:8" x14ac:dyDescent="0.3">
      <c r="A300"/>
      <c r="B300"/>
      <c r="C300" s="17"/>
      <c r="G300" s="17"/>
      <c r="H300" s="15"/>
    </row>
    <row r="301" spans="1:8" x14ac:dyDescent="0.3">
      <c r="A301"/>
      <c r="B301"/>
      <c r="C301" s="17"/>
      <c r="G301" s="17"/>
      <c r="H301" s="15"/>
    </row>
    <row r="302" spans="1:8" x14ac:dyDescent="0.3">
      <c r="A302"/>
      <c r="B302"/>
      <c r="C302" s="17"/>
      <c r="G302" s="17"/>
      <c r="H302" s="15"/>
    </row>
    <row r="303" spans="1:8" x14ac:dyDescent="0.3">
      <c r="A303"/>
      <c r="B303"/>
      <c r="C303" s="17"/>
      <c r="G303" s="17"/>
      <c r="H303" s="15"/>
    </row>
    <row r="304" spans="1:8" x14ac:dyDescent="0.3">
      <c r="A304"/>
      <c r="B304"/>
      <c r="C304" s="17"/>
      <c r="G304" s="17"/>
      <c r="H304" s="15"/>
    </row>
    <row r="305" spans="1:8" x14ac:dyDescent="0.3">
      <c r="A305"/>
      <c r="B305"/>
      <c r="C305" s="17"/>
      <c r="G305" s="17"/>
      <c r="H305" s="15"/>
    </row>
    <row r="306" spans="1:8" x14ac:dyDescent="0.3">
      <c r="A306"/>
      <c r="B306"/>
      <c r="C306" s="17"/>
      <c r="G306" s="17"/>
      <c r="H306" s="15"/>
    </row>
    <row r="307" spans="1:8" x14ac:dyDescent="0.3">
      <c r="A307"/>
      <c r="B307"/>
      <c r="C307" s="17"/>
      <c r="G307" s="17"/>
      <c r="H307" s="15"/>
    </row>
    <row r="308" spans="1:8" x14ac:dyDescent="0.3">
      <c r="A308"/>
      <c r="B308"/>
      <c r="C308" s="17"/>
      <c r="G308" s="17"/>
      <c r="H308" s="15"/>
    </row>
    <row r="309" spans="1:8" x14ac:dyDescent="0.3">
      <c r="A309"/>
      <c r="B309"/>
      <c r="C309" s="17"/>
      <c r="G309" s="17"/>
      <c r="H309" s="15"/>
    </row>
    <row r="310" spans="1:8" x14ac:dyDescent="0.3">
      <c r="A310"/>
      <c r="B310"/>
      <c r="C310" s="17"/>
      <c r="G310" s="17"/>
      <c r="H310" s="15"/>
    </row>
    <row r="311" spans="1:8" x14ac:dyDescent="0.3">
      <c r="A311"/>
      <c r="B311"/>
      <c r="C311" s="17"/>
      <c r="G311" s="17"/>
      <c r="H311" s="15"/>
    </row>
    <row r="312" spans="1:8" x14ac:dyDescent="0.3">
      <c r="A312"/>
      <c r="B312"/>
      <c r="C312" s="17"/>
      <c r="G312" s="17"/>
      <c r="H312" s="15"/>
    </row>
    <row r="313" spans="1:8" x14ac:dyDescent="0.3">
      <c r="A313"/>
      <c r="B313"/>
      <c r="C313" s="17"/>
      <c r="G313" s="17"/>
      <c r="H313" s="15"/>
    </row>
    <row r="314" spans="1:8" x14ac:dyDescent="0.3">
      <c r="A314"/>
      <c r="B314"/>
      <c r="C314" s="17"/>
      <c r="G314" s="17"/>
      <c r="H314" s="15"/>
    </row>
    <row r="315" spans="1:8" x14ac:dyDescent="0.3">
      <c r="A315"/>
      <c r="B315"/>
      <c r="C315" s="17"/>
      <c r="G315" s="17"/>
      <c r="H315" s="15"/>
    </row>
    <row r="316" spans="1:8" x14ac:dyDescent="0.3">
      <c r="A316"/>
      <c r="B316"/>
      <c r="C316" s="17"/>
      <c r="G316" s="17"/>
      <c r="H316" s="15"/>
    </row>
    <row r="317" spans="1:8" x14ac:dyDescent="0.3">
      <c r="A317"/>
      <c r="B317"/>
      <c r="C317" s="17"/>
      <c r="G317" s="17"/>
      <c r="H317" s="15"/>
    </row>
    <row r="318" spans="1:8" x14ac:dyDescent="0.3">
      <c r="A318"/>
      <c r="B318"/>
      <c r="C318" s="17"/>
      <c r="G318" s="17"/>
      <c r="H318" s="15"/>
    </row>
    <row r="319" spans="1:8" x14ac:dyDescent="0.3">
      <c r="A319"/>
      <c r="B319"/>
      <c r="C319" s="17"/>
      <c r="G319" s="17"/>
      <c r="H319" s="15"/>
    </row>
    <row r="320" spans="1:8" x14ac:dyDescent="0.3">
      <c r="A320"/>
      <c r="B320"/>
      <c r="C320" s="17"/>
      <c r="G320" s="17"/>
      <c r="H320" s="15"/>
    </row>
    <row r="321" spans="1:8" x14ac:dyDescent="0.3">
      <c r="A321"/>
      <c r="B321"/>
      <c r="C321" s="17"/>
      <c r="G321" s="17"/>
      <c r="H321" s="15"/>
    </row>
    <row r="322" spans="1:8" x14ac:dyDescent="0.3">
      <c r="A322"/>
      <c r="B322"/>
      <c r="C322" s="17"/>
      <c r="G322" s="17"/>
      <c r="H322" s="15"/>
    </row>
    <row r="323" spans="1:8" x14ac:dyDescent="0.3">
      <c r="A323"/>
      <c r="B323"/>
      <c r="C323" s="17"/>
      <c r="G323" s="17"/>
      <c r="H323" s="15"/>
    </row>
    <row r="324" spans="1:8" x14ac:dyDescent="0.3">
      <c r="A324"/>
      <c r="B324"/>
      <c r="C324" s="17"/>
      <c r="G324" s="17"/>
      <c r="H324" s="15"/>
    </row>
    <row r="325" spans="1:8" x14ac:dyDescent="0.3">
      <c r="A325"/>
      <c r="B325"/>
      <c r="C325" s="17"/>
      <c r="G325" s="17"/>
      <c r="H325" s="15"/>
    </row>
    <row r="326" spans="1:8" x14ac:dyDescent="0.3">
      <c r="A326"/>
      <c r="B326"/>
      <c r="C326" s="17"/>
      <c r="G326" s="17"/>
      <c r="H326" s="15"/>
    </row>
    <row r="327" spans="1:8" x14ac:dyDescent="0.3">
      <c r="A327"/>
      <c r="B327"/>
      <c r="C327" s="17"/>
      <c r="G327" s="17"/>
      <c r="H327" s="15"/>
    </row>
    <row r="328" spans="1:8" x14ac:dyDescent="0.3">
      <c r="A328"/>
      <c r="B328"/>
      <c r="C328" s="17"/>
      <c r="G328" s="17"/>
      <c r="H328" s="15"/>
    </row>
    <row r="329" spans="1:8" x14ac:dyDescent="0.3">
      <c r="A329"/>
      <c r="B329"/>
      <c r="C329" s="17"/>
      <c r="G329" s="17"/>
      <c r="H329" s="15"/>
    </row>
    <row r="330" spans="1:8" x14ac:dyDescent="0.3">
      <c r="A330"/>
      <c r="B330"/>
      <c r="C330" s="17"/>
      <c r="G330" s="17"/>
      <c r="H330" s="15"/>
    </row>
    <row r="331" spans="1:8" x14ac:dyDescent="0.3">
      <c r="A331"/>
      <c r="B331"/>
      <c r="C331" s="17"/>
      <c r="G331" s="17"/>
      <c r="H331" s="15"/>
    </row>
    <row r="332" spans="1:8" x14ac:dyDescent="0.3">
      <c r="A332"/>
      <c r="B332"/>
      <c r="C332" s="17"/>
      <c r="G332" s="17"/>
      <c r="H332" s="15"/>
    </row>
    <row r="333" spans="1:8" x14ac:dyDescent="0.3">
      <c r="A333"/>
      <c r="B333"/>
      <c r="C333" s="17"/>
      <c r="G333" s="17"/>
      <c r="H333" s="15"/>
    </row>
    <row r="334" spans="1:8" x14ac:dyDescent="0.3">
      <c r="A334"/>
      <c r="B334"/>
      <c r="C334" s="17"/>
      <c r="G334" s="17"/>
      <c r="H334" s="15"/>
    </row>
    <row r="335" spans="1:8" x14ac:dyDescent="0.3">
      <c r="A335"/>
      <c r="B335"/>
      <c r="C335" s="17"/>
      <c r="G335" s="17"/>
      <c r="H335" s="15"/>
    </row>
    <row r="336" spans="1:8" x14ac:dyDescent="0.3">
      <c r="A336"/>
      <c r="B336"/>
      <c r="C336" s="17"/>
      <c r="G336" s="17"/>
      <c r="H336" s="15"/>
    </row>
    <row r="337" spans="1:8" x14ac:dyDescent="0.3">
      <c r="A337"/>
      <c r="B337"/>
      <c r="C337" s="17"/>
      <c r="G337" s="17"/>
      <c r="H337" s="15"/>
    </row>
    <row r="338" spans="1:8" x14ac:dyDescent="0.3">
      <c r="A338"/>
      <c r="B338"/>
      <c r="C338" s="17"/>
      <c r="G338" s="17"/>
      <c r="H338" s="15"/>
    </row>
    <row r="339" spans="1:8" x14ac:dyDescent="0.3">
      <c r="A339"/>
      <c r="B339"/>
      <c r="C339" s="17"/>
      <c r="G339" s="17"/>
      <c r="H339" s="15"/>
    </row>
    <row r="340" spans="1:8" x14ac:dyDescent="0.3">
      <c r="A340"/>
      <c r="B340"/>
      <c r="C340" s="17"/>
      <c r="G340" s="17"/>
      <c r="H340" s="15"/>
    </row>
    <row r="341" spans="1:8" x14ac:dyDescent="0.3">
      <c r="A341"/>
      <c r="B341"/>
      <c r="C341" s="17"/>
      <c r="G341" s="17"/>
      <c r="H341" s="1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EFE2-C827-4AED-B846-990057206F1A}">
  <dimension ref="B2:R16"/>
  <sheetViews>
    <sheetView zoomScale="96" workbookViewId="0">
      <selection activeCell="H12" sqref="H12"/>
    </sheetView>
  </sheetViews>
  <sheetFormatPr defaultColWidth="27.8984375" defaultRowHeight="15.6" x14ac:dyDescent="0.3"/>
  <cols>
    <col min="1" max="1" width="6.59765625" customWidth="1"/>
    <col min="2" max="2" width="23.59765625" bestFit="1" customWidth="1"/>
    <col min="3" max="14" width="8.8984375" customWidth="1"/>
    <col min="15" max="15" width="9.09765625" customWidth="1"/>
    <col min="16" max="16" width="9.3984375" customWidth="1"/>
    <col min="17" max="17" width="12.8984375" customWidth="1"/>
    <col min="18" max="18" width="11.3984375" customWidth="1"/>
  </cols>
  <sheetData>
    <row r="2" spans="2:18" x14ac:dyDescent="0.3">
      <c r="B2" s="20" t="s">
        <v>174</v>
      </c>
      <c r="C2" s="20" t="s">
        <v>175</v>
      </c>
      <c r="D2" s="20" t="s">
        <v>176</v>
      </c>
      <c r="E2" s="20" t="s">
        <v>177</v>
      </c>
      <c r="F2" s="20" t="s">
        <v>178</v>
      </c>
      <c r="G2" s="20" t="s">
        <v>179</v>
      </c>
      <c r="H2" s="20" t="s">
        <v>180</v>
      </c>
      <c r="I2" s="20" t="s">
        <v>181</v>
      </c>
      <c r="J2" s="20" t="s">
        <v>182</v>
      </c>
      <c r="K2" s="20" t="s">
        <v>183</v>
      </c>
      <c r="L2" s="20" t="s">
        <v>184</v>
      </c>
      <c r="M2" s="20" t="s">
        <v>185</v>
      </c>
      <c r="N2" s="20" t="s">
        <v>186</v>
      </c>
      <c r="O2" s="20" t="s">
        <v>173</v>
      </c>
      <c r="P2" s="20" t="s">
        <v>187</v>
      </c>
      <c r="Q2" s="20" t="s">
        <v>188</v>
      </c>
      <c r="R2" s="29" t="s">
        <v>6</v>
      </c>
    </row>
    <row r="3" spans="2:18" x14ac:dyDescent="0.3">
      <c r="B3" s="21" t="s">
        <v>189</v>
      </c>
      <c r="C3" s="22">
        <v>133</v>
      </c>
      <c r="D3" s="23">
        <v>133</v>
      </c>
      <c r="E3" s="23">
        <v>133</v>
      </c>
      <c r="F3" s="23">
        <v>133</v>
      </c>
      <c r="G3" s="23">
        <v>133</v>
      </c>
      <c r="H3" s="23">
        <v>0</v>
      </c>
      <c r="I3" s="23">
        <v>0</v>
      </c>
      <c r="J3" s="23">
        <v>0</v>
      </c>
      <c r="K3" s="23">
        <v>0</v>
      </c>
      <c r="L3" s="23">
        <v>0</v>
      </c>
      <c r="M3" s="23">
        <v>0</v>
      </c>
      <c r="N3" s="23">
        <v>0</v>
      </c>
      <c r="O3" s="23">
        <f>SUM(C3:N3)</f>
        <v>665</v>
      </c>
      <c r="P3" s="23">
        <v>931</v>
      </c>
      <c r="Q3" s="24">
        <v>0</v>
      </c>
      <c r="R3" s="24"/>
    </row>
    <row r="4" spans="2:18" x14ac:dyDescent="0.3">
      <c r="B4" s="25" t="s">
        <v>190</v>
      </c>
      <c r="C4" s="26">
        <v>2000</v>
      </c>
      <c r="D4" s="27">
        <v>2000</v>
      </c>
      <c r="E4" s="27">
        <v>2000</v>
      </c>
      <c r="F4" s="27">
        <v>900</v>
      </c>
      <c r="G4" s="27">
        <v>1200</v>
      </c>
      <c r="H4" s="27">
        <v>1500</v>
      </c>
      <c r="I4" s="27">
        <v>0</v>
      </c>
      <c r="J4" s="27">
        <v>300</v>
      </c>
      <c r="K4" s="27">
        <v>300</v>
      </c>
      <c r="L4" s="27">
        <v>300</v>
      </c>
      <c r="M4" s="27">
        <v>300</v>
      </c>
      <c r="N4" s="27">
        <v>300</v>
      </c>
      <c r="O4" s="27">
        <f t="shared" ref="O4:O16" si="0">SUM(C4:N4)</f>
        <v>11100</v>
      </c>
      <c r="P4" s="27">
        <f>5300-1500</f>
        <v>3800</v>
      </c>
      <c r="Q4" s="28">
        <v>0</v>
      </c>
      <c r="R4" s="28">
        <v>37.869999999999997</v>
      </c>
    </row>
    <row r="5" spans="2:18" x14ac:dyDescent="0.3">
      <c r="B5" s="21" t="s">
        <v>191</v>
      </c>
      <c r="C5" s="22">
        <v>1050</v>
      </c>
      <c r="D5" s="23">
        <v>1050</v>
      </c>
      <c r="E5" s="23">
        <v>1050</v>
      </c>
      <c r="F5" s="23">
        <v>1050</v>
      </c>
      <c r="G5" s="23">
        <v>1050</v>
      </c>
      <c r="H5" s="23">
        <v>1050</v>
      </c>
      <c r="I5" s="23">
        <v>1050</v>
      </c>
      <c r="J5" s="23">
        <v>1050</v>
      </c>
      <c r="K5" s="23">
        <v>1050</v>
      </c>
      <c r="L5" s="23">
        <v>1050</v>
      </c>
      <c r="M5" s="23">
        <v>1050</v>
      </c>
      <c r="N5" s="23">
        <v>1050</v>
      </c>
      <c r="O5" s="23">
        <f t="shared" si="0"/>
        <v>12600</v>
      </c>
      <c r="P5" s="23">
        <v>0</v>
      </c>
      <c r="Q5" s="23">
        <v>0</v>
      </c>
      <c r="R5" s="24">
        <f>O5/1240</f>
        <v>10.161290322580646</v>
      </c>
    </row>
    <row r="6" spans="2:18" x14ac:dyDescent="0.3">
      <c r="B6" s="25" t="s">
        <v>192</v>
      </c>
      <c r="C6" s="26">
        <v>930</v>
      </c>
      <c r="D6" s="27">
        <v>1000</v>
      </c>
      <c r="E6" s="27">
        <v>930</v>
      </c>
      <c r="F6" s="27">
        <v>500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f t="shared" si="0"/>
        <v>3360</v>
      </c>
      <c r="P6" s="27">
        <v>4250</v>
      </c>
      <c r="Q6" s="28">
        <v>0</v>
      </c>
      <c r="R6" s="28">
        <f>P6/95</f>
        <v>44.736842105263158</v>
      </c>
    </row>
    <row r="7" spans="2:18" x14ac:dyDescent="0.3">
      <c r="B7" s="21" t="s">
        <v>193</v>
      </c>
      <c r="C7" s="22">
        <v>313</v>
      </c>
      <c r="D7" s="23">
        <v>312.5</v>
      </c>
      <c r="E7" s="23">
        <v>312.5</v>
      </c>
      <c r="F7" s="23">
        <v>312.5</v>
      </c>
      <c r="G7" s="23">
        <v>312.5</v>
      </c>
      <c r="H7" s="23">
        <v>312.5</v>
      </c>
      <c r="I7" s="23">
        <v>312.5</v>
      </c>
      <c r="J7" s="23">
        <v>312.5</v>
      </c>
      <c r="K7" s="23">
        <v>312.5</v>
      </c>
      <c r="L7" s="23">
        <v>312.5</v>
      </c>
      <c r="M7" s="23">
        <v>312.5</v>
      </c>
      <c r="N7" s="23">
        <v>312.5</v>
      </c>
      <c r="O7" s="23">
        <f t="shared" si="0"/>
        <v>3750.5</v>
      </c>
      <c r="P7" s="23">
        <v>0</v>
      </c>
      <c r="Q7" s="24">
        <v>0</v>
      </c>
      <c r="R7" s="24"/>
    </row>
    <row r="8" spans="2:18" x14ac:dyDescent="0.3">
      <c r="B8" s="25" t="s">
        <v>194</v>
      </c>
      <c r="C8" s="26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f t="shared" si="0"/>
        <v>0</v>
      </c>
      <c r="P8" s="27">
        <v>0</v>
      </c>
      <c r="Q8" s="28" t="s">
        <v>195</v>
      </c>
      <c r="R8" s="28"/>
    </row>
    <row r="9" spans="2:18" x14ac:dyDescent="0.3">
      <c r="B9" s="21" t="s">
        <v>196</v>
      </c>
      <c r="C9" s="22">
        <v>1150</v>
      </c>
      <c r="D9" s="23">
        <v>600</v>
      </c>
      <c r="E9" s="23">
        <v>600</v>
      </c>
      <c r="F9" s="23">
        <v>300</v>
      </c>
      <c r="G9" s="23">
        <v>250</v>
      </c>
      <c r="H9" s="23">
        <v>600</v>
      </c>
      <c r="I9" s="23">
        <v>250</v>
      </c>
      <c r="J9" s="23">
        <v>300</v>
      </c>
      <c r="K9" s="23">
        <v>300</v>
      </c>
      <c r="L9" s="23">
        <v>300</v>
      </c>
      <c r="M9" s="23">
        <v>200</v>
      </c>
      <c r="N9" s="23">
        <v>200</v>
      </c>
      <c r="O9" s="23">
        <f t="shared" si="0"/>
        <v>5050</v>
      </c>
      <c r="P9" s="23">
        <v>0</v>
      </c>
      <c r="Q9" s="24" t="s">
        <v>195</v>
      </c>
      <c r="R9" s="24"/>
    </row>
    <row r="10" spans="2:18" x14ac:dyDescent="0.3">
      <c r="B10" s="25" t="s">
        <v>197</v>
      </c>
      <c r="C10" s="26">
        <v>880</v>
      </c>
      <c r="D10" s="27">
        <v>600</v>
      </c>
      <c r="E10" s="27">
        <v>600</v>
      </c>
      <c r="F10" s="27">
        <v>290</v>
      </c>
      <c r="G10" s="27">
        <v>250</v>
      </c>
      <c r="H10" s="27">
        <v>600</v>
      </c>
      <c r="I10" s="27">
        <v>250</v>
      </c>
      <c r="J10" s="27">
        <v>290</v>
      </c>
      <c r="K10" s="27">
        <v>290</v>
      </c>
      <c r="L10" s="27">
        <v>290</v>
      </c>
      <c r="M10" s="27">
        <v>200</v>
      </c>
      <c r="N10" s="27">
        <v>200</v>
      </c>
      <c r="O10" s="27">
        <f t="shared" si="0"/>
        <v>4740</v>
      </c>
      <c r="P10" s="27">
        <v>0</v>
      </c>
      <c r="Q10" s="28" t="s">
        <v>195</v>
      </c>
      <c r="R10" s="28"/>
    </row>
    <row r="11" spans="2:18" x14ac:dyDescent="0.3">
      <c r="B11" s="21" t="s">
        <v>198</v>
      </c>
      <c r="C11" s="22">
        <v>113.39</v>
      </c>
      <c r="D11" s="23">
        <v>550</v>
      </c>
      <c r="E11" s="23">
        <v>550</v>
      </c>
      <c r="F11" s="23">
        <v>200</v>
      </c>
      <c r="G11" s="23">
        <v>200</v>
      </c>
      <c r="H11" s="23">
        <v>550</v>
      </c>
      <c r="I11" s="23">
        <v>150</v>
      </c>
      <c r="J11" s="23">
        <v>200</v>
      </c>
      <c r="K11" s="23">
        <v>200</v>
      </c>
      <c r="L11" s="23">
        <v>200</v>
      </c>
      <c r="M11" s="23">
        <v>100</v>
      </c>
      <c r="N11" s="23">
        <v>100</v>
      </c>
      <c r="O11" s="23">
        <f t="shared" si="0"/>
        <v>3113.39</v>
      </c>
      <c r="P11" s="23">
        <v>0</v>
      </c>
      <c r="Q11" s="24" t="s">
        <v>195</v>
      </c>
      <c r="R11" s="24"/>
    </row>
    <row r="12" spans="2:18" x14ac:dyDescent="0.3">
      <c r="B12" s="25" t="s">
        <v>199</v>
      </c>
      <c r="C12" s="26">
        <v>0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f t="shared" si="0"/>
        <v>0</v>
      </c>
      <c r="P12" s="26">
        <v>0</v>
      </c>
      <c r="Q12" s="25" t="s">
        <v>195</v>
      </c>
      <c r="R12" s="25"/>
    </row>
    <row r="13" spans="2:18" x14ac:dyDescent="0.3">
      <c r="B13" s="21" t="s">
        <v>200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f t="shared" si="0"/>
        <v>0</v>
      </c>
      <c r="P13" s="22">
        <v>0</v>
      </c>
      <c r="Q13" s="21" t="s">
        <v>195</v>
      </c>
      <c r="R13" s="21"/>
    </row>
    <row r="14" spans="2:18" x14ac:dyDescent="0.3">
      <c r="B14" s="25" t="s">
        <v>201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f t="shared" si="0"/>
        <v>0</v>
      </c>
      <c r="P14" s="26">
        <v>0</v>
      </c>
      <c r="Q14" s="25" t="s">
        <v>195</v>
      </c>
      <c r="R14" s="25"/>
    </row>
    <row r="15" spans="2:18" x14ac:dyDescent="0.3">
      <c r="B15" s="21" t="s">
        <v>202</v>
      </c>
      <c r="C15" s="22">
        <v>794</v>
      </c>
      <c r="D15" s="22">
        <v>500</v>
      </c>
      <c r="E15" s="23">
        <v>800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f t="shared" si="0"/>
        <v>2094</v>
      </c>
      <c r="P15" s="23">
        <v>4050</v>
      </c>
      <c r="Q15" s="24">
        <v>0</v>
      </c>
      <c r="R15" s="24"/>
    </row>
    <row r="16" spans="2:18" x14ac:dyDescent="0.3">
      <c r="B16" s="25" t="s">
        <v>173</v>
      </c>
      <c r="C16" s="28">
        <f>SUM(C3:C15)</f>
        <v>7363.39</v>
      </c>
      <c r="D16" s="28">
        <f t="shared" ref="D16:N16" si="1">SUM(D3:D15)</f>
        <v>6745.5</v>
      </c>
      <c r="E16" s="28">
        <f t="shared" si="1"/>
        <v>6975.5</v>
      </c>
      <c r="F16" s="28">
        <f t="shared" si="1"/>
        <v>3685.5</v>
      </c>
      <c r="G16" s="28">
        <f t="shared" si="1"/>
        <v>3395.5</v>
      </c>
      <c r="H16" s="28">
        <f t="shared" si="1"/>
        <v>4612.5</v>
      </c>
      <c r="I16" s="28">
        <f t="shared" si="1"/>
        <v>2012.5</v>
      </c>
      <c r="J16" s="28">
        <f t="shared" si="1"/>
        <v>2452.5</v>
      </c>
      <c r="K16" s="28">
        <f t="shared" si="1"/>
        <v>2452.5</v>
      </c>
      <c r="L16" s="28">
        <f t="shared" si="1"/>
        <v>2452.5</v>
      </c>
      <c r="M16" s="28">
        <f t="shared" si="1"/>
        <v>2162.5</v>
      </c>
      <c r="N16" s="28">
        <f t="shared" si="1"/>
        <v>2162.5</v>
      </c>
      <c r="O16" s="28">
        <f t="shared" si="0"/>
        <v>46472.89</v>
      </c>
      <c r="P16" s="28">
        <f>SUM(P3:P15)</f>
        <v>13031</v>
      </c>
      <c r="Q16" s="28">
        <f>SUM(Q3:Q15)</f>
        <v>0</v>
      </c>
      <c r="R16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2"/>
  <sheetViews>
    <sheetView tabSelected="1" zoomScale="72" zoomScaleNormal="85" workbookViewId="0">
      <selection activeCell="G15" sqref="G15"/>
    </sheetView>
  </sheetViews>
  <sheetFormatPr defaultRowHeight="15.6" x14ac:dyDescent="0.3"/>
  <cols>
    <col min="1" max="1" width="60" bestFit="1" customWidth="1"/>
    <col min="2" max="2" width="22.09765625" bestFit="1" customWidth="1"/>
    <col min="3" max="3" width="23.69921875" customWidth="1"/>
    <col min="4" max="4" width="28.3984375" customWidth="1"/>
    <col min="5" max="5" width="19.5" customWidth="1"/>
    <col min="6" max="6" width="29.59765625" customWidth="1"/>
    <col min="7" max="7" width="39" customWidth="1"/>
    <col min="8" max="8" width="13.69921875" style="3" customWidth="1"/>
    <col min="9" max="9" width="27.5" style="3" customWidth="1"/>
    <col min="10" max="10" width="15.5" customWidth="1"/>
  </cols>
  <sheetData>
    <row r="1" spans="1:10" x14ac:dyDescent="0.3">
      <c r="A1" t="s">
        <v>528</v>
      </c>
      <c r="B1" t="s">
        <v>507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  <c r="H1" s="3" t="s">
        <v>526</v>
      </c>
      <c r="I1" s="3" t="s">
        <v>508</v>
      </c>
      <c r="J1" s="3" t="s">
        <v>527</v>
      </c>
    </row>
    <row r="2" spans="1:10" x14ac:dyDescent="0.3">
      <c r="A2" t="s">
        <v>27</v>
      </c>
      <c r="B2" t="s">
        <v>223</v>
      </c>
      <c r="C2">
        <v>11459</v>
      </c>
      <c r="D2" s="1">
        <v>7.1599999999999997E-2</v>
      </c>
      <c r="E2">
        <v>821</v>
      </c>
      <c r="F2">
        <v>14</v>
      </c>
      <c r="G2" s="2">
        <v>1.7100000000000001E-2</v>
      </c>
      <c r="H2" s="3">
        <v>0.19</v>
      </c>
      <c r="I2" s="3">
        <v>10.98</v>
      </c>
      <c r="J2" s="3">
        <v>153.65</v>
      </c>
    </row>
    <row r="3" spans="1:10" x14ac:dyDescent="0.3">
      <c r="A3" t="s">
        <v>27</v>
      </c>
      <c r="B3" t="s">
        <v>223</v>
      </c>
      <c r="C3">
        <v>5688</v>
      </c>
      <c r="D3" s="1">
        <v>8.2799999999999999E-2</v>
      </c>
      <c r="E3">
        <v>471</v>
      </c>
      <c r="F3">
        <v>6</v>
      </c>
      <c r="G3" s="2">
        <v>1.2699999999999999E-2</v>
      </c>
      <c r="H3" s="3">
        <v>0.09</v>
      </c>
      <c r="I3" s="3">
        <v>7.32</v>
      </c>
      <c r="J3" s="3">
        <v>43.93</v>
      </c>
    </row>
    <row r="4" spans="1:10" x14ac:dyDescent="0.3">
      <c r="A4" t="s">
        <v>260</v>
      </c>
      <c r="B4" t="s">
        <v>215</v>
      </c>
      <c r="C4">
        <v>5025</v>
      </c>
      <c r="D4" s="1">
        <v>0.10349999999999999</v>
      </c>
      <c r="E4">
        <v>520</v>
      </c>
      <c r="F4">
        <v>71</v>
      </c>
      <c r="G4" s="2">
        <v>0.13650000000000001</v>
      </c>
      <c r="H4" s="3">
        <v>0.33</v>
      </c>
      <c r="I4" s="3">
        <v>2.42</v>
      </c>
      <c r="J4" s="3">
        <v>172.02</v>
      </c>
    </row>
    <row r="5" spans="1:10" x14ac:dyDescent="0.3">
      <c r="A5" t="s">
        <v>10</v>
      </c>
      <c r="B5" t="s">
        <v>221</v>
      </c>
      <c r="C5">
        <v>4602</v>
      </c>
      <c r="D5" s="1">
        <v>0.12210000000000001</v>
      </c>
      <c r="E5">
        <v>562</v>
      </c>
      <c r="F5">
        <v>72</v>
      </c>
      <c r="G5" s="2">
        <v>0.12809999999999999</v>
      </c>
      <c r="H5" s="3">
        <v>0.32</v>
      </c>
      <c r="I5" s="3">
        <v>2.4900000000000002</v>
      </c>
      <c r="J5" s="3">
        <v>179.12</v>
      </c>
    </row>
    <row r="6" spans="1:10" x14ac:dyDescent="0.3">
      <c r="A6" t="s">
        <v>20</v>
      </c>
      <c r="B6" t="s">
        <v>228</v>
      </c>
      <c r="C6">
        <v>4290</v>
      </c>
      <c r="D6" s="1">
        <v>9.8800000000000013E-2</v>
      </c>
      <c r="E6">
        <v>424</v>
      </c>
      <c r="F6">
        <v>20</v>
      </c>
      <c r="G6" s="2">
        <v>4.7199999999999999E-2</v>
      </c>
      <c r="H6" s="3">
        <v>0.41</v>
      </c>
      <c r="I6" s="3">
        <v>8.73</v>
      </c>
      <c r="J6" s="3">
        <v>174.64</v>
      </c>
    </row>
    <row r="7" spans="1:10" x14ac:dyDescent="0.3">
      <c r="A7" t="s">
        <v>27</v>
      </c>
      <c r="B7" t="s">
        <v>223</v>
      </c>
      <c r="C7">
        <v>4163</v>
      </c>
      <c r="D7" s="1">
        <v>9.5600000000000004E-2</v>
      </c>
      <c r="E7">
        <v>398</v>
      </c>
      <c r="F7">
        <v>11</v>
      </c>
      <c r="G7" s="2">
        <v>2.76E-2</v>
      </c>
      <c r="H7" s="3">
        <v>0.44</v>
      </c>
      <c r="I7" s="3">
        <v>15.94</v>
      </c>
      <c r="J7" s="3">
        <v>175.33</v>
      </c>
    </row>
    <row r="8" spans="1:10" x14ac:dyDescent="0.3">
      <c r="A8" t="s">
        <v>358</v>
      </c>
      <c r="B8" t="s">
        <v>359</v>
      </c>
      <c r="C8">
        <v>4078</v>
      </c>
      <c r="D8" s="1">
        <v>6.4500000000000002E-2</v>
      </c>
      <c r="E8">
        <v>263</v>
      </c>
      <c r="F8">
        <v>15</v>
      </c>
      <c r="G8" s="2">
        <v>5.7000000000000002E-2</v>
      </c>
      <c r="H8" s="3">
        <v>0.28999999999999998</v>
      </c>
      <c r="I8" s="3">
        <v>5.08</v>
      </c>
      <c r="J8" s="3">
        <v>76.260000000000005</v>
      </c>
    </row>
    <row r="9" spans="1:10" x14ac:dyDescent="0.3">
      <c r="A9" t="s">
        <v>8</v>
      </c>
      <c r="B9" t="s">
        <v>233</v>
      </c>
      <c r="C9">
        <v>3928</v>
      </c>
      <c r="D9" s="1">
        <v>9.5700000000000007E-2</v>
      </c>
      <c r="E9">
        <v>376</v>
      </c>
      <c r="F9">
        <v>19</v>
      </c>
      <c r="G9" s="2">
        <v>5.0499999999999996E-2</v>
      </c>
      <c r="H9" s="3">
        <v>0.44</v>
      </c>
      <c r="I9" s="3">
        <v>8.74</v>
      </c>
      <c r="J9" s="3">
        <v>166.11</v>
      </c>
    </row>
    <row r="10" spans="1:10" x14ac:dyDescent="0.3">
      <c r="A10" t="s">
        <v>14</v>
      </c>
      <c r="B10" t="s">
        <v>233</v>
      </c>
      <c r="C10">
        <v>3463</v>
      </c>
      <c r="D10" s="1">
        <v>0.106</v>
      </c>
      <c r="E10">
        <v>367</v>
      </c>
      <c r="F10">
        <v>48</v>
      </c>
      <c r="G10" s="2">
        <v>0.1308</v>
      </c>
      <c r="H10" s="3">
        <v>0.28000000000000003</v>
      </c>
      <c r="I10" s="3">
        <v>2.13</v>
      </c>
      <c r="J10" s="3">
        <v>102.36</v>
      </c>
    </row>
    <row r="11" spans="1:10" x14ac:dyDescent="0.3">
      <c r="A11" t="s">
        <v>95</v>
      </c>
      <c r="B11" t="s">
        <v>268</v>
      </c>
      <c r="C11">
        <v>3373</v>
      </c>
      <c r="D11" s="1">
        <v>9.69E-2</v>
      </c>
      <c r="E11">
        <v>327</v>
      </c>
      <c r="F11">
        <v>28</v>
      </c>
      <c r="G11" s="2">
        <v>8.5600000000000009E-2</v>
      </c>
      <c r="H11" s="3">
        <v>0.28000000000000003</v>
      </c>
      <c r="I11" s="3">
        <v>3.25</v>
      </c>
      <c r="J11" s="3">
        <v>90.9</v>
      </c>
    </row>
    <row r="12" spans="1:10" x14ac:dyDescent="0.3">
      <c r="A12" t="s">
        <v>8</v>
      </c>
      <c r="B12" t="s">
        <v>212</v>
      </c>
      <c r="C12">
        <v>3016</v>
      </c>
      <c r="D12" s="1">
        <v>0.1426</v>
      </c>
      <c r="E12">
        <v>430</v>
      </c>
      <c r="F12">
        <v>23</v>
      </c>
      <c r="G12" s="2">
        <v>5.3499999999999999E-2</v>
      </c>
      <c r="H12" s="3">
        <v>0.13</v>
      </c>
      <c r="I12" s="3">
        <v>2.37</v>
      </c>
      <c r="J12" s="3">
        <v>54.57</v>
      </c>
    </row>
    <row r="13" spans="1:10" x14ac:dyDescent="0.3">
      <c r="A13" t="s">
        <v>12</v>
      </c>
      <c r="B13" t="s">
        <v>233</v>
      </c>
      <c r="C13">
        <v>2970</v>
      </c>
      <c r="D13" s="1">
        <v>0.1024</v>
      </c>
      <c r="E13">
        <v>304</v>
      </c>
      <c r="F13">
        <v>35</v>
      </c>
      <c r="G13" s="2">
        <v>0.11509999999999999</v>
      </c>
      <c r="H13" s="3">
        <v>0.25</v>
      </c>
      <c r="I13" s="3">
        <v>2.14</v>
      </c>
      <c r="J13" s="3">
        <v>74.84</v>
      </c>
    </row>
    <row r="14" spans="1:10" x14ac:dyDescent="0.3">
      <c r="A14" t="s">
        <v>424</v>
      </c>
      <c r="B14" t="s">
        <v>223</v>
      </c>
      <c r="C14">
        <v>2898</v>
      </c>
      <c r="D14" s="1">
        <v>5.6900000000000006E-2</v>
      </c>
      <c r="E14">
        <v>165</v>
      </c>
      <c r="F14">
        <v>5</v>
      </c>
      <c r="G14" s="2">
        <v>3.0299999999999997E-2</v>
      </c>
      <c r="H14" s="3">
        <v>0.28000000000000003</v>
      </c>
      <c r="I14" s="3">
        <v>9.36</v>
      </c>
      <c r="J14" s="3">
        <v>46.82</v>
      </c>
    </row>
    <row r="15" spans="1:10" x14ac:dyDescent="0.3">
      <c r="A15" t="s">
        <v>17</v>
      </c>
      <c r="B15" t="s">
        <v>212</v>
      </c>
      <c r="C15">
        <v>2873</v>
      </c>
      <c r="D15" s="1">
        <v>0.1225</v>
      </c>
      <c r="E15">
        <v>352</v>
      </c>
      <c r="F15">
        <v>40</v>
      </c>
      <c r="G15" s="2">
        <v>0.11359999999999999</v>
      </c>
      <c r="H15" s="3">
        <v>0.91</v>
      </c>
      <c r="I15" s="3">
        <v>8</v>
      </c>
      <c r="J15" s="3">
        <v>320.05</v>
      </c>
    </row>
    <row r="16" spans="1:10" x14ac:dyDescent="0.3">
      <c r="A16" t="s">
        <v>14</v>
      </c>
      <c r="B16" t="s">
        <v>233</v>
      </c>
      <c r="C16">
        <v>2789</v>
      </c>
      <c r="D16" s="1">
        <v>7.9600000000000004E-2</v>
      </c>
      <c r="E16">
        <v>222</v>
      </c>
      <c r="F16">
        <v>14</v>
      </c>
      <c r="G16" s="2">
        <v>6.3099999999999989E-2</v>
      </c>
      <c r="H16" s="3">
        <v>0.28999999999999998</v>
      </c>
      <c r="I16" s="3">
        <v>4.68</v>
      </c>
      <c r="J16" s="3">
        <v>65.45</v>
      </c>
    </row>
    <row r="17" spans="1:10" x14ac:dyDescent="0.3">
      <c r="A17" t="s">
        <v>8</v>
      </c>
      <c r="B17" t="s">
        <v>233</v>
      </c>
      <c r="C17">
        <v>2726</v>
      </c>
      <c r="D17" s="1">
        <v>7.0400000000000004E-2</v>
      </c>
      <c r="E17">
        <v>192</v>
      </c>
      <c r="F17">
        <v>17</v>
      </c>
      <c r="G17" s="2">
        <v>8.8499999999999995E-2</v>
      </c>
      <c r="H17" s="3">
        <v>1.04</v>
      </c>
      <c r="I17" s="3">
        <v>11.72</v>
      </c>
      <c r="J17" s="3">
        <v>199.16</v>
      </c>
    </row>
    <row r="18" spans="1:10" x14ac:dyDescent="0.3">
      <c r="A18" t="s">
        <v>25</v>
      </c>
      <c r="B18" t="s">
        <v>452</v>
      </c>
      <c r="C18">
        <v>2436</v>
      </c>
      <c r="D18" s="1">
        <v>0.1076</v>
      </c>
      <c r="E18">
        <v>262</v>
      </c>
      <c r="F18">
        <v>29</v>
      </c>
      <c r="G18" s="2">
        <v>0.11070000000000001</v>
      </c>
      <c r="H18" s="3">
        <v>0.27</v>
      </c>
      <c r="I18" s="3">
        <v>2.48</v>
      </c>
      <c r="J18" s="3">
        <v>71.78</v>
      </c>
    </row>
    <row r="19" spans="1:10" x14ac:dyDescent="0.3">
      <c r="A19" t="s">
        <v>7</v>
      </c>
      <c r="B19" t="s">
        <v>248</v>
      </c>
      <c r="C19">
        <v>2353</v>
      </c>
      <c r="D19" s="1">
        <v>0.13220000000000001</v>
      </c>
      <c r="E19">
        <v>311</v>
      </c>
      <c r="F19">
        <v>49</v>
      </c>
      <c r="G19" s="2">
        <v>0.15759999999999999</v>
      </c>
      <c r="H19" s="3">
        <v>1.6</v>
      </c>
      <c r="I19" s="3">
        <v>10.14</v>
      </c>
      <c r="J19" s="3">
        <v>496.93</v>
      </c>
    </row>
    <row r="20" spans="1:10" x14ac:dyDescent="0.3">
      <c r="A20" t="s">
        <v>257</v>
      </c>
      <c r="B20" t="s">
        <v>258</v>
      </c>
      <c r="C20">
        <v>2303</v>
      </c>
      <c r="D20" s="1">
        <v>9.4200000000000006E-2</v>
      </c>
      <c r="E20">
        <v>217</v>
      </c>
      <c r="F20">
        <v>3</v>
      </c>
      <c r="G20" s="2">
        <v>1.38E-2</v>
      </c>
      <c r="H20" s="3">
        <v>0.06</v>
      </c>
      <c r="I20" s="3">
        <v>4.32</v>
      </c>
      <c r="J20" s="3">
        <v>12.96</v>
      </c>
    </row>
    <row r="21" spans="1:10" x14ac:dyDescent="0.3">
      <c r="A21" t="s">
        <v>113</v>
      </c>
      <c r="B21" t="s">
        <v>248</v>
      </c>
      <c r="C21">
        <v>2264</v>
      </c>
      <c r="D21" s="1">
        <v>0.106</v>
      </c>
      <c r="E21">
        <v>240</v>
      </c>
      <c r="F21">
        <v>19</v>
      </c>
      <c r="G21" s="2">
        <v>7.9199999999999993E-2</v>
      </c>
      <c r="H21" s="3">
        <v>0.18</v>
      </c>
      <c r="I21" s="3">
        <v>2.31</v>
      </c>
      <c r="J21" s="3">
        <v>43.94</v>
      </c>
    </row>
    <row r="22" spans="1:10" x14ac:dyDescent="0.3">
      <c r="A22" t="s">
        <v>8</v>
      </c>
      <c r="B22" t="s">
        <v>233</v>
      </c>
      <c r="C22">
        <v>2219</v>
      </c>
      <c r="D22" s="1">
        <v>0.16399999999999998</v>
      </c>
      <c r="E22">
        <v>364</v>
      </c>
      <c r="F22">
        <v>26</v>
      </c>
      <c r="G22" s="2">
        <v>7.1399999999999991E-2</v>
      </c>
      <c r="H22" s="3">
        <v>0.16</v>
      </c>
      <c r="I22" s="3">
        <v>2.2999999999999998</v>
      </c>
      <c r="J22" s="3">
        <v>59.82</v>
      </c>
    </row>
    <row r="23" spans="1:10" x14ac:dyDescent="0.3">
      <c r="A23" t="s">
        <v>12</v>
      </c>
      <c r="B23" t="s">
        <v>356</v>
      </c>
      <c r="C23">
        <v>2215</v>
      </c>
      <c r="D23" s="1">
        <v>8.1699999999999995E-2</v>
      </c>
      <c r="E23">
        <v>181</v>
      </c>
      <c r="F23">
        <v>13</v>
      </c>
      <c r="G23" s="2">
        <v>7.1800000000000003E-2</v>
      </c>
      <c r="H23" s="3">
        <v>0.2</v>
      </c>
      <c r="I23" s="3">
        <v>2.76</v>
      </c>
      <c r="J23" s="3">
        <v>35.85</v>
      </c>
    </row>
    <row r="24" spans="1:10" x14ac:dyDescent="0.3">
      <c r="A24" t="s">
        <v>68</v>
      </c>
      <c r="B24" t="s">
        <v>223</v>
      </c>
      <c r="C24">
        <v>2141</v>
      </c>
      <c r="D24" s="1">
        <v>7.5700000000000003E-2</v>
      </c>
      <c r="E24">
        <v>162</v>
      </c>
      <c r="F24">
        <v>12</v>
      </c>
      <c r="G24" s="2">
        <v>7.4099999999999999E-2</v>
      </c>
      <c r="H24" s="3">
        <v>1.0900000000000001</v>
      </c>
      <c r="I24" s="3">
        <v>14.7</v>
      </c>
      <c r="J24" s="3">
        <v>176.41</v>
      </c>
    </row>
    <row r="25" spans="1:10" x14ac:dyDescent="0.3">
      <c r="A25" t="s">
        <v>12</v>
      </c>
      <c r="B25" t="s">
        <v>356</v>
      </c>
      <c r="C25">
        <v>2093</v>
      </c>
      <c r="D25" s="1">
        <v>0.11990000000000001</v>
      </c>
      <c r="E25">
        <v>251</v>
      </c>
      <c r="F25">
        <v>18</v>
      </c>
      <c r="G25" s="2">
        <v>7.17E-2</v>
      </c>
      <c r="H25" s="3">
        <v>0.52</v>
      </c>
      <c r="I25" s="3">
        <v>7.21</v>
      </c>
      <c r="J25" s="3">
        <v>129.69999999999999</v>
      </c>
    </row>
    <row r="26" spans="1:10" x14ac:dyDescent="0.3">
      <c r="A26" t="s">
        <v>299</v>
      </c>
      <c r="B26" t="s">
        <v>300</v>
      </c>
      <c r="C26">
        <v>2045</v>
      </c>
      <c r="D26" s="1">
        <v>9.0500000000000011E-2</v>
      </c>
      <c r="E26">
        <v>185</v>
      </c>
      <c r="F26">
        <v>11</v>
      </c>
      <c r="G26" s="2">
        <v>5.9500000000000004E-2</v>
      </c>
      <c r="H26" s="3">
        <v>0.27</v>
      </c>
      <c r="I26" s="3">
        <v>4.62</v>
      </c>
      <c r="J26" s="3">
        <v>50.86</v>
      </c>
    </row>
    <row r="27" spans="1:10" x14ac:dyDescent="0.3">
      <c r="A27" t="s">
        <v>424</v>
      </c>
      <c r="B27" t="s">
        <v>223</v>
      </c>
      <c r="C27">
        <v>1978</v>
      </c>
      <c r="D27" s="1">
        <v>7.9399999999999998E-2</v>
      </c>
      <c r="E27">
        <v>157</v>
      </c>
      <c r="F27">
        <v>7</v>
      </c>
      <c r="G27" s="2">
        <v>4.4600000000000001E-2</v>
      </c>
      <c r="H27" s="3">
        <v>0.71</v>
      </c>
      <c r="I27" s="3">
        <v>15.99</v>
      </c>
      <c r="J27" s="3">
        <v>111.91</v>
      </c>
    </row>
    <row r="28" spans="1:10" x14ac:dyDescent="0.3">
      <c r="A28" t="s">
        <v>8</v>
      </c>
      <c r="B28" t="s">
        <v>221</v>
      </c>
      <c r="C28">
        <v>1967</v>
      </c>
      <c r="D28" s="1">
        <v>8.3400000000000002E-2</v>
      </c>
      <c r="E28">
        <v>164</v>
      </c>
      <c r="F28">
        <v>11</v>
      </c>
      <c r="G28" s="2">
        <v>6.7099999999999993E-2</v>
      </c>
      <c r="H28" s="3">
        <v>0.56000000000000005</v>
      </c>
      <c r="I28" s="3">
        <v>8.34</v>
      </c>
      <c r="J28" s="3">
        <v>91.79</v>
      </c>
    </row>
    <row r="29" spans="1:10" x14ac:dyDescent="0.3">
      <c r="A29" t="s">
        <v>18</v>
      </c>
      <c r="B29" t="s">
        <v>262</v>
      </c>
      <c r="C29">
        <v>1893</v>
      </c>
      <c r="D29" s="1">
        <v>9.5600000000000004E-2</v>
      </c>
      <c r="E29">
        <v>181</v>
      </c>
      <c r="F29">
        <v>18</v>
      </c>
      <c r="G29" s="2">
        <v>9.9399999999999988E-2</v>
      </c>
      <c r="H29" s="3">
        <v>0.79</v>
      </c>
      <c r="I29" s="3">
        <v>7.94</v>
      </c>
      <c r="J29" s="3">
        <v>142.99</v>
      </c>
    </row>
    <row r="30" spans="1:10" x14ac:dyDescent="0.3">
      <c r="A30" t="s">
        <v>63</v>
      </c>
      <c r="B30" t="s">
        <v>233</v>
      </c>
      <c r="C30">
        <v>1820</v>
      </c>
      <c r="D30" s="1">
        <v>0.1225</v>
      </c>
      <c r="E30">
        <v>223</v>
      </c>
      <c r="F30">
        <v>13</v>
      </c>
      <c r="G30" s="2">
        <v>5.8299999999999998E-2</v>
      </c>
      <c r="H30" s="3">
        <v>0.24</v>
      </c>
      <c r="I30" s="3">
        <v>4.13</v>
      </c>
      <c r="J30" s="3">
        <v>53.73</v>
      </c>
    </row>
    <row r="31" spans="1:10" x14ac:dyDescent="0.3">
      <c r="A31" t="s">
        <v>8</v>
      </c>
      <c r="B31" t="s">
        <v>248</v>
      </c>
      <c r="C31">
        <v>1777</v>
      </c>
      <c r="D31" s="1">
        <v>7.0300000000000001E-2</v>
      </c>
      <c r="E31">
        <v>125</v>
      </c>
      <c r="F31">
        <v>15</v>
      </c>
      <c r="G31" s="2">
        <v>0.12</v>
      </c>
      <c r="H31" s="3">
        <v>1.75</v>
      </c>
      <c r="I31" s="3">
        <v>14.59</v>
      </c>
      <c r="J31" s="3">
        <v>218.78</v>
      </c>
    </row>
    <row r="32" spans="1:10" x14ac:dyDescent="0.3">
      <c r="A32" t="s">
        <v>384</v>
      </c>
      <c r="B32" t="s">
        <v>235</v>
      </c>
      <c r="C32">
        <v>1663</v>
      </c>
      <c r="D32" s="1">
        <v>9.0800000000000006E-2</v>
      </c>
      <c r="E32">
        <v>151</v>
      </c>
      <c r="F32">
        <v>4</v>
      </c>
      <c r="G32" s="2">
        <v>2.6499999999999999E-2</v>
      </c>
      <c r="H32" s="3">
        <v>0.17</v>
      </c>
      <c r="I32" s="3">
        <v>6.29</v>
      </c>
      <c r="J32" s="3">
        <v>25.17</v>
      </c>
    </row>
    <row r="33" spans="1:10" x14ac:dyDescent="0.3">
      <c r="A33" t="s">
        <v>435</v>
      </c>
      <c r="B33" t="s">
        <v>233</v>
      </c>
      <c r="C33">
        <v>1646</v>
      </c>
      <c r="D33" s="1">
        <v>9.4800000000000009E-2</v>
      </c>
      <c r="E33">
        <v>156</v>
      </c>
      <c r="F33">
        <v>22</v>
      </c>
      <c r="G33" s="2">
        <v>0.14099999999999999</v>
      </c>
      <c r="H33" s="3">
        <v>0.41</v>
      </c>
      <c r="I33" s="3">
        <v>2.89</v>
      </c>
      <c r="J33" s="3">
        <v>63.67</v>
      </c>
    </row>
    <row r="34" spans="1:10" x14ac:dyDescent="0.3">
      <c r="A34" t="s">
        <v>27</v>
      </c>
      <c r="B34" t="s">
        <v>223</v>
      </c>
      <c r="C34">
        <v>1588</v>
      </c>
      <c r="D34" s="1">
        <v>0.13600000000000001</v>
      </c>
      <c r="E34">
        <v>216</v>
      </c>
      <c r="F34">
        <v>1</v>
      </c>
      <c r="G34" s="2">
        <v>4.5999999999999999E-3</v>
      </c>
      <c r="H34" s="3">
        <v>0.02</v>
      </c>
      <c r="I34" s="3">
        <v>4.4800000000000004</v>
      </c>
      <c r="J34" s="3">
        <v>4.4800000000000004</v>
      </c>
    </row>
    <row r="35" spans="1:10" x14ac:dyDescent="0.3">
      <c r="A35" t="s">
        <v>7</v>
      </c>
      <c r="B35" t="s">
        <v>248</v>
      </c>
      <c r="C35">
        <v>1537</v>
      </c>
      <c r="D35" s="1">
        <v>0.12300000000000001</v>
      </c>
      <c r="E35">
        <v>189</v>
      </c>
      <c r="F35">
        <v>26</v>
      </c>
      <c r="G35" s="2">
        <v>0.1376</v>
      </c>
      <c r="H35" s="3">
        <v>1.1100000000000001</v>
      </c>
      <c r="I35" s="3">
        <v>8.07</v>
      </c>
      <c r="J35" s="3">
        <v>209.94</v>
      </c>
    </row>
    <row r="36" spans="1:10" x14ac:dyDescent="0.3">
      <c r="A36" t="s">
        <v>417</v>
      </c>
      <c r="B36" t="s">
        <v>262</v>
      </c>
      <c r="C36">
        <v>1535</v>
      </c>
      <c r="D36" s="1">
        <v>5.5999999999999994E-2</v>
      </c>
      <c r="E36">
        <v>86</v>
      </c>
      <c r="F36">
        <v>3</v>
      </c>
      <c r="G36" s="2">
        <v>3.49E-2</v>
      </c>
      <c r="H36" s="3">
        <v>0.05</v>
      </c>
      <c r="I36" s="3">
        <v>1.49</v>
      </c>
      <c r="J36" s="3">
        <v>4.47</v>
      </c>
    </row>
    <row r="37" spans="1:10" x14ac:dyDescent="0.3">
      <c r="A37" t="s">
        <v>76</v>
      </c>
      <c r="B37" t="s">
        <v>235</v>
      </c>
      <c r="C37">
        <v>1515</v>
      </c>
      <c r="D37" s="1">
        <v>7.7199999999999991E-2</v>
      </c>
      <c r="E37">
        <v>117</v>
      </c>
      <c r="F37">
        <v>9</v>
      </c>
      <c r="G37" s="2">
        <v>7.690000000000001E-2</v>
      </c>
      <c r="H37" s="3">
        <v>0.5</v>
      </c>
      <c r="I37" s="3">
        <v>6.55</v>
      </c>
      <c r="J37" s="3">
        <v>58.91</v>
      </c>
    </row>
    <row r="38" spans="1:10" x14ac:dyDescent="0.3">
      <c r="A38" t="s">
        <v>45</v>
      </c>
      <c r="B38" t="s">
        <v>233</v>
      </c>
      <c r="C38">
        <v>1489</v>
      </c>
      <c r="D38" s="1">
        <v>6.25E-2</v>
      </c>
      <c r="E38">
        <v>93</v>
      </c>
      <c r="F38">
        <v>10</v>
      </c>
      <c r="G38" s="2">
        <v>0.1075</v>
      </c>
      <c r="H38" s="3">
        <v>0.44</v>
      </c>
      <c r="I38" s="3">
        <v>4.05</v>
      </c>
      <c r="J38" s="3">
        <v>40.5</v>
      </c>
    </row>
    <row r="39" spans="1:10" x14ac:dyDescent="0.3">
      <c r="A39" t="s">
        <v>16</v>
      </c>
      <c r="B39" t="s">
        <v>248</v>
      </c>
      <c r="C39">
        <v>1463</v>
      </c>
      <c r="D39" s="1">
        <v>0.1183</v>
      </c>
      <c r="E39">
        <v>173</v>
      </c>
      <c r="F39">
        <v>18</v>
      </c>
      <c r="G39" s="2">
        <v>0.10400000000000001</v>
      </c>
      <c r="H39" s="3">
        <v>0.93</v>
      </c>
      <c r="I39" s="3">
        <v>8.9700000000000006</v>
      </c>
      <c r="J39" s="3">
        <v>161.5</v>
      </c>
    </row>
    <row r="40" spans="1:10" x14ac:dyDescent="0.3">
      <c r="A40" t="s">
        <v>299</v>
      </c>
      <c r="B40" t="s">
        <v>215</v>
      </c>
      <c r="C40">
        <v>1461</v>
      </c>
      <c r="D40" s="1">
        <v>8.4199999999999997E-2</v>
      </c>
      <c r="E40">
        <v>123</v>
      </c>
      <c r="F40">
        <v>14</v>
      </c>
      <c r="G40" s="2">
        <v>0.11380000000000001</v>
      </c>
      <c r="H40" s="3">
        <v>1.72</v>
      </c>
      <c r="I40" s="3">
        <v>15.12</v>
      </c>
      <c r="J40" s="3">
        <v>211.65</v>
      </c>
    </row>
    <row r="41" spans="1:10" x14ac:dyDescent="0.3">
      <c r="A41" t="s">
        <v>291</v>
      </c>
      <c r="B41" t="s">
        <v>221</v>
      </c>
      <c r="C41">
        <v>1451</v>
      </c>
      <c r="D41" s="1">
        <v>5.1699999999999996E-2</v>
      </c>
      <c r="E41">
        <v>75</v>
      </c>
      <c r="F41">
        <v>6</v>
      </c>
      <c r="G41" s="2">
        <v>0.08</v>
      </c>
      <c r="H41" s="3">
        <v>1.34</v>
      </c>
      <c r="I41" s="3">
        <v>16.79</v>
      </c>
      <c r="J41" s="3">
        <v>100.76</v>
      </c>
    </row>
    <row r="42" spans="1:10" x14ac:dyDescent="0.3">
      <c r="A42" t="s">
        <v>124</v>
      </c>
      <c r="B42" t="s">
        <v>275</v>
      </c>
      <c r="C42">
        <v>1441</v>
      </c>
      <c r="D42" s="1">
        <v>5.62E-2</v>
      </c>
      <c r="E42">
        <v>81</v>
      </c>
      <c r="F42">
        <v>3</v>
      </c>
      <c r="G42" s="2">
        <v>3.7000000000000005E-2</v>
      </c>
      <c r="H42" s="3">
        <v>0.1</v>
      </c>
      <c r="I42" s="3">
        <v>2.63</v>
      </c>
      <c r="J42" s="3">
        <v>7.89</v>
      </c>
    </row>
    <row r="43" spans="1:10" x14ac:dyDescent="0.3">
      <c r="A43" t="s">
        <v>15</v>
      </c>
      <c r="B43" t="s">
        <v>269</v>
      </c>
      <c r="C43">
        <v>1438</v>
      </c>
      <c r="D43" s="1">
        <v>8.900000000000001E-2</v>
      </c>
      <c r="E43">
        <v>128</v>
      </c>
      <c r="F43">
        <v>22</v>
      </c>
      <c r="G43" s="2">
        <v>0.17190000000000003</v>
      </c>
      <c r="H43" s="3">
        <v>1.3</v>
      </c>
      <c r="I43" s="3">
        <v>7.56</v>
      </c>
      <c r="J43" s="3">
        <v>166.27</v>
      </c>
    </row>
    <row r="44" spans="1:10" x14ac:dyDescent="0.3">
      <c r="A44" t="s">
        <v>60</v>
      </c>
      <c r="B44" t="s">
        <v>223</v>
      </c>
      <c r="C44">
        <v>1432</v>
      </c>
      <c r="D44" s="1">
        <v>7.4700000000000003E-2</v>
      </c>
      <c r="E44">
        <v>107</v>
      </c>
      <c r="F44">
        <v>4</v>
      </c>
      <c r="G44" s="2">
        <v>3.7400000000000003E-2</v>
      </c>
      <c r="H44" s="3">
        <v>0.27</v>
      </c>
      <c r="I44" s="3">
        <v>7.26</v>
      </c>
      <c r="J44" s="3">
        <v>29.02</v>
      </c>
    </row>
    <row r="45" spans="1:10" x14ac:dyDescent="0.3">
      <c r="A45" t="s">
        <v>444</v>
      </c>
      <c r="B45" t="s">
        <v>215</v>
      </c>
      <c r="C45">
        <v>1425</v>
      </c>
      <c r="D45" s="1">
        <v>0.1186</v>
      </c>
      <c r="E45">
        <v>169</v>
      </c>
      <c r="F45">
        <v>37</v>
      </c>
      <c r="G45" s="2">
        <v>0.21890000000000001</v>
      </c>
      <c r="H45" s="3">
        <v>1.6</v>
      </c>
      <c r="I45" s="3">
        <v>7.32</v>
      </c>
      <c r="J45" s="3">
        <v>270.95</v>
      </c>
    </row>
    <row r="46" spans="1:10" x14ac:dyDescent="0.3">
      <c r="A46" t="s">
        <v>436</v>
      </c>
      <c r="B46" t="s">
        <v>233</v>
      </c>
      <c r="C46">
        <v>1424</v>
      </c>
      <c r="D46" s="1">
        <v>8.7100000000000011E-2</v>
      </c>
      <c r="E46">
        <v>124</v>
      </c>
      <c r="F46">
        <v>11</v>
      </c>
      <c r="G46" s="2">
        <v>8.8699999999999987E-2</v>
      </c>
      <c r="H46" s="3">
        <v>0.31</v>
      </c>
      <c r="I46" s="3">
        <v>3.54</v>
      </c>
      <c r="J46" s="3">
        <v>38.96</v>
      </c>
    </row>
    <row r="47" spans="1:10" x14ac:dyDescent="0.3">
      <c r="A47" t="s">
        <v>299</v>
      </c>
      <c r="B47" t="s">
        <v>212</v>
      </c>
      <c r="C47">
        <v>1395</v>
      </c>
      <c r="D47" s="1">
        <v>0.1176</v>
      </c>
      <c r="E47">
        <v>164</v>
      </c>
      <c r="F47">
        <v>12</v>
      </c>
      <c r="G47" s="2">
        <v>7.3200000000000001E-2</v>
      </c>
      <c r="H47" s="3">
        <v>0.87</v>
      </c>
      <c r="I47" s="3">
        <v>11.9</v>
      </c>
      <c r="J47" s="3">
        <v>142.80000000000001</v>
      </c>
    </row>
    <row r="48" spans="1:10" x14ac:dyDescent="0.3">
      <c r="A48" t="s">
        <v>291</v>
      </c>
      <c r="B48" t="s">
        <v>218</v>
      </c>
      <c r="C48">
        <v>1370</v>
      </c>
      <c r="D48" s="1">
        <v>3.5799999999999998E-2</v>
      </c>
      <c r="E48">
        <v>49</v>
      </c>
      <c r="F48">
        <v>4</v>
      </c>
      <c r="G48" s="2">
        <v>8.1600000000000006E-2</v>
      </c>
      <c r="H48" s="3">
        <v>2.0499999999999998</v>
      </c>
      <c r="I48" s="3">
        <v>25.17</v>
      </c>
      <c r="J48" s="3">
        <v>100.67</v>
      </c>
    </row>
    <row r="49" spans="1:10" x14ac:dyDescent="0.3">
      <c r="A49" t="s">
        <v>128</v>
      </c>
      <c r="B49" t="s">
        <v>233</v>
      </c>
      <c r="C49">
        <v>1350</v>
      </c>
      <c r="D49" s="1">
        <v>9.3299999999999994E-2</v>
      </c>
      <c r="E49">
        <v>126</v>
      </c>
      <c r="F49">
        <v>9</v>
      </c>
      <c r="G49" s="2">
        <v>7.1399999999999991E-2</v>
      </c>
      <c r="H49" s="3">
        <v>0.37</v>
      </c>
      <c r="I49" s="3">
        <v>5.19</v>
      </c>
      <c r="J49" s="3">
        <v>46.74</v>
      </c>
    </row>
    <row r="50" spans="1:10" x14ac:dyDescent="0.3">
      <c r="A50" t="s">
        <v>487</v>
      </c>
      <c r="B50" t="s">
        <v>215</v>
      </c>
      <c r="C50">
        <v>1340</v>
      </c>
      <c r="D50" s="1">
        <v>5.9699999999999996E-2</v>
      </c>
      <c r="E50">
        <v>80</v>
      </c>
      <c r="F50">
        <v>1</v>
      </c>
      <c r="G50" s="2">
        <v>1.2500000000000001E-2</v>
      </c>
      <c r="H50" s="3">
        <v>0.14000000000000001</v>
      </c>
      <c r="I50" s="3">
        <v>11.24</v>
      </c>
      <c r="J50" s="3">
        <v>11.24</v>
      </c>
    </row>
    <row r="51" spans="1:10" x14ac:dyDescent="0.3">
      <c r="A51" t="s">
        <v>74</v>
      </c>
      <c r="B51" t="s">
        <v>233</v>
      </c>
      <c r="C51">
        <v>1289</v>
      </c>
      <c r="D51" s="1">
        <v>0.1202</v>
      </c>
      <c r="E51">
        <v>155</v>
      </c>
      <c r="F51">
        <v>19</v>
      </c>
      <c r="G51" s="2">
        <v>0.1226</v>
      </c>
      <c r="H51" s="3">
        <v>0.41</v>
      </c>
      <c r="I51" s="3">
        <v>3.31</v>
      </c>
      <c r="J51" s="3">
        <v>62.95</v>
      </c>
    </row>
    <row r="52" spans="1:10" x14ac:dyDescent="0.3">
      <c r="A52" t="s">
        <v>59</v>
      </c>
      <c r="B52" t="s">
        <v>232</v>
      </c>
      <c r="C52">
        <v>1287</v>
      </c>
      <c r="D52" s="1">
        <v>8.3100000000000007E-2</v>
      </c>
      <c r="E52">
        <v>107</v>
      </c>
      <c r="F52">
        <v>4</v>
      </c>
      <c r="G52" s="2">
        <v>3.7400000000000003E-2</v>
      </c>
      <c r="H52" s="3">
        <v>0.1</v>
      </c>
      <c r="I52" s="3">
        <v>2.59</v>
      </c>
      <c r="J52" s="3">
        <v>10.37</v>
      </c>
    </row>
    <row r="53" spans="1:10" x14ac:dyDescent="0.3">
      <c r="A53" t="s">
        <v>418</v>
      </c>
      <c r="B53" t="s">
        <v>212</v>
      </c>
      <c r="C53">
        <v>1250</v>
      </c>
      <c r="D53" s="1">
        <v>8.1600000000000006E-2</v>
      </c>
      <c r="E53">
        <v>102</v>
      </c>
      <c r="F53">
        <v>16</v>
      </c>
      <c r="G53" s="2">
        <v>0.15689999999999998</v>
      </c>
      <c r="H53" s="3">
        <v>1.79</v>
      </c>
      <c r="I53" s="3">
        <v>11.43</v>
      </c>
      <c r="J53" s="3">
        <v>182.86</v>
      </c>
    </row>
    <row r="54" spans="1:10" x14ac:dyDescent="0.3">
      <c r="A54" t="s">
        <v>21</v>
      </c>
      <c r="B54" t="s">
        <v>269</v>
      </c>
      <c r="C54">
        <v>1180</v>
      </c>
      <c r="D54" s="1">
        <v>8.8100000000000012E-2</v>
      </c>
      <c r="E54">
        <v>104</v>
      </c>
      <c r="F54">
        <v>5</v>
      </c>
      <c r="G54" s="2">
        <v>4.8099999999999997E-2</v>
      </c>
      <c r="H54" s="3">
        <v>0.28000000000000003</v>
      </c>
      <c r="I54" s="3">
        <v>5.75</v>
      </c>
      <c r="J54" s="3">
        <v>28.74</v>
      </c>
    </row>
    <row r="55" spans="1:10" x14ac:dyDescent="0.3">
      <c r="A55" t="s">
        <v>445</v>
      </c>
      <c r="B55" t="s">
        <v>221</v>
      </c>
      <c r="C55">
        <v>1162</v>
      </c>
      <c r="D55" s="1">
        <v>8.09E-2</v>
      </c>
      <c r="E55">
        <v>94</v>
      </c>
      <c r="F55">
        <v>17</v>
      </c>
      <c r="G55" s="2">
        <v>0.18090000000000001</v>
      </c>
      <c r="H55" s="3">
        <v>1.31</v>
      </c>
      <c r="I55" s="3">
        <v>7.25</v>
      </c>
      <c r="J55" s="3">
        <v>123.24</v>
      </c>
    </row>
    <row r="56" spans="1:10" x14ac:dyDescent="0.3">
      <c r="A56" t="s">
        <v>134</v>
      </c>
      <c r="B56" t="s">
        <v>300</v>
      </c>
      <c r="C56">
        <v>1145</v>
      </c>
      <c r="D56" s="1">
        <v>0.12140000000000001</v>
      </c>
      <c r="E56">
        <v>139</v>
      </c>
      <c r="F56">
        <v>14</v>
      </c>
      <c r="G56" s="2">
        <v>0.1007</v>
      </c>
      <c r="H56" s="3">
        <v>0.28000000000000003</v>
      </c>
      <c r="I56" s="3">
        <v>2.8</v>
      </c>
      <c r="J56" s="3">
        <v>39.14</v>
      </c>
    </row>
    <row r="57" spans="1:10" x14ac:dyDescent="0.3">
      <c r="A57" t="s">
        <v>462</v>
      </c>
      <c r="B57" t="s">
        <v>300</v>
      </c>
      <c r="C57">
        <v>1142</v>
      </c>
      <c r="D57" s="1">
        <v>2.7099999999999999E-2</v>
      </c>
      <c r="E57">
        <v>31</v>
      </c>
      <c r="F57">
        <v>1</v>
      </c>
      <c r="G57" s="2">
        <v>3.2300000000000002E-2</v>
      </c>
      <c r="H57" s="3">
        <v>0.52</v>
      </c>
      <c r="I57" s="3">
        <v>16.079999999999998</v>
      </c>
      <c r="J57" s="3">
        <v>16.079999999999998</v>
      </c>
    </row>
    <row r="58" spans="1:10" x14ac:dyDescent="0.3">
      <c r="A58" t="s">
        <v>44</v>
      </c>
      <c r="B58" t="s">
        <v>233</v>
      </c>
      <c r="C58">
        <v>1130</v>
      </c>
      <c r="D58" s="1">
        <v>6.6400000000000001E-2</v>
      </c>
      <c r="E58">
        <v>75</v>
      </c>
      <c r="F58">
        <v>6</v>
      </c>
      <c r="G58" s="2">
        <v>0.08</v>
      </c>
      <c r="H58" s="3">
        <v>0.55000000000000004</v>
      </c>
      <c r="I58" s="3">
        <v>6.88</v>
      </c>
      <c r="J58" s="3">
        <v>41.29</v>
      </c>
    </row>
    <row r="59" spans="1:10" x14ac:dyDescent="0.3">
      <c r="A59" t="s">
        <v>15</v>
      </c>
      <c r="B59" t="s">
        <v>233</v>
      </c>
      <c r="C59">
        <v>1128</v>
      </c>
      <c r="D59" s="1">
        <v>0.1082</v>
      </c>
      <c r="E59">
        <v>122</v>
      </c>
      <c r="F59">
        <v>21</v>
      </c>
      <c r="G59" s="2">
        <v>0.1721</v>
      </c>
      <c r="H59" s="3">
        <v>0.73</v>
      </c>
      <c r="I59" s="3">
        <v>4.26</v>
      </c>
      <c r="J59" s="3">
        <v>89.46</v>
      </c>
    </row>
    <row r="60" spans="1:10" x14ac:dyDescent="0.3">
      <c r="A60" t="s">
        <v>172</v>
      </c>
      <c r="B60" t="s">
        <v>311</v>
      </c>
      <c r="C60">
        <v>1108</v>
      </c>
      <c r="D60" s="1">
        <v>5.2300000000000006E-2</v>
      </c>
      <c r="E60">
        <v>58</v>
      </c>
      <c r="F60">
        <v>2</v>
      </c>
      <c r="G60" s="2">
        <v>3.4500000000000003E-2</v>
      </c>
      <c r="H60" s="3">
        <v>0.17</v>
      </c>
      <c r="I60" s="3">
        <v>4.82</v>
      </c>
      <c r="J60" s="3">
        <v>9.64</v>
      </c>
    </row>
    <row r="61" spans="1:10" x14ac:dyDescent="0.3">
      <c r="A61" t="s">
        <v>18</v>
      </c>
      <c r="B61" t="s">
        <v>221</v>
      </c>
      <c r="C61">
        <v>1107</v>
      </c>
      <c r="D61" s="1">
        <v>0.1066</v>
      </c>
      <c r="E61">
        <v>118</v>
      </c>
      <c r="F61">
        <v>10</v>
      </c>
      <c r="G61" s="2">
        <v>8.4700000000000011E-2</v>
      </c>
      <c r="H61" s="3">
        <v>0.62</v>
      </c>
      <c r="I61" s="3">
        <v>7.27</v>
      </c>
      <c r="J61" s="3">
        <v>72.650000000000006</v>
      </c>
    </row>
    <row r="62" spans="1:10" x14ac:dyDescent="0.3">
      <c r="A62" t="s">
        <v>270</v>
      </c>
      <c r="B62" t="s">
        <v>233</v>
      </c>
      <c r="C62">
        <v>1063</v>
      </c>
      <c r="D62" s="1">
        <v>4.8899999999999999E-2</v>
      </c>
      <c r="E62">
        <v>52</v>
      </c>
      <c r="F62">
        <v>2</v>
      </c>
      <c r="G62" s="2">
        <v>3.85E-2</v>
      </c>
      <c r="H62" s="3">
        <v>0.18</v>
      </c>
      <c r="I62" s="3">
        <v>4.55</v>
      </c>
      <c r="J62" s="3">
        <v>9.1</v>
      </c>
    </row>
    <row r="63" spans="1:10" x14ac:dyDescent="0.3">
      <c r="A63" t="s">
        <v>74</v>
      </c>
      <c r="B63" t="s">
        <v>233</v>
      </c>
      <c r="C63">
        <v>1059</v>
      </c>
      <c r="D63" s="1">
        <v>7.9299999999999995E-2</v>
      </c>
      <c r="E63">
        <v>84</v>
      </c>
      <c r="F63">
        <v>9</v>
      </c>
      <c r="G63" s="2">
        <v>0.10710000000000001</v>
      </c>
      <c r="H63" s="3">
        <v>0.49</v>
      </c>
      <c r="I63" s="3">
        <v>4.62</v>
      </c>
      <c r="J63" s="3">
        <v>41.54</v>
      </c>
    </row>
    <row r="64" spans="1:10" x14ac:dyDescent="0.3">
      <c r="A64" t="s">
        <v>385</v>
      </c>
      <c r="B64" t="s">
        <v>235</v>
      </c>
      <c r="C64">
        <v>1049</v>
      </c>
      <c r="D64" s="1">
        <v>7.4400000000000008E-2</v>
      </c>
      <c r="E64">
        <v>78</v>
      </c>
      <c r="F64">
        <v>0</v>
      </c>
      <c r="G64" s="2">
        <v>0</v>
      </c>
      <c r="H64" s="3">
        <v>0</v>
      </c>
      <c r="I64" s="3" t="s">
        <v>213</v>
      </c>
      <c r="J64" s="3">
        <v>0</v>
      </c>
    </row>
    <row r="65" spans="1:10" x14ac:dyDescent="0.3">
      <c r="A65" t="s">
        <v>138</v>
      </c>
      <c r="B65" t="s">
        <v>268</v>
      </c>
      <c r="C65">
        <v>1041</v>
      </c>
      <c r="D65" s="1">
        <v>9.5100000000000004E-2</v>
      </c>
      <c r="E65">
        <v>99</v>
      </c>
      <c r="F65">
        <v>8</v>
      </c>
      <c r="G65" s="2">
        <v>8.0799999999999997E-2</v>
      </c>
      <c r="H65" s="3">
        <v>0.2</v>
      </c>
      <c r="I65" s="3">
        <v>2.42</v>
      </c>
      <c r="J65" s="3">
        <v>19.329999999999998</v>
      </c>
    </row>
    <row r="66" spans="1:10" x14ac:dyDescent="0.3">
      <c r="A66" t="s">
        <v>74</v>
      </c>
      <c r="B66" t="s">
        <v>233</v>
      </c>
      <c r="C66">
        <v>1038</v>
      </c>
      <c r="D66" s="1">
        <v>9.4399999999999998E-2</v>
      </c>
      <c r="E66">
        <v>98</v>
      </c>
      <c r="F66">
        <v>19</v>
      </c>
      <c r="G66" s="2">
        <v>0.19390000000000002</v>
      </c>
      <c r="H66" s="3">
        <v>0.44</v>
      </c>
      <c r="I66" s="3">
        <v>2.2799999999999998</v>
      </c>
      <c r="J66" s="3">
        <v>43.35</v>
      </c>
    </row>
    <row r="67" spans="1:10" x14ac:dyDescent="0.3">
      <c r="A67" t="s">
        <v>299</v>
      </c>
      <c r="B67" t="s">
        <v>223</v>
      </c>
      <c r="C67">
        <v>1034</v>
      </c>
      <c r="D67" s="1">
        <v>0.10640000000000001</v>
      </c>
      <c r="E67">
        <v>110</v>
      </c>
      <c r="F67">
        <v>7</v>
      </c>
      <c r="G67" s="2">
        <v>6.3600000000000004E-2</v>
      </c>
      <c r="H67" s="3">
        <v>1.1100000000000001</v>
      </c>
      <c r="I67" s="3">
        <v>17.45</v>
      </c>
      <c r="J67" s="3">
        <v>122.14</v>
      </c>
    </row>
    <row r="68" spans="1:10" x14ac:dyDescent="0.3">
      <c r="A68" t="s">
        <v>24</v>
      </c>
      <c r="B68" t="s">
        <v>273</v>
      </c>
      <c r="C68">
        <v>1010</v>
      </c>
      <c r="D68" s="1">
        <v>9.4100000000000003E-2</v>
      </c>
      <c r="E68">
        <v>95</v>
      </c>
      <c r="F68">
        <v>6</v>
      </c>
      <c r="G68" s="2">
        <v>6.3200000000000006E-2</v>
      </c>
      <c r="H68" s="3">
        <v>0.59</v>
      </c>
      <c r="I68" s="3">
        <v>9.3000000000000007</v>
      </c>
      <c r="J68" s="3">
        <v>55.82</v>
      </c>
    </row>
    <row r="69" spans="1:10" x14ac:dyDescent="0.3">
      <c r="A69" t="s">
        <v>29</v>
      </c>
      <c r="B69" t="s">
        <v>238</v>
      </c>
      <c r="C69">
        <v>1005</v>
      </c>
      <c r="D69" s="1">
        <v>0.10550000000000001</v>
      </c>
      <c r="E69">
        <v>106</v>
      </c>
      <c r="F69">
        <v>6</v>
      </c>
      <c r="G69" s="2">
        <v>5.6600000000000004E-2</v>
      </c>
      <c r="H69" s="3">
        <v>0.12</v>
      </c>
      <c r="I69" s="3">
        <v>2.06</v>
      </c>
      <c r="J69" s="3">
        <v>12.34</v>
      </c>
    </row>
    <row r="70" spans="1:10" x14ac:dyDescent="0.3">
      <c r="A70" t="s">
        <v>403</v>
      </c>
      <c r="B70" t="s">
        <v>233</v>
      </c>
      <c r="C70">
        <v>989</v>
      </c>
      <c r="D70" s="1">
        <v>8.5900000000000004E-2</v>
      </c>
      <c r="E70">
        <v>85</v>
      </c>
      <c r="F70">
        <v>3</v>
      </c>
      <c r="G70" s="2">
        <v>3.5299999999999998E-2</v>
      </c>
      <c r="H70" s="3">
        <v>0.11</v>
      </c>
      <c r="I70" s="3">
        <v>3.11</v>
      </c>
      <c r="J70" s="3">
        <v>9.34</v>
      </c>
    </row>
    <row r="71" spans="1:10" x14ac:dyDescent="0.3">
      <c r="A71" t="s">
        <v>291</v>
      </c>
      <c r="B71" t="s">
        <v>215</v>
      </c>
      <c r="C71">
        <v>983</v>
      </c>
      <c r="D71" s="1">
        <v>6.0999999999999999E-2</v>
      </c>
      <c r="E71">
        <v>60</v>
      </c>
      <c r="F71">
        <v>8</v>
      </c>
      <c r="G71" s="2">
        <v>0.1333</v>
      </c>
      <c r="H71" s="3">
        <v>1.18</v>
      </c>
      <c r="I71" s="3">
        <v>8.82</v>
      </c>
      <c r="J71" s="3">
        <v>70.59</v>
      </c>
    </row>
    <row r="72" spans="1:10" x14ac:dyDescent="0.3">
      <c r="A72" t="s">
        <v>360</v>
      </c>
      <c r="B72" t="s">
        <v>244</v>
      </c>
      <c r="C72">
        <v>976</v>
      </c>
      <c r="D72" s="1">
        <v>6.0499999999999998E-2</v>
      </c>
      <c r="E72">
        <v>59</v>
      </c>
      <c r="F72">
        <v>7</v>
      </c>
      <c r="G72" s="2">
        <v>0.1186</v>
      </c>
      <c r="H72" s="3">
        <v>0.35</v>
      </c>
      <c r="I72" s="3">
        <v>2.99</v>
      </c>
      <c r="J72" s="3">
        <v>20.93</v>
      </c>
    </row>
    <row r="73" spans="1:10" x14ac:dyDescent="0.3">
      <c r="A73" t="s">
        <v>8</v>
      </c>
      <c r="B73" t="s">
        <v>212</v>
      </c>
      <c r="C73">
        <v>972</v>
      </c>
      <c r="D73" s="1">
        <v>0.15640000000000001</v>
      </c>
      <c r="E73">
        <v>152</v>
      </c>
      <c r="F73">
        <v>7</v>
      </c>
      <c r="G73" s="2">
        <v>4.6100000000000002E-2</v>
      </c>
      <c r="H73" s="3">
        <v>0.19</v>
      </c>
      <c r="I73" s="3">
        <v>4.03</v>
      </c>
      <c r="J73" s="3">
        <v>28.19</v>
      </c>
    </row>
    <row r="74" spans="1:10" x14ac:dyDescent="0.3">
      <c r="A74" t="s">
        <v>449</v>
      </c>
      <c r="B74" t="s">
        <v>300</v>
      </c>
      <c r="C74">
        <v>963</v>
      </c>
      <c r="D74" s="1">
        <v>8.3100000000000007E-2</v>
      </c>
      <c r="E74">
        <v>80</v>
      </c>
      <c r="F74">
        <v>7</v>
      </c>
      <c r="G74" s="2">
        <v>8.7499999999999994E-2</v>
      </c>
      <c r="H74" s="3">
        <v>0.26</v>
      </c>
      <c r="I74" s="3">
        <v>2.97</v>
      </c>
      <c r="J74" s="3">
        <v>20.79</v>
      </c>
    </row>
    <row r="75" spans="1:10" x14ac:dyDescent="0.3">
      <c r="A75" t="s">
        <v>17</v>
      </c>
      <c r="B75" t="s">
        <v>212</v>
      </c>
      <c r="C75">
        <v>960</v>
      </c>
      <c r="D75" s="1">
        <v>0.13750000000000001</v>
      </c>
      <c r="E75">
        <v>132</v>
      </c>
      <c r="F75">
        <v>19</v>
      </c>
      <c r="G75" s="2">
        <v>0.1439</v>
      </c>
      <c r="H75" s="3">
        <v>0.34</v>
      </c>
      <c r="I75" s="3">
        <v>2.37</v>
      </c>
      <c r="J75" s="3">
        <v>45.02</v>
      </c>
    </row>
    <row r="76" spans="1:10" x14ac:dyDescent="0.3">
      <c r="A76" t="s">
        <v>140</v>
      </c>
      <c r="B76" t="s">
        <v>233</v>
      </c>
      <c r="C76">
        <v>947</v>
      </c>
      <c r="D76" s="1">
        <v>3.1699999999999999E-2</v>
      </c>
      <c r="E76">
        <v>30</v>
      </c>
      <c r="F76">
        <v>2</v>
      </c>
      <c r="G76" s="2">
        <v>6.6699999999999995E-2</v>
      </c>
      <c r="H76" s="3">
        <v>0.18</v>
      </c>
      <c r="I76" s="3">
        <v>2.69</v>
      </c>
      <c r="J76" s="3">
        <v>5.38</v>
      </c>
    </row>
    <row r="77" spans="1:10" x14ac:dyDescent="0.3">
      <c r="A77" t="s">
        <v>464</v>
      </c>
      <c r="B77" t="s">
        <v>463</v>
      </c>
      <c r="C77">
        <v>907</v>
      </c>
      <c r="D77" s="1">
        <v>0.11470000000000001</v>
      </c>
      <c r="E77">
        <v>104</v>
      </c>
      <c r="F77">
        <v>5</v>
      </c>
      <c r="G77" s="2">
        <v>4.8099999999999997E-2</v>
      </c>
      <c r="H77" s="3">
        <v>0.09</v>
      </c>
      <c r="I77" s="3">
        <v>1.81</v>
      </c>
      <c r="J77" s="3">
        <v>9.07</v>
      </c>
    </row>
    <row r="78" spans="1:10" x14ac:dyDescent="0.3">
      <c r="A78" t="s">
        <v>35</v>
      </c>
      <c r="B78" t="s">
        <v>268</v>
      </c>
      <c r="C78">
        <v>894</v>
      </c>
      <c r="D78" s="1">
        <v>0.1376</v>
      </c>
      <c r="E78">
        <v>123</v>
      </c>
      <c r="F78">
        <v>8</v>
      </c>
      <c r="G78" s="2">
        <v>6.5000000000000002E-2</v>
      </c>
      <c r="H78" s="3">
        <v>0.67</v>
      </c>
      <c r="I78" s="3">
        <v>10.23</v>
      </c>
      <c r="J78" s="3">
        <v>81.86</v>
      </c>
    </row>
    <row r="79" spans="1:10" x14ac:dyDescent="0.3">
      <c r="A79" t="s">
        <v>89</v>
      </c>
      <c r="B79" t="s">
        <v>233</v>
      </c>
      <c r="C79">
        <v>891</v>
      </c>
      <c r="D79" s="1">
        <v>0.10099999999999999</v>
      </c>
      <c r="E79">
        <v>90</v>
      </c>
      <c r="F79">
        <v>4</v>
      </c>
      <c r="G79" s="2">
        <v>4.4400000000000002E-2</v>
      </c>
      <c r="H79" s="3">
        <v>0.11</v>
      </c>
      <c r="I79" s="3">
        <v>2.39</v>
      </c>
      <c r="J79" s="3">
        <v>9.56</v>
      </c>
    </row>
    <row r="80" spans="1:10" x14ac:dyDescent="0.3">
      <c r="A80" t="s">
        <v>46</v>
      </c>
      <c r="B80" t="s">
        <v>233</v>
      </c>
      <c r="C80">
        <v>865</v>
      </c>
      <c r="D80" s="1">
        <v>7.7499999999999999E-2</v>
      </c>
      <c r="E80">
        <v>67</v>
      </c>
      <c r="F80">
        <v>2</v>
      </c>
      <c r="G80" s="2">
        <v>2.9900000000000003E-2</v>
      </c>
      <c r="H80" s="3">
        <v>0.06</v>
      </c>
      <c r="I80" s="3">
        <v>2.0699999999999998</v>
      </c>
      <c r="J80" s="3">
        <v>4.13</v>
      </c>
    </row>
    <row r="81" spans="1:10" x14ac:dyDescent="0.3">
      <c r="A81" t="s">
        <v>67</v>
      </c>
      <c r="B81" t="s">
        <v>223</v>
      </c>
      <c r="C81">
        <v>845</v>
      </c>
      <c r="D81" s="1">
        <v>4.9699999999999994E-2</v>
      </c>
      <c r="E81">
        <v>42</v>
      </c>
      <c r="F81">
        <v>3</v>
      </c>
      <c r="G81" s="2">
        <v>7.1399999999999991E-2</v>
      </c>
      <c r="H81" s="3">
        <v>1.56</v>
      </c>
      <c r="I81" s="3">
        <v>21.9</v>
      </c>
      <c r="J81" s="3">
        <v>65.69</v>
      </c>
    </row>
    <row r="82" spans="1:10" x14ac:dyDescent="0.3">
      <c r="A82" t="s">
        <v>13</v>
      </c>
      <c r="B82" t="s">
        <v>228</v>
      </c>
      <c r="C82">
        <v>839</v>
      </c>
      <c r="D82" s="1">
        <v>8.3400000000000002E-2</v>
      </c>
      <c r="E82">
        <v>70</v>
      </c>
      <c r="F82">
        <v>5</v>
      </c>
      <c r="G82" s="2">
        <v>7.1399999999999991E-2</v>
      </c>
      <c r="H82" s="3">
        <v>0.12</v>
      </c>
      <c r="I82" s="3">
        <v>1.7</v>
      </c>
      <c r="J82" s="3">
        <v>8.5</v>
      </c>
    </row>
    <row r="83" spans="1:10" x14ac:dyDescent="0.3">
      <c r="A83" t="s">
        <v>22</v>
      </c>
      <c r="B83" t="s">
        <v>252</v>
      </c>
      <c r="C83">
        <v>817</v>
      </c>
      <c r="D83" s="1">
        <v>8.6899999999999991E-2</v>
      </c>
      <c r="E83">
        <v>71</v>
      </c>
      <c r="F83">
        <v>2</v>
      </c>
      <c r="G83" s="2">
        <v>2.8199999999999999E-2</v>
      </c>
      <c r="H83" s="3">
        <v>0.35</v>
      </c>
      <c r="I83" s="3">
        <v>12.3</v>
      </c>
      <c r="J83" s="3">
        <v>24.6</v>
      </c>
    </row>
    <row r="84" spans="1:10" x14ac:dyDescent="0.3">
      <c r="A84" t="s">
        <v>387</v>
      </c>
      <c r="B84" t="s">
        <v>272</v>
      </c>
      <c r="C84">
        <v>809</v>
      </c>
      <c r="D84" s="1">
        <v>6.0599999999999994E-2</v>
      </c>
      <c r="E84">
        <v>49</v>
      </c>
      <c r="F84">
        <v>2</v>
      </c>
      <c r="G84" s="2">
        <v>4.0800000000000003E-2</v>
      </c>
      <c r="H84" s="3">
        <v>0.18</v>
      </c>
      <c r="I84" s="3">
        <v>4.53</v>
      </c>
      <c r="J84" s="3">
        <v>9.0500000000000007</v>
      </c>
    </row>
    <row r="85" spans="1:10" x14ac:dyDescent="0.3">
      <c r="A85" t="s">
        <v>443</v>
      </c>
      <c r="B85" t="s">
        <v>233</v>
      </c>
      <c r="C85">
        <v>766</v>
      </c>
      <c r="D85" s="1">
        <v>5.8700000000000002E-2</v>
      </c>
      <c r="E85">
        <v>45</v>
      </c>
      <c r="F85">
        <v>2</v>
      </c>
      <c r="G85" s="2">
        <v>4.4400000000000002E-2</v>
      </c>
      <c r="H85" s="3">
        <v>0.25</v>
      </c>
      <c r="I85" s="3">
        <v>5.59</v>
      </c>
      <c r="J85" s="3">
        <v>11.18</v>
      </c>
    </row>
    <row r="86" spans="1:10" x14ac:dyDescent="0.3">
      <c r="A86" t="s">
        <v>294</v>
      </c>
      <c r="B86" t="s">
        <v>221</v>
      </c>
      <c r="C86">
        <v>753</v>
      </c>
      <c r="D86" s="1">
        <v>0.1328</v>
      </c>
      <c r="E86">
        <v>100</v>
      </c>
      <c r="F86">
        <v>3</v>
      </c>
      <c r="G86" s="2">
        <v>0.03</v>
      </c>
      <c r="H86" s="3">
        <v>0.11</v>
      </c>
      <c r="I86" s="3">
        <v>3.75</v>
      </c>
      <c r="J86" s="3">
        <v>11.24</v>
      </c>
    </row>
    <row r="87" spans="1:10" x14ac:dyDescent="0.3">
      <c r="A87" t="s">
        <v>120</v>
      </c>
      <c r="B87" t="s">
        <v>212</v>
      </c>
      <c r="C87">
        <v>750</v>
      </c>
      <c r="D87" s="1">
        <v>7.7300000000000008E-2</v>
      </c>
      <c r="E87">
        <v>58</v>
      </c>
      <c r="F87">
        <v>1</v>
      </c>
      <c r="G87" s="2">
        <v>1.72E-2</v>
      </c>
      <c r="H87" s="3">
        <v>0.19</v>
      </c>
      <c r="I87" s="3">
        <v>11.08</v>
      </c>
      <c r="J87" s="3">
        <v>11.08</v>
      </c>
    </row>
    <row r="88" spans="1:10" x14ac:dyDescent="0.3">
      <c r="A88" t="s">
        <v>454</v>
      </c>
      <c r="B88" t="s">
        <v>221</v>
      </c>
      <c r="C88">
        <v>750</v>
      </c>
      <c r="D88" s="1">
        <v>3.3300000000000003E-2</v>
      </c>
      <c r="E88">
        <v>25</v>
      </c>
      <c r="F88">
        <v>4</v>
      </c>
      <c r="G88" s="2">
        <v>0.16</v>
      </c>
      <c r="H88" s="3">
        <v>0.52</v>
      </c>
      <c r="I88" s="3">
        <v>3.27</v>
      </c>
      <c r="J88" s="3">
        <v>13.06</v>
      </c>
    </row>
    <row r="89" spans="1:10" x14ac:dyDescent="0.3">
      <c r="A89" t="s">
        <v>32</v>
      </c>
      <c r="B89" t="s">
        <v>353</v>
      </c>
      <c r="C89">
        <v>744</v>
      </c>
      <c r="D89" s="1">
        <v>0.10220000000000001</v>
      </c>
      <c r="E89">
        <v>76</v>
      </c>
      <c r="F89">
        <v>5</v>
      </c>
      <c r="G89" s="2">
        <v>6.5799999999999997E-2</v>
      </c>
      <c r="H89" s="3">
        <v>0.65</v>
      </c>
      <c r="I89" s="3">
        <v>9.85</v>
      </c>
      <c r="J89" s="3">
        <v>49.26</v>
      </c>
    </row>
    <row r="90" spans="1:10" x14ac:dyDescent="0.3">
      <c r="A90" t="s">
        <v>88</v>
      </c>
      <c r="B90" t="s">
        <v>253</v>
      </c>
      <c r="C90">
        <v>738</v>
      </c>
      <c r="D90" s="1">
        <v>9.7599999999999992E-2</v>
      </c>
      <c r="E90">
        <v>72</v>
      </c>
      <c r="F90">
        <v>3</v>
      </c>
      <c r="G90" s="2">
        <v>4.1700000000000001E-2</v>
      </c>
      <c r="H90" s="3">
        <v>0.23</v>
      </c>
      <c r="I90" s="3">
        <v>5.63</v>
      </c>
      <c r="J90" s="3">
        <v>16.89</v>
      </c>
    </row>
    <row r="91" spans="1:10" x14ac:dyDescent="0.3">
      <c r="A91" t="s">
        <v>145</v>
      </c>
      <c r="B91" t="s">
        <v>353</v>
      </c>
      <c r="C91">
        <v>728</v>
      </c>
      <c r="D91" s="1">
        <v>7.9699999999999993E-2</v>
      </c>
      <c r="E91">
        <v>58</v>
      </c>
      <c r="F91">
        <v>10</v>
      </c>
      <c r="G91" s="2">
        <v>0.1724</v>
      </c>
      <c r="H91" s="3">
        <v>0.26</v>
      </c>
      <c r="I91" s="3">
        <v>1.53</v>
      </c>
      <c r="J91" s="3">
        <v>15.3</v>
      </c>
    </row>
    <row r="92" spans="1:10" x14ac:dyDescent="0.3">
      <c r="A92" t="s">
        <v>287</v>
      </c>
      <c r="B92" t="s">
        <v>288</v>
      </c>
      <c r="C92">
        <v>723</v>
      </c>
      <c r="D92" s="1">
        <v>9.5399999999999985E-2</v>
      </c>
      <c r="E92">
        <v>69</v>
      </c>
      <c r="F92">
        <v>3</v>
      </c>
      <c r="G92" s="2">
        <v>4.3499999999999997E-2</v>
      </c>
      <c r="H92" s="3">
        <v>0.43</v>
      </c>
      <c r="I92" s="3">
        <v>9.98</v>
      </c>
      <c r="J92" s="3">
        <v>29.93</v>
      </c>
    </row>
    <row r="93" spans="1:10" x14ac:dyDescent="0.3">
      <c r="A93" t="s">
        <v>118</v>
      </c>
      <c r="B93" t="s">
        <v>263</v>
      </c>
      <c r="C93">
        <v>685</v>
      </c>
      <c r="D93" s="1">
        <v>5.5500000000000001E-2</v>
      </c>
      <c r="E93">
        <v>38</v>
      </c>
      <c r="F93">
        <v>3</v>
      </c>
      <c r="G93" s="2">
        <v>7.8899999999999998E-2</v>
      </c>
      <c r="H93" s="3">
        <v>0.28999999999999998</v>
      </c>
      <c r="I93" s="3">
        <v>3.61</v>
      </c>
      <c r="J93" s="3">
        <v>10.84</v>
      </c>
    </row>
    <row r="94" spans="1:10" x14ac:dyDescent="0.3">
      <c r="A94" t="s">
        <v>305</v>
      </c>
      <c r="B94" t="s">
        <v>223</v>
      </c>
      <c r="C94">
        <v>669</v>
      </c>
      <c r="D94" s="1">
        <v>3.1400000000000004E-2</v>
      </c>
      <c r="E94">
        <v>21</v>
      </c>
      <c r="F94">
        <v>3</v>
      </c>
      <c r="G94" s="2">
        <v>0.1429</v>
      </c>
      <c r="H94" s="3">
        <v>2.46</v>
      </c>
      <c r="I94" s="3">
        <v>17.22</v>
      </c>
      <c r="J94" s="3">
        <v>51.67</v>
      </c>
    </row>
    <row r="95" spans="1:10" x14ac:dyDescent="0.3">
      <c r="A95" t="s">
        <v>298</v>
      </c>
      <c r="B95" t="s">
        <v>215</v>
      </c>
      <c r="C95">
        <v>665</v>
      </c>
      <c r="D95" s="1">
        <v>5.7099999999999998E-2</v>
      </c>
      <c r="E95">
        <v>38</v>
      </c>
      <c r="F95">
        <v>2</v>
      </c>
      <c r="G95" s="2">
        <v>5.2600000000000001E-2</v>
      </c>
      <c r="H95" s="3">
        <v>1.02</v>
      </c>
      <c r="I95" s="3">
        <v>19.29</v>
      </c>
      <c r="J95" s="3">
        <v>38.58</v>
      </c>
    </row>
    <row r="96" spans="1:10" x14ac:dyDescent="0.3">
      <c r="A96" t="s">
        <v>53</v>
      </c>
      <c r="B96" t="s">
        <v>235</v>
      </c>
      <c r="C96">
        <v>664</v>
      </c>
      <c r="D96" s="1">
        <v>0.11449999999999999</v>
      </c>
      <c r="E96">
        <v>76</v>
      </c>
      <c r="F96">
        <v>2</v>
      </c>
      <c r="G96" s="2">
        <v>2.63E-2</v>
      </c>
      <c r="H96" s="3">
        <v>0.05</v>
      </c>
      <c r="I96" s="3">
        <v>1.76</v>
      </c>
      <c r="J96" s="3">
        <v>3.51</v>
      </c>
    </row>
    <row r="97" spans="1:10" x14ac:dyDescent="0.3">
      <c r="A97" t="s">
        <v>350</v>
      </c>
      <c r="B97" t="s">
        <v>239</v>
      </c>
      <c r="C97">
        <v>647</v>
      </c>
      <c r="D97" s="1">
        <v>5.8700000000000002E-2</v>
      </c>
      <c r="E97">
        <v>38</v>
      </c>
      <c r="F97">
        <v>0</v>
      </c>
      <c r="G97" s="2">
        <v>0</v>
      </c>
      <c r="H97" s="3">
        <v>0</v>
      </c>
      <c r="I97" s="3" t="s">
        <v>213</v>
      </c>
      <c r="J97" s="3">
        <v>0</v>
      </c>
    </row>
    <row r="98" spans="1:10" x14ac:dyDescent="0.3">
      <c r="A98" t="s">
        <v>154</v>
      </c>
      <c r="B98" t="s">
        <v>221</v>
      </c>
      <c r="C98">
        <v>645</v>
      </c>
      <c r="D98" s="1">
        <v>3.1E-2</v>
      </c>
      <c r="E98">
        <v>20</v>
      </c>
      <c r="F98">
        <v>0</v>
      </c>
      <c r="G98" s="2">
        <v>0</v>
      </c>
      <c r="H98" s="3">
        <v>0</v>
      </c>
      <c r="I98" s="3" t="s">
        <v>213</v>
      </c>
      <c r="J98" s="3">
        <v>0</v>
      </c>
    </row>
    <row r="99" spans="1:10" x14ac:dyDescent="0.3">
      <c r="A99" t="s">
        <v>11</v>
      </c>
      <c r="B99" t="s">
        <v>221</v>
      </c>
      <c r="C99">
        <v>633</v>
      </c>
      <c r="D99" s="1">
        <v>8.6899999999999991E-2</v>
      </c>
      <c r="E99">
        <v>55</v>
      </c>
      <c r="F99">
        <v>8</v>
      </c>
      <c r="G99" s="2">
        <v>0.14550000000000002</v>
      </c>
      <c r="H99" s="3">
        <v>1.1299999999999999</v>
      </c>
      <c r="I99" s="3">
        <v>7.74</v>
      </c>
      <c r="J99" s="3">
        <v>61.9</v>
      </c>
    </row>
    <row r="100" spans="1:10" x14ac:dyDescent="0.3">
      <c r="A100" t="s">
        <v>38</v>
      </c>
      <c r="B100" t="s">
        <v>233</v>
      </c>
      <c r="C100">
        <v>630</v>
      </c>
      <c r="D100" s="1">
        <v>5.7099999999999998E-2</v>
      </c>
      <c r="E100">
        <v>36</v>
      </c>
      <c r="F100">
        <v>4</v>
      </c>
      <c r="G100" s="2">
        <v>0.11109999999999999</v>
      </c>
      <c r="H100" s="3">
        <v>0.25</v>
      </c>
      <c r="I100" s="3">
        <v>2.21</v>
      </c>
      <c r="J100" s="3">
        <v>8.84</v>
      </c>
    </row>
    <row r="101" spans="1:10" x14ac:dyDescent="0.3">
      <c r="A101" t="s">
        <v>305</v>
      </c>
      <c r="B101" t="s">
        <v>221</v>
      </c>
      <c r="C101">
        <v>628</v>
      </c>
      <c r="D101" s="1">
        <v>5.7300000000000004E-2</v>
      </c>
      <c r="E101">
        <v>36</v>
      </c>
      <c r="F101">
        <v>2</v>
      </c>
      <c r="G101" s="2">
        <v>5.5599999999999997E-2</v>
      </c>
      <c r="H101" s="3">
        <v>0.71</v>
      </c>
      <c r="I101" s="3">
        <v>12.7</v>
      </c>
      <c r="J101" s="3">
        <v>25.4</v>
      </c>
    </row>
    <row r="102" spans="1:10" x14ac:dyDescent="0.3">
      <c r="A102" t="s">
        <v>243</v>
      </c>
      <c r="B102" t="s">
        <v>244</v>
      </c>
      <c r="C102">
        <v>617</v>
      </c>
      <c r="D102" s="1">
        <v>7.7800000000000008E-2</v>
      </c>
      <c r="E102">
        <v>48</v>
      </c>
      <c r="F102">
        <v>2</v>
      </c>
      <c r="G102" s="2">
        <v>4.1700000000000001E-2</v>
      </c>
      <c r="H102" s="3">
        <v>7.0000000000000007E-2</v>
      </c>
      <c r="I102" s="3">
        <v>1.7</v>
      </c>
      <c r="J102" s="3">
        <v>3.4</v>
      </c>
    </row>
    <row r="103" spans="1:10" x14ac:dyDescent="0.3">
      <c r="A103" t="s">
        <v>489</v>
      </c>
      <c r="B103" t="s">
        <v>221</v>
      </c>
      <c r="C103">
        <v>615</v>
      </c>
      <c r="D103" s="1">
        <v>5.2000000000000005E-2</v>
      </c>
      <c r="E103">
        <v>32</v>
      </c>
      <c r="F103">
        <v>3</v>
      </c>
      <c r="G103" s="2">
        <v>9.3800000000000008E-2</v>
      </c>
      <c r="H103" s="3">
        <v>1.1000000000000001</v>
      </c>
      <c r="I103" s="3">
        <v>11.72</v>
      </c>
      <c r="J103" s="3">
        <v>35.159999999999997</v>
      </c>
    </row>
    <row r="104" spans="1:10" x14ac:dyDescent="0.3">
      <c r="A104" t="s">
        <v>158</v>
      </c>
      <c r="B104" t="s">
        <v>233</v>
      </c>
      <c r="C104">
        <v>612</v>
      </c>
      <c r="D104" s="1">
        <v>6.0499999999999998E-2</v>
      </c>
      <c r="E104">
        <v>37</v>
      </c>
      <c r="F104">
        <v>4</v>
      </c>
      <c r="G104" s="2">
        <v>0.1081</v>
      </c>
      <c r="H104" s="3">
        <v>0.57999999999999996</v>
      </c>
      <c r="I104" s="3">
        <v>5.34</v>
      </c>
      <c r="J104" s="3">
        <v>21.36</v>
      </c>
    </row>
    <row r="105" spans="1:10" x14ac:dyDescent="0.3">
      <c r="A105" t="s">
        <v>109</v>
      </c>
      <c r="B105" t="s">
        <v>247</v>
      </c>
      <c r="C105">
        <v>611</v>
      </c>
      <c r="D105" s="1">
        <v>0.10800000000000001</v>
      </c>
      <c r="E105">
        <v>66</v>
      </c>
      <c r="F105">
        <v>9</v>
      </c>
      <c r="G105" s="2">
        <v>0.13639999999999999</v>
      </c>
      <c r="H105" s="3">
        <v>0.28000000000000003</v>
      </c>
      <c r="I105" s="3">
        <v>2.09</v>
      </c>
      <c r="J105" s="3">
        <v>18.78</v>
      </c>
    </row>
    <row r="106" spans="1:10" x14ac:dyDescent="0.3">
      <c r="A106" t="s">
        <v>302</v>
      </c>
      <c r="B106" t="s">
        <v>221</v>
      </c>
      <c r="C106">
        <v>604</v>
      </c>
      <c r="D106" s="1">
        <v>4.2999999999999997E-2</v>
      </c>
      <c r="E106">
        <v>26</v>
      </c>
      <c r="F106">
        <v>3</v>
      </c>
      <c r="G106" s="2">
        <v>0.11539999999999999</v>
      </c>
      <c r="H106" s="3">
        <v>3.37</v>
      </c>
      <c r="I106" s="3">
        <v>29.23</v>
      </c>
      <c r="J106" s="3">
        <v>87.68</v>
      </c>
    </row>
    <row r="107" spans="1:10" x14ac:dyDescent="0.3">
      <c r="A107" t="s">
        <v>136</v>
      </c>
      <c r="B107" t="s">
        <v>233</v>
      </c>
      <c r="C107">
        <v>599</v>
      </c>
      <c r="D107" s="1">
        <v>4.3400000000000001E-2</v>
      </c>
      <c r="E107">
        <v>26</v>
      </c>
      <c r="F107">
        <v>0</v>
      </c>
      <c r="G107" s="2">
        <v>0</v>
      </c>
      <c r="H107" s="3">
        <v>0</v>
      </c>
      <c r="I107" s="3" t="s">
        <v>213</v>
      </c>
      <c r="J107" s="3">
        <v>0</v>
      </c>
    </row>
    <row r="108" spans="1:10" x14ac:dyDescent="0.3">
      <c r="A108" t="s">
        <v>108</v>
      </c>
      <c r="B108" t="s">
        <v>233</v>
      </c>
      <c r="C108">
        <v>595</v>
      </c>
      <c r="D108" s="1">
        <v>0.15629999999999999</v>
      </c>
      <c r="E108">
        <v>93</v>
      </c>
      <c r="F108">
        <v>11</v>
      </c>
      <c r="G108" s="2">
        <v>0.1183</v>
      </c>
      <c r="H108" s="3">
        <v>0.25</v>
      </c>
      <c r="I108" s="3">
        <v>2.0699999999999998</v>
      </c>
      <c r="J108" s="3">
        <v>22.8</v>
      </c>
    </row>
    <row r="109" spans="1:10" x14ac:dyDescent="0.3">
      <c r="A109" t="s">
        <v>74</v>
      </c>
      <c r="B109" t="s">
        <v>269</v>
      </c>
      <c r="C109">
        <v>593</v>
      </c>
      <c r="D109" s="1">
        <v>0.1079</v>
      </c>
      <c r="E109">
        <v>64</v>
      </c>
      <c r="F109">
        <v>13</v>
      </c>
      <c r="G109" s="2">
        <v>0.20309999999999997</v>
      </c>
      <c r="H109" s="3">
        <v>1.48</v>
      </c>
      <c r="I109" s="3">
        <v>7.31</v>
      </c>
      <c r="J109" s="3">
        <v>95</v>
      </c>
    </row>
    <row r="110" spans="1:10" x14ac:dyDescent="0.3">
      <c r="A110" t="s">
        <v>49</v>
      </c>
      <c r="B110" t="s">
        <v>233</v>
      </c>
      <c r="C110">
        <v>584</v>
      </c>
      <c r="D110" s="1">
        <v>6.5099999999999991E-2</v>
      </c>
      <c r="E110">
        <v>38</v>
      </c>
      <c r="F110">
        <v>4</v>
      </c>
      <c r="G110" s="2">
        <v>0.10529999999999999</v>
      </c>
      <c r="H110" s="3">
        <v>0.23</v>
      </c>
      <c r="I110" s="3">
        <v>2.14</v>
      </c>
      <c r="J110" s="3">
        <v>8.5500000000000007</v>
      </c>
    </row>
    <row r="111" spans="1:10" x14ac:dyDescent="0.3">
      <c r="A111" t="s">
        <v>18</v>
      </c>
      <c r="B111" t="s">
        <v>262</v>
      </c>
      <c r="C111">
        <v>583</v>
      </c>
      <c r="D111" s="1">
        <v>0.10289999999999999</v>
      </c>
      <c r="E111">
        <v>60</v>
      </c>
      <c r="F111">
        <v>2</v>
      </c>
      <c r="G111" s="2">
        <v>3.3300000000000003E-2</v>
      </c>
      <c r="H111" s="3">
        <v>0.09</v>
      </c>
      <c r="I111" s="3">
        <v>2.56</v>
      </c>
      <c r="J111" s="3">
        <v>5.1100000000000003</v>
      </c>
    </row>
    <row r="112" spans="1:10" x14ac:dyDescent="0.3">
      <c r="A112" t="s">
        <v>32</v>
      </c>
      <c r="B112" t="s">
        <v>244</v>
      </c>
      <c r="C112">
        <v>582</v>
      </c>
      <c r="D112" s="1">
        <v>6.3600000000000004E-2</v>
      </c>
      <c r="E112">
        <v>37</v>
      </c>
      <c r="F112">
        <v>5</v>
      </c>
      <c r="G112" s="2">
        <v>0.1351</v>
      </c>
      <c r="H112" s="3">
        <v>0.88</v>
      </c>
      <c r="I112" s="3">
        <v>6.5</v>
      </c>
      <c r="J112" s="3">
        <v>32.51</v>
      </c>
    </row>
    <row r="113" spans="1:10" x14ac:dyDescent="0.3">
      <c r="A113" t="s">
        <v>444</v>
      </c>
      <c r="B113" t="s">
        <v>215</v>
      </c>
      <c r="C113">
        <v>580</v>
      </c>
      <c r="D113" s="1">
        <v>0.15689999999999998</v>
      </c>
      <c r="E113">
        <v>91</v>
      </c>
      <c r="F113">
        <v>20</v>
      </c>
      <c r="G113" s="2">
        <v>0.2198</v>
      </c>
      <c r="H113" s="3">
        <v>0.51</v>
      </c>
      <c r="I113" s="3">
        <v>2.31</v>
      </c>
      <c r="J113" s="3">
        <v>46.1</v>
      </c>
    </row>
    <row r="114" spans="1:10" x14ac:dyDescent="0.3">
      <c r="A114" t="s">
        <v>363</v>
      </c>
      <c r="B114" t="s">
        <v>215</v>
      </c>
      <c r="C114">
        <v>564</v>
      </c>
      <c r="D114" s="1">
        <v>3.9E-2</v>
      </c>
      <c r="E114">
        <v>22</v>
      </c>
      <c r="F114">
        <v>2</v>
      </c>
      <c r="G114" s="2">
        <v>9.0899999999999995E-2</v>
      </c>
      <c r="H114" s="3">
        <v>0.66</v>
      </c>
      <c r="I114" s="3">
        <v>7.26</v>
      </c>
      <c r="J114" s="3">
        <v>14.51</v>
      </c>
    </row>
    <row r="115" spans="1:10" x14ac:dyDescent="0.3">
      <c r="A115" t="s">
        <v>74</v>
      </c>
      <c r="B115" t="s">
        <v>233</v>
      </c>
      <c r="C115">
        <v>554</v>
      </c>
      <c r="D115" s="1">
        <v>0.1137</v>
      </c>
      <c r="E115">
        <v>63</v>
      </c>
      <c r="F115">
        <v>6</v>
      </c>
      <c r="G115" s="2">
        <v>9.5199999999999993E-2</v>
      </c>
      <c r="H115" s="3">
        <v>0.21</v>
      </c>
      <c r="I115" s="3">
        <v>2.2000000000000002</v>
      </c>
      <c r="J115" s="3">
        <v>13.17</v>
      </c>
    </row>
    <row r="116" spans="1:10" x14ac:dyDescent="0.3">
      <c r="A116" t="s">
        <v>482</v>
      </c>
      <c r="B116" t="s">
        <v>272</v>
      </c>
      <c r="C116">
        <v>550</v>
      </c>
      <c r="D116" s="1">
        <v>0.06</v>
      </c>
      <c r="E116">
        <v>33</v>
      </c>
      <c r="F116">
        <v>0</v>
      </c>
      <c r="G116" s="2">
        <v>0</v>
      </c>
      <c r="H116" s="3">
        <v>0</v>
      </c>
      <c r="I116" s="3" t="s">
        <v>213</v>
      </c>
      <c r="J116" s="3">
        <v>0</v>
      </c>
    </row>
    <row r="117" spans="1:10" x14ac:dyDescent="0.3">
      <c r="A117" t="s">
        <v>51</v>
      </c>
      <c r="B117" t="s">
        <v>233</v>
      </c>
      <c r="C117">
        <v>549</v>
      </c>
      <c r="D117" s="1">
        <v>0.11109999999999999</v>
      </c>
      <c r="E117">
        <v>61</v>
      </c>
      <c r="F117">
        <v>5</v>
      </c>
      <c r="G117" s="2">
        <v>8.199999999999999E-2</v>
      </c>
      <c r="H117" s="3">
        <v>0.55000000000000004</v>
      </c>
      <c r="I117" s="3">
        <v>6.65</v>
      </c>
      <c r="J117" s="3">
        <v>33.270000000000003</v>
      </c>
    </row>
    <row r="118" spans="1:10" x14ac:dyDescent="0.3">
      <c r="A118" t="s">
        <v>123</v>
      </c>
      <c r="B118" t="s">
        <v>268</v>
      </c>
      <c r="C118">
        <v>541</v>
      </c>
      <c r="D118" s="1">
        <v>0.1331</v>
      </c>
      <c r="E118">
        <v>72</v>
      </c>
      <c r="F118">
        <v>1</v>
      </c>
      <c r="G118" s="2">
        <v>1.3899999999999999E-2</v>
      </c>
      <c r="H118" s="3">
        <v>0.02</v>
      </c>
      <c r="I118" s="3">
        <v>1.7</v>
      </c>
      <c r="J118" s="3">
        <v>1.7</v>
      </c>
    </row>
    <row r="119" spans="1:10" x14ac:dyDescent="0.3">
      <c r="A119" t="s">
        <v>135</v>
      </c>
      <c r="B119" t="s">
        <v>242</v>
      </c>
      <c r="C119">
        <v>541</v>
      </c>
      <c r="D119" s="1">
        <v>4.6199999999999998E-2</v>
      </c>
      <c r="E119">
        <v>25</v>
      </c>
      <c r="F119">
        <v>0</v>
      </c>
      <c r="G119" s="2">
        <v>0</v>
      </c>
      <c r="H119" s="3">
        <v>0</v>
      </c>
      <c r="I119" s="3" t="s">
        <v>213</v>
      </c>
      <c r="J119" s="3">
        <v>0</v>
      </c>
    </row>
    <row r="120" spans="1:10" x14ac:dyDescent="0.3">
      <c r="A120" t="s">
        <v>7</v>
      </c>
      <c r="B120" t="s">
        <v>242</v>
      </c>
      <c r="C120">
        <v>541</v>
      </c>
      <c r="D120" s="1">
        <v>9.98E-2</v>
      </c>
      <c r="E120">
        <v>54</v>
      </c>
      <c r="F120">
        <v>8</v>
      </c>
      <c r="G120" s="2">
        <v>0.14810000000000001</v>
      </c>
      <c r="H120" s="3">
        <v>0.35</v>
      </c>
      <c r="I120" s="3">
        <v>2.38</v>
      </c>
      <c r="J120" s="3">
        <v>19.059999999999999</v>
      </c>
    </row>
    <row r="121" spans="1:10" x14ac:dyDescent="0.3">
      <c r="A121" t="s">
        <v>302</v>
      </c>
      <c r="B121" t="s">
        <v>221</v>
      </c>
      <c r="C121">
        <v>537</v>
      </c>
      <c r="D121" s="1">
        <v>4.0999999999999995E-2</v>
      </c>
      <c r="E121">
        <v>22</v>
      </c>
      <c r="F121">
        <v>4</v>
      </c>
      <c r="G121" s="2">
        <v>0.18179999999999999</v>
      </c>
      <c r="H121" s="3">
        <v>2.58</v>
      </c>
      <c r="I121" s="3">
        <v>14.22</v>
      </c>
      <c r="J121" s="3">
        <v>56.86</v>
      </c>
    </row>
    <row r="122" spans="1:10" x14ac:dyDescent="0.3">
      <c r="A122" t="s">
        <v>75</v>
      </c>
      <c r="B122" t="s">
        <v>323</v>
      </c>
      <c r="C122">
        <v>534</v>
      </c>
      <c r="D122" s="1">
        <v>4.87E-2</v>
      </c>
      <c r="E122">
        <v>26</v>
      </c>
      <c r="F122">
        <v>1</v>
      </c>
      <c r="G122" s="2">
        <v>3.85E-2</v>
      </c>
      <c r="H122" s="3">
        <v>0.48</v>
      </c>
      <c r="I122" s="3">
        <v>12.38</v>
      </c>
      <c r="J122" s="3">
        <v>12.38</v>
      </c>
    </row>
    <row r="123" spans="1:10" x14ac:dyDescent="0.3">
      <c r="A123" t="s">
        <v>48</v>
      </c>
      <c r="B123" t="s">
        <v>233</v>
      </c>
      <c r="C123">
        <v>530</v>
      </c>
      <c r="D123" s="1">
        <v>0.11890000000000001</v>
      </c>
      <c r="E123">
        <v>63</v>
      </c>
      <c r="F123">
        <v>4</v>
      </c>
      <c r="G123" s="2">
        <v>6.3500000000000001E-2</v>
      </c>
      <c r="H123" s="3">
        <v>0.2</v>
      </c>
      <c r="I123" s="3">
        <v>3.22</v>
      </c>
      <c r="J123" s="3">
        <v>12.88</v>
      </c>
    </row>
    <row r="124" spans="1:10" x14ac:dyDescent="0.3">
      <c r="A124" t="s">
        <v>11</v>
      </c>
      <c r="B124" t="s">
        <v>221</v>
      </c>
      <c r="C124">
        <v>527</v>
      </c>
      <c r="D124" s="1">
        <v>0.129</v>
      </c>
      <c r="E124">
        <v>68</v>
      </c>
      <c r="F124">
        <v>5</v>
      </c>
      <c r="G124" s="2">
        <v>7.3499999999999996E-2</v>
      </c>
      <c r="H124" s="3">
        <v>0.75</v>
      </c>
      <c r="I124" s="3">
        <v>10.210000000000001</v>
      </c>
      <c r="J124" s="3">
        <v>51.06</v>
      </c>
    </row>
    <row r="125" spans="1:10" x14ac:dyDescent="0.3">
      <c r="A125" t="s">
        <v>305</v>
      </c>
      <c r="B125" t="s">
        <v>221</v>
      </c>
      <c r="C125">
        <v>526</v>
      </c>
      <c r="D125" s="1">
        <v>4.7500000000000001E-2</v>
      </c>
      <c r="E125">
        <v>25</v>
      </c>
      <c r="F125">
        <v>6</v>
      </c>
      <c r="G125" s="2">
        <v>0.24</v>
      </c>
      <c r="H125" s="3">
        <v>11.74</v>
      </c>
      <c r="I125" s="3">
        <v>48.92</v>
      </c>
      <c r="J125" s="3">
        <v>293.49</v>
      </c>
    </row>
    <row r="126" spans="1:10" x14ac:dyDescent="0.3">
      <c r="A126" t="s">
        <v>66</v>
      </c>
      <c r="B126" t="s">
        <v>244</v>
      </c>
      <c r="C126">
        <v>520</v>
      </c>
      <c r="D126" s="1">
        <v>7.3099999999999998E-2</v>
      </c>
      <c r="E126">
        <v>38</v>
      </c>
      <c r="F126">
        <v>2</v>
      </c>
      <c r="G126" s="2">
        <v>5.2600000000000001E-2</v>
      </c>
      <c r="H126" s="3">
        <v>0.11</v>
      </c>
      <c r="I126" s="3">
        <v>2.0499999999999998</v>
      </c>
      <c r="J126" s="3">
        <v>4.09</v>
      </c>
    </row>
    <row r="127" spans="1:10" x14ac:dyDescent="0.3">
      <c r="A127" t="s">
        <v>84</v>
      </c>
      <c r="B127" t="s">
        <v>279</v>
      </c>
      <c r="C127">
        <v>519</v>
      </c>
      <c r="D127" s="1">
        <v>0.13489999999999999</v>
      </c>
      <c r="E127">
        <v>70</v>
      </c>
      <c r="F127">
        <v>1</v>
      </c>
      <c r="G127" s="2">
        <v>1.43E-2</v>
      </c>
      <c r="H127" s="3">
        <v>0.03</v>
      </c>
      <c r="I127" s="3">
        <v>1.96</v>
      </c>
      <c r="J127" s="3">
        <v>1.96</v>
      </c>
    </row>
    <row r="128" spans="1:10" x14ac:dyDescent="0.3">
      <c r="A128" t="s">
        <v>91</v>
      </c>
      <c r="B128" t="s">
        <v>324</v>
      </c>
      <c r="C128">
        <v>502</v>
      </c>
      <c r="D128" s="1">
        <v>6.3700000000000007E-2</v>
      </c>
      <c r="E128">
        <v>32</v>
      </c>
      <c r="F128">
        <v>0</v>
      </c>
      <c r="G128" s="2">
        <v>0</v>
      </c>
      <c r="H128" s="3">
        <v>0</v>
      </c>
      <c r="I128" s="3" t="s">
        <v>213</v>
      </c>
      <c r="J128" s="3">
        <v>0</v>
      </c>
    </row>
    <row r="129" spans="1:10" x14ac:dyDescent="0.3">
      <c r="A129" t="s">
        <v>11</v>
      </c>
      <c r="B129" t="s">
        <v>221</v>
      </c>
      <c r="C129">
        <v>499</v>
      </c>
      <c r="D129" s="1">
        <v>0.1583</v>
      </c>
      <c r="E129">
        <v>79</v>
      </c>
      <c r="F129">
        <v>13</v>
      </c>
      <c r="G129" s="2">
        <v>0.1646</v>
      </c>
      <c r="H129" s="3">
        <v>1.1599999999999999</v>
      </c>
      <c r="I129" s="3">
        <v>7.03</v>
      </c>
      <c r="J129" s="3">
        <v>91.35</v>
      </c>
    </row>
    <row r="130" spans="1:10" x14ac:dyDescent="0.3">
      <c r="A130" t="s">
        <v>302</v>
      </c>
      <c r="B130" t="s">
        <v>303</v>
      </c>
      <c r="C130">
        <v>490</v>
      </c>
      <c r="D130" s="1">
        <v>3.4700000000000002E-2</v>
      </c>
      <c r="E130">
        <v>17</v>
      </c>
      <c r="F130">
        <v>1</v>
      </c>
      <c r="G130" s="2">
        <v>5.8799999999999998E-2</v>
      </c>
      <c r="H130" s="3">
        <v>0.44</v>
      </c>
      <c r="I130" s="3">
        <v>7.43</v>
      </c>
      <c r="J130" s="3">
        <v>7.43</v>
      </c>
    </row>
    <row r="131" spans="1:10" x14ac:dyDescent="0.3">
      <c r="A131" t="s">
        <v>133</v>
      </c>
      <c r="B131" t="s">
        <v>309</v>
      </c>
      <c r="C131">
        <v>489</v>
      </c>
      <c r="D131" s="1">
        <v>9.6099999999999991E-2</v>
      </c>
      <c r="E131">
        <v>47</v>
      </c>
      <c r="F131">
        <v>1</v>
      </c>
      <c r="G131" s="2">
        <v>2.1299999999999999E-2</v>
      </c>
      <c r="H131" s="3">
        <v>0.05</v>
      </c>
      <c r="I131" s="3">
        <v>2.31</v>
      </c>
      <c r="J131" s="3">
        <v>2.31</v>
      </c>
    </row>
    <row r="132" spans="1:10" x14ac:dyDescent="0.3">
      <c r="A132" t="s">
        <v>363</v>
      </c>
      <c r="B132" t="s">
        <v>364</v>
      </c>
      <c r="C132">
        <v>485</v>
      </c>
      <c r="D132" s="1">
        <v>2.2700000000000001E-2</v>
      </c>
      <c r="E132">
        <v>11</v>
      </c>
      <c r="F132">
        <v>1</v>
      </c>
      <c r="G132" s="2">
        <v>9.0899999999999995E-2</v>
      </c>
      <c r="H132" s="3">
        <v>1.66</v>
      </c>
      <c r="I132" s="3">
        <v>18.260000000000002</v>
      </c>
      <c r="J132" s="3">
        <v>18.260000000000002</v>
      </c>
    </row>
    <row r="133" spans="1:10" x14ac:dyDescent="0.3">
      <c r="A133" t="s">
        <v>39</v>
      </c>
      <c r="B133" t="s">
        <v>212</v>
      </c>
      <c r="C133">
        <v>485</v>
      </c>
      <c r="D133" s="1">
        <v>7.6299999999999993E-2</v>
      </c>
      <c r="E133">
        <v>37</v>
      </c>
      <c r="F133">
        <v>4</v>
      </c>
      <c r="G133" s="2">
        <v>0.1081</v>
      </c>
      <c r="H133" s="3">
        <v>0.84</v>
      </c>
      <c r="I133" s="3">
        <v>7.81</v>
      </c>
      <c r="J133" s="3">
        <v>31.22</v>
      </c>
    </row>
    <row r="134" spans="1:10" x14ac:dyDescent="0.3">
      <c r="A134" t="s">
        <v>41</v>
      </c>
      <c r="B134" t="s">
        <v>309</v>
      </c>
      <c r="C134">
        <v>479</v>
      </c>
      <c r="D134" s="1">
        <v>0.1232</v>
      </c>
      <c r="E134">
        <v>59</v>
      </c>
      <c r="F134">
        <v>3</v>
      </c>
      <c r="G134" s="2">
        <v>5.0799999999999998E-2</v>
      </c>
      <c r="H134" s="3">
        <v>0.15</v>
      </c>
      <c r="I134" s="3">
        <v>2.88</v>
      </c>
      <c r="J134" s="3">
        <v>8.6300000000000008</v>
      </c>
    </row>
    <row r="135" spans="1:10" x14ac:dyDescent="0.3">
      <c r="A135" t="s">
        <v>160</v>
      </c>
      <c r="B135" t="s">
        <v>233</v>
      </c>
      <c r="C135">
        <v>479</v>
      </c>
      <c r="D135" s="1">
        <v>6.0499999999999998E-2</v>
      </c>
      <c r="E135">
        <v>29</v>
      </c>
      <c r="F135">
        <v>1</v>
      </c>
      <c r="G135" s="2">
        <v>3.4500000000000003E-2</v>
      </c>
      <c r="H135" s="3">
        <v>0.15</v>
      </c>
      <c r="I135" s="3">
        <v>4.4400000000000004</v>
      </c>
      <c r="J135" s="3">
        <v>4.4400000000000004</v>
      </c>
    </row>
    <row r="136" spans="1:10" x14ac:dyDescent="0.3">
      <c r="A136" t="s">
        <v>161</v>
      </c>
      <c r="B136" t="s">
        <v>268</v>
      </c>
      <c r="C136">
        <v>477</v>
      </c>
      <c r="D136" s="1">
        <v>0.1656</v>
      </c>
      <c r="E136">
        <v>79</v>
      </c>
      <c r="F136">
        <v>1</v>
      </c>
      <c r="G136" s="2">
        <v>1.2699999999999999E-2</v>
      </c>
      <c r="H136" s="3">
        <v>0.18</v>
      </c>
      <c r="I136" s="3">
        <v>14.52</v>
      </c>
      <c r="J136" s="3">
        <v>14.52</v>
      </c>
    </row>
    <row r="137" spans="1:10" x14ac:dyDescent="0.3">
      <c r="A137" t="s">
        <v>22</v>
      </c>
      <c r="B137" t="s">
        <v>362</v>
      </c>
      <c r="C137">
        <v>476</v>
      </c>
      <c r="D137" s="1">
        <v>0.14499999999999999</v>
      </c>
      <c r="E137">
        <v>69</v>
      </c>
      <c r="F137">
        <v>1</v>
      </c>
      <c r="G137" s="2">
        <v>1.4499999999999999E-2</v>
      </c>
      <c r="H137" s="3">
        <v>0.16</v>
      </c>
      <c r="I137" s="3">
        <v>10.97</v>
      </c>
      <c r="J137" s="3">
        <v>10.97</v>
      </c>
    </row>
    <row r="138" spans="1:10" x14ac:dyDescent="0.3">
      <c r="A138" t="s">
        <v>41</v>
      </c>
      <c r="B138" t="s">
        <v>233</v>
      </c>
      <c r="C138">
        <v>473</v>
      </c>
      <c r="D138" s="1">
        <v>9.5100000000000004E-2</v>
      </c>
      <c r="E138">
        <v>45</v>
      </c>
      <c r="F138">
        <v>2</v>
      </c>
      <c r="G138" s="2">
        <v>4.4400000000000002E-2</v>
      </c>
      <c r="H138" s="3">
        <v>0.51</v>
      </c>
      <c r="I138" s="3">
        <v>11.47</v>
      </c>
      <c r="J138" s="3">
        <v>22.93</v>
      </c>
    </row>
    <row r="139" spans="1:10" x14ac:dyDescent="0.3">
      <c r="A139" t="s">
        <v>386</v>
      </c>
      <c r="B139" t="s">
        <v>232</v>
      </c>
      <c r="C139">
        <v>472</v>
      </c>
      <c r="D139" s="1">
        <v>2.9700000000000001E-2</v>
      </c>
      <c r="E139">
        <v>14</v>
      </c>
      <c r="F139">
        <v>2</v>
      </c>
      <c r="G139" s="2">
        <v>0.1429</v>
      </c>
      <c r="H139" s="3">
        <v>0.92</v>
      </c>
      <c r="I139" s="3">
        <v>6.42</v>
      </c>
      <c r="J139" s="3">
        <v>12.84</v>
      </c>
    </row>
    <row r="140" spans="1:10" x14ac:dyDescent="0.3">
      <c r="A140" t="s">
        <v>298</v>
      </c>
      <c r="B140" t="s">
        <v>223</v>
      </c>
      <c r="C140">
        <v>470</v>
      </c>
      <c r="D140" s="1">
        <v>3.6200000000000003E-2</v>
      </c>
      <c r="E140">
        <v>17</v>
      </c>
      <c r="F140">
        <v>2</v>
      </c>
      <c r="G140" s="2">
        <v>0.1176</v>
      </c>
      <c r="H140" s="3">
        <v>2.85</v>
      </c>
      <c r="I140" s="3">
        <v>24.22</v>
      </c>
      <c r="J140" s="3">
        <v>48.43</v>
      </c>
    </row>
    <row r="141" spans="1:10" x14ac:dyDescent="0.3">
      <c r="A141" t="s">
        <v>400</v>
      </c>
      <c r="B141" t="s">
        <v>359</v>
      </c>
      <c r="C141">
        <v>466</v>
      </c>
      <c r="D141" s="1">
        <v>4.0800000000000003E-2</v>
      </c>
      <c r="E141">
        <v>19</v>
      </c>
      <c r="F141">
        <v>2</v>
      </c>
      <c r="G141" s="2">
        <v>0.10529999999999999</v>
      </c>
      <c r="H141" s="3">
        <v>0.57999999999999996</v>
      </c>
      <c r="I141" s="3">
        <v>5.5</v>
      </c>
      <c r="J141" s="3">
        <v>11</v>
      </c>
    </row>
    <row r="142" spans="1:10" x14ac:dyDescent="0.3">
      <c r="A142" t="s">
        <v>98</v>
      </c>
      <c r="B142" t="s">
        <v>261</v>
      </c>
      <c r="C142">
        <v>463</v>
      </c>
      <c r="D142" s="1">
        <v>0.10369999999999999</v>
      </c>
      <c r="E142">
        <v>48</v>
      </c>
      <c r="F142">
        <v>0</v>
      </c>
      <c r="G142" s="2">
        <v>0</v>
      </c>
      <c r="H142" s="3">
        <v>0</v>
      </c>
      <c r="I142" s="3" t="s">
        <v>213</v>
      </c>
      <c r="J142" s="3">
        <v>0</v>
      </c>
    </row>
    <row r="143" spans="1:10" x14ac:dyDescent="0.3">
      <c r="A143" t="s">
        <v>19</v>
      </c>
      <c r="B143" t="s">
        <v>235</v>
      </c>
      <c r="C143">
        <v>460</v>
      </c>
      <c r="D143" s="1">
        <v>0.1217</v>
      </c>
      <c r="E143">
        <v>56</v>
      </c>
      <c r="F143">
        <v>0</v>
      </c>
      <c r="G143" s="2">
        <v>0</v>
      </c>
      <c r="H143" s="3">
        <v>0</v>
      </c>
      <c r="I143" s="3" t="s">
        <v>213</v>
      </c>
      <c r="J143" s="3">
        <v>0</v>
      </c>
    </row>
    <row r="144" spans="1:10" x14ac:dyDescent="0.3">
      <c r="A144" t="s">
        <v>81</v>
      </c>
      <c r="B144" t="s">
        <v>233</v>
      </c>
      <c r="C144">
        <v>457</v>
      </c>
      <c r="D144" s="1">
        <v>6.5599999999999992E-2</v>
      </c>
      <c r="E144">
        <v>30</v>
      </c>
      <c r="F144">
        <v>2</v>
      </c>
      <c r="G144" s="2">
        <v>6.6699999999999995E-2</v>
      </c>
      <c r="H144" s="3">
        <v>0.45</v>
      </c>
      <c r="I144" s="3">
        <v>6.8</v>
      </c>
      <c r="J144" s="3">
        <v>13.59</v>
      </c>
    </row>
    <row r="145" spans="1:10" x14ac:dyDescent="0.3">
      <c r="A145" t="s">
        <v>222</v>
      </c>
      <c r="B145" t="s">
        <v>221</v>
      </c>
      <c r="C145">
        <v>455</v>
      </c>
      <c r="D145" s="1">
        <v>8.7899999999999992E-2</v>
      </c>
      <c r="E145">
        <v>40</v>
      </c>
      <c r="F145">
        <v>1</v>
      </c>
      <c r="G145" s="2">
        <v>2.5000000000000001E-2</v>
      </c>
      <c r="H145" s="3">
        <v>0.13</v>
      </c>
      <c r="I145" s="3">
        <v>5.03</v>
      </c>
      <c r="J145" s="3">
        <v>5.03</v>
      </c>
    </row>
    <row r="146" spans="1:10" x14ac:dyDescent="0.3">
      <c r="A146" t="s">
        <v>122</v>
      </c>
      <c r="B146" t="s">
        <v>274</v>
      </c>
      <c r="C146">
        <v>455</v>
      </c>
      <c r="D146" s="1">
        <v>0.1143</v>
      </c>
      <c r="E146">
        <v>52</v>
      </c>
      <c r="F146">
        <v>5</v>
      </c>
      <c r="G146" s="2">
        <v>9.6199999999999994E-2</v>
      </c>
      <c r="H146" s="3">
        <v>0.21</v>
      </c>
      <c r="I146" s="3">
        <v>2.16</v>
      </c>
      <c r="J146" s="3">
        <v>10.78</v>
      </c>
    </row>
    <row r="147" spans="1:10" x14ac:dyDescent="0.3">
      <c r="A147" t="s">
        <v>336</v>
      </c>
      <c r="B147" t="s">
        <v>221</v>
      </c>
      <c r="C147">
        <v>454</v>
      </c>
      <c r="D147" s="1">
        <v>7.4900000000000008E-2</v>
      </c>
      <c r="E147">
        <v>34</v>
      </c>
      <c r="F147">
        <v>3</v>
      </c>
      <c r="G147" s="2">
        <v>8.8200000000000001E-2</v>
      </c>
      <c r="H147" s="3">
        <v>0.66</v>
      </c>
      <c r="I147" s="3">
        <v>7.43</v>
      </c>
      <c r="J147" s="3">
        <v>22.28</v>
      </c>
    </row>
    <row r="148" spans="1:10" x14ac:dyDescent="0.3">
      <c r="A148" t="s">
        <v>13</v>
      </c>
      <c r="B148" t="s">
        <v>244</v>
      </c>
      <c r="C148">
        <v>450</v>
      </c>
      <c r="D148" s="1">
        <v>0.10439999999999999</v>
      </c>
      <c r="E148">
        <v>47</v>
      </c>
      <c r="F148">
        <v>3</v>
      </c>
      <c r="G148" s="2">
        <v>6.3799999999999996E-2</v>
      </c>
      <c r="H148" s="3">
        <v>0.49</v>
      </c>
      <c r="I148" s="3">
        <v>7.71</v>
      </c>
      <c r="J148" s="3">
        <v>23.13</v>
      </c>
    </row>
    <row r="149" spans="1:10" x14ac:dyDescent="0.3">
      <c r="A149" t="s">
        <v>97</v>
      </c>
      <c r="B149" t="s">
        <v>221</v>
      </c>
      <c r="C149">
        <v>446</v>
      </c>
      <c r="D149" s="1">
        <v>2.69E-2</v>
      </c>
      <c r="E149">
        <v>12</v>
      </c>
      <c r="F149">
        <v>0</v>
      </c>
      <c r="G149" s="2">
        <v>0</v>
      </c>
      <c r="H149" s="3">
        <v>0</v>
      </c>
      <c r="I149" s="3" t="s">
        <v>213</v>
      </c>
      <c r="J149" s="3">
        <v>0</v>
      </c>
    </row>
    <row r="150" spans="1:10" x14ac:dyDescent="0.3">
      <c r="A150" t="s">
        <v>414</v>
      </c>
      <c r="B150" t="s">
        <v>233</v>
      </c>
      <c r="C150">
        <v>446</v>
      </c>
      <c r="D150" s="1">
        <v>4.2599999999999999E-2</v>
      </c>
      <c r="E150">
        <v>19</v>
      </c>
      <c r="F150">
        <v>2</v>
      </c>
      <c r="G150" s="2">
        <v>0.10529999999999999</v>
      </c>
      <c r="H150" s="3">
        <v>0.51</v>
      </c>
      <c r="I150" s="3">
        <v>4.84</v>
      </c>
      <c r="J150" s="3">
        <v>9.68</v>
      </c>
    </row>
    <row r="151" spans="1:10" x14ac:dyDescent="0.3">
      <c r="A151" t="s">
        <v>82</v>
      </c>
      <c r="B151" t="s">
        <v>244</v>
      </c>
      <c r="C151">
        <v>443</v>
      </c>
      <c r="D151" s="1">
        <v>0.1016</v>
      </c>
      <c r="E151">
        <v>45</v>
      </c>
      <c r="F151">
        <v>2</v>
      </c>
      <c r="G151" s="2">
        <v>4.4400000000000002E-2</v>
      </c>
      <c r="H151" s="3">
        <v>0.13</v>
      </c>
      <c r="I151" s="3">
        <v>2.95</v>
      </c>
      <c r="J151" s="3">
        <v>5.9</v>
      </c>
    </row>
    <row r="152" spans="1:10" x14ac:dyDescent="0.3">
      <c r="A152" t="s">
        <v>8</v>
      </c>
      <c r="B152" t="s">
        <v>261</v>
      </c>
      <c r="C152">
        <v>442</v>
      </c>
      <c r="D152" s="1">
        <v>0.16519999999999999</v>
      </c>
      <c r="E152">
        <v>73</v>
      </c>
      <c r="F152">
        <v>8</v>
      </c>
      <c r="G152" s="2">
        <v>0.1096</v>
      </c>
      <c r="H152" s="3">
        <v>0.18</v>
      </c>
      <c r="I152" s="3">
        <v>1.64</v>
      </c>
      <c r="J152" s="3">
        <v>13.08</v>
      </c>
    </row>
    <row r="153" spans="1:10" x14ac:dyDescent="0.3">
      <c r="A153" t="s">
        <v>84</v>
      </c>
      <c r="B153" t="s">
        <v>279</v>
      </c>
      <c r="C153">
        <v>438</v>
      </c>
      <c r="D153" s="1">
        <v>8.900000000000001E-2</v>
      </c>
      <c r="E153">
        <v>39</v>
      </c>
      <c r="F153">
        <v>0</v>
      </c>
      <c r="G153" s="2">
        <v>0</v>
      </c>
      <c r="H153" s="3">
        <v>0</v>
      </c>
      <c r="I153" s="3" t="s">
        <v>213</v>
      </c>
      <c r="J153" s="3">
        <v>0</v>
      </c>
    </row>
    <row r="154" spans="1:10" x14ac:dyDescent="0.3">
      <c r="A154" t="s">
        <v>66</v>
      </c>
      <c r="B154" t="s">
        <v>446</v>
      </c>
      <c r="C154">
        <v>437</v>
      </c>
      <c r="D154" s="1">
        <v>9.6099999999999991E-2</v>
      </c>
      <c r="E154">
        <v>42</v>
      </c>
      <c r="F154">
        <v>1</v>
      </c>
      <c r="G154" s="2">
        <v>2.3799999999999998E-2</v>
      </c>
      <c r="H154" s="3">
        <v>0.25</v>
      </c>
      <c r="I154" s="3">
        <v>10.33</v>
      </c>
      <c r="J154" s="3">
        <v>10.33</v>
      </c>
    </row>
    <row r="155" spans="1:10" x14ac:dyDescent="0.3">
      <c r="A155" t="s">
        <v>222</v>
      </c>
      <c r="B155" t="s">
        <v>215</v>
      </c>
      <c r="C155">
        <v>436</v>
      </c>
      <c r="D155" s="1">
        <v>7.3399999999999993E-2</v>
      </c>
      <c r="E155">
        <v>32</v>
      </c>
      <c r="F155">
        <v>2</v>
      </c>
      <c r="G155" s="2">
        <v>6.25E-2</v>
      </c>
      <c r="H155" s="3">
        <v>0.7</v>
      </c>
      <c r="I155" s="3">
        <v>11.2</v>
      </c>
      <c r="J155" s="3">
        <v>22.39</v>
      </c>
    </row>
    <row r="156" spans="1:10" x14ac:dyDescent="0.3">
      <c r="A156" t="s">
        <v>249</v>
      </c>
      <c r="B156" t="s">
        <v>248</v>
      </c>
      <c r="C156">
        <v>431</v>
      </c>
      <c r="D156" s="1">
        <v>6.7299999999999999E-2</v>
      </c>
      <c r="E156">
        <v>29</v>
      </c>
      <c r="F156">
        <v>2</v>
      </c>
      <c r="G156" s="2">
        <v>6.9000000000000006E-2</v>
      </c>
      <c r="H156" s="3">
        <v>0.16</v>
      </c>
      <c r="I156" s="3">
        <v>2.2799999999999998</v>
      </c>
      <c r="J156" s="3">
        <v>4.55</v>
      </c>
    </row>
    <row r="157" spans="1:10" x14ac:dyDescent="0.3">
      <c r="A157" t="s">
        <v>333</v>
      </c>
      <c r="B157" t="s">
        <v>215</v>
      </c>
      <c r="C157">
        <v>426</v>
      </c>
      <c r="D157" s="1">
        <v>5.8700000000000002E-2</v>
      </c>
      <c r="E157">
        <v>25</v>
      </c>
      <c r="F157">
        <v>2</v>
      </c>
      <c r="G157" s="2">
        <v>0.08</v>
      </c>
      <c r="H157" s="3">
        <v>0.97</v>
      </c>
      <c r="I157" s="3">
        <v>12.13</v>
      </c>
      <c r="J157" s="3">
        <v>24.26</v>
      </c>
    </row>
    <row r="158" spans="1:10" x14ac:dyDescent="0.3">
      <c r="A158" t="s">
        <v>81</v>
      </c>
      <c r="B158" t="s">
        <v>233</v>
      </c>
      <c r="C158">
        <v>425</v>
      </c>
      <c r="D158" s="1">
        <v>6.1200000000000004E-2</v>
      </c>
      <c r="E158">
        <v>26</v>
      </c>
      <c r="F158">
        <v>1</v>
      </c>
      <c r="G158" s="2">
        <v>3.85E-2</v>
      </c>
      <c r="H158" s="3">
        <v>0.3</v>
      </c>
      <c r="I158" s="3">
        <v>7.71</v>
      </c>
      <c r="J158" s="3">
        <v>7.71</v>
      </c>
    </row>
    <row r="159" spans="1:10" x14ac:dyDescent="0.3">
      <c r="A159" t="s">
        <v>433</v>
      </c>
      <c r="B159" t="s">
        <v>309</v>
      </c>
      <c r="C159">
        <v>423</v>
      </c>
      <c r="D159" s="1">
        <v>7.3300000000000004E-2</v>
      </c>
      <c r="E159">
        <v>31</v>
      </c>
      <c r="F159">
        <v>2</v>
      </c>
      <c r="G159" s="2">
        <v>6.4500000000000002E-2</v>
      </c>
      <c r="H159" s="3">
        <v>0.14000000000000001</v>
      </c>
      <c r="I159" s="3">
        <v>2.2000000000000002</v>
      </c>
      <c r="J159" s="3">
        <v>4.4000000000000004</v>
      </c>
    </row>
    <row r="160" spans="1:10" x14ac:dyDescent="0.3">
      <c r="A160" t="s">
        <v>294</v>
      </c>
      <c r="B160" t="s">
        <v>223</v>
      </c>
      <c r="C160">
        <v>422</v>
      </c>
      <c r="D160" s="1">
        <v>0.11609999999999999</v>
      </c>
      <c r="E160">
        <v>49</v>
      </c>
      <c r="F160">
        <v>3</v>
      </c>
      <c r="G160" s="2">
        <v>6.1200000000000004E-2</v>
      </c>
      <c r="H160" s="3">
        <v>0.36</v>
      </c>
      <c r="I160" s="3">
        <v>5.89</v>
      </c>
      <c r="J160" s="3">
        <v>17.66</v>
      </c>
    </row>
    <row r="161" spans="1:10" x14ac:dyDescent="0.3">
      <c r="A161" t="s">
        <v>434</v>
      </c>
      <c r="B161" t="s">
        <v>268</v>
      </c>
      <c r="C161">
        <v>422</v>
      </c>
      <c r="D161" s="1">
        <v>6.1600000000000002E-2</v>
      </c>
      <c r="E161">
        <v>26</v>
      </c>
      <c r="F161">
        <v>1</v>
      </c>
      <c r="G161" s="2">
        <v>3.85E-2</v>
      </c>
      <c r="H161" s="3">
        <v>0.48</v>
      </c>
      <c r="I161" s="3">
        <v>12.38</v>
      </c>
      <c r="J161" s="3">
        <v>12.38</v>
      </c>
    </row>
    <row r="162" spans="1:10" x14ac:dyDescent="0.3">
      <c r="A162" t="s">
        <v>222</v>
      </c>
      <c r="B162" t="s">
        <v>223</v>
      </c>
      <c r="C162">
        <v>415</v>
      </c>
      <c r="D162" s="1">
        <v>6.2699999999999992E-2</v>
      </c>
      <c r="E162">
        <v>26</v>
      </c>
      <c r="F162">
        <v>2</v>
      </c>
      <c r="G162" s="2">
        <v>7.690000000000001E-2</v>
      </c>
      <c r="H162" s="3">
        <v>0.13</v>
      </c>
      <c r="I162" s="3">
        <v>1.7</v>
      </c>
      <c r="J162" s="3">
        <v>3.4</v>
      </c>
    </row>
    <row r="163" spans="1:10" x14ac:dyDescent="0.3">
      <c r="A163" t="s">
        <v>28</v>
      </c>
      <c r="B163" t="s">
        <v>225</v>
      </c>
      <c r="C163">
        <v>415</v>
      </c>
      <c r="D163" s="1">
        <v>0.1157</v>
      </c>
      <c r="E163">
        <v>48</v>
      </c>
      <c r="F163">
        <v>1</v>
      </c>
      <c r="G163" s="2">
        <v>2.0799999999999999E-2</v>
      </c>
      <c r="H163" s="3">
        <v>0.21</v>
      </c>
      <c r="I163" s="3">
        <v>10.31</v>
      </c>
      <c r="J163" s="3">
        <v>10.31</v>
      </c>
    </row>
    <row r="164" spans="1:10" x14ac:dyDescent="0.3">
      <c r="A164" t="s">
        <v>82</v>
      </c>
      <c r="B164" t="s">
        <v>244</v>
      </c>
      <c r="C164">
        <v>414</v>
      </c>
      <c r="D164" s="1">
        <v>0.13289999999999999</v>
      </c>
      <c r="E164">
        <v>55</v>
      </c>
      <c r="F164">
        <v>3</v>
      </c>
      <c r="G164" s="2">
        <v>5.45E-2</v>
      </c>
      <c r="H164" s="3">
        <v>0.36</v>
      </c>
      <c r="I164" s="3">
        <v>6.6</v>
      </c>
      <c r="J164" s="3">
        <v>19.8</v>
      </c>
    </row>
    <row r="165" spans="1:10" x14ac:dyDescent="0.3">
      <c r="A165" t="s">
        <v>302</v>
      </c>
      <c r="B165" t="s">
        <v>221</v>
      </c>
      <c r="C165">
        <v>411</v>
      </c>
      <c r="D165" s="1">
        <v>5.3499999999999999E-2</v>
      </c>
      <c r="E165">
        <v>22</v>
      </c>
      <c r="F165">
        <v>4</v>
      </c>
      <c r="G165" s="2">
        <v>0.18179999999999999</v>
      </c>
      <c r="H165" s="3">
        <v>2.12</v>
      </c>
      <c r="I165" s="3">
        <v>11.67</v>
      </c>
      <c r="J165" s="3">
        <v>46.69</v>
      </c>
    </row>
    <row r="166" spans="1:10" x14ac:dyDescent="0.3">
      <c r="A166" t="s">
        <v>54</v>
      </c>
      <c r="B166" t="s">
        <v>217</v>
      </c>
      <c r="C166">
        <v>409</v>
      </c>
      <c r="D166" s="1">
        <v>0.1076</v>
      </c>
      <c r="E166">
        <v>44</v>
      </c>
      <c r="F166">
        <v>4</v>
      </c>
      <c r="G166" s="2">
        <v>9.0899999999999995E-2</v>
      </c>
      <c r="H166" s="3">
        <v>0.67</v>
      </c>
      <c r="I166" s="3">
        <v>7.36</v>
      </c>
      <c r="J166" s="3">
        <v>29.43</v>
      </c>
    </row>
    <row r="167" spans="1:10" x14ac:dyDescent="0.3">
      <c r="A167" t="s">
        <v>305</v>
      </c>
      <c r="B167" t="s">
        <v>223</v>
      </c>
      <c r="C167">
        <v>406</v>
      </c>
      <c r="D167" s="1">
        <v>4.6799999999999994E-2</v>
      </c>
      <c r="E167">
        <v>19</v>
      </c>
      <c r="F167">
        <v>1</v>
      </c>
      <c r="G167" s="2">
        <v>5.2600000000000001E-2</v>
      </c>
      <c r="H167" s="3">
        <v>0.95</v>
      </c>
      <c r="I167" s="3">
        <v>18</v>
      </c>
      <c r="J167" s="3">
        <v>18</v>
      </c>
    </row>
    <row r="168" spans="1:10" x14ac:dyDescent="0.3">
      <c r="A168" t="s">
        <v>126</v>
      </c>
      <c r="B168" t="s">
        <v>233</v>
      </c>
      <c r="C168">
        <v>404</v>
      </c>
      <c r="D168" s="1">
        <v>0.10150000000000001</v>
      </c>
      <c r="E168">
        <v>41</v>
      </c>
      <c r="F168">
        <v>6</v>
      </c>
      <c r="G168" s="2">
        <v>0.14630000000000001</v>
      </c>
      <c r="H168" s="3">
        <v>0.27</v>
      </c>
      <c r="I168" s="3">
        <v>1.87</v>
      </c>
      <c r="J168" s="3">
        <v>11.22</v>
      </c>
    </row>
    <row r="169" spans="1:10" x14ac:dyDescent="0.3">
      <c r="A169" t="s">
        <v>414</v>
      </c>
      <c r="B169" t="s">
        <v>233</v>
      </c>
      <c r="C169">
        <v>399</v>
      </c>
      <c r="D169" s="1">
        <v>6.0199999999999997E-2</v>
      </c>
      <c r="E169">
        <v>24</v>
      </c>
      <c r="F169">
        <v>4</v>
      </c>
      <c r="G169" s="2">
        <v>0.16670000000000001</v>
      </c>
      <c r="H169" s="3">
        <v>0.8</v>
      </c>
      <c r="I169" s="3">
        <v>4.78</v>
      </c>
      <c r="J169" s="3">
        <v>19.13</v>
      </c>
    </row>
    <row r="170" spans="1:10" x14ac:dyDescent="0.3">
      <c r="A170" t="s">
        <v>412</v>
      </c>
      <c r="B170" t="s">
        <v>253</v>
      </c>
      <c r="C170">
        <v>398</v>
      </c>
      <c r="D170" s="1">
        <v>5.0300000000000004E-2</v>
      </c>
      <c r="E170">
        <v>20</v>
      </c>
      <c r="F170">
        <v>2</v>
      </c>
      <c r="G170" s="2">
        <v>0.1</v>
      </c>
      <c r="H170" s="3">
        <v>0.61</v>
      </c>
      <c r="I170" s="3">
        <v>6.08</v>
      </c>
      <c r="J170" s="3">
        <v>12.15</v>
      </c>
    </row>
    <row r="171" spans="1:10" x14ac:dyDescent="0.3">
      <c r="A171" t="s">
        <v>125</v>
      </c>
      <c r="B171" t="s">
        <v>232</v>
      </c>
      <c r="C171">
        <v>397</v>
      </c>
      <c r="D171" s="1">
        <v>8.8200000000000001E-2</v>
      </c>
      <c r="E171">
        <v>35</v>
      </c>
      <c r="F171">
        <v>4</v>
      </c>
      <c r="G171" s="2">
        <v>0.1143</v>
      </c>
      <c r="H171" s="3">
        <v>0.19</v>
      </c>
      <c r="I171" s="3">
        <v>1.71</v>
      </c>
      <c r="J171" s="3">
        <v>6.82</v>
      </c>
    </row>
    <row r="172" spans="1:10" x14ac:dyDescent="0.3">
      <c r="A172" t="s">
        <v>328</v>
      </c>
      <c r="B172" t="s">
        <v>248</v>
      </c>
      <c r="C172">
        <v>392</v>
      </c>
      <c r="D172" s="1">
        <v>4.8499999999999995E-2</v>
      </c>
      <c r="E172">
        <v>19</v>
      </c>
      <c r="F172">
        <v>0</v>
      </c>
      <c r="G172" s="2">
        <v>0</v>
      </c>
      <c r="H172" s="3">
        <v>0</v>
      </c>
      <c r="I172" s="3" t="s">
        <v>213</v>
      </c>
      <c r="J172" s="3">
        <v>0</v>
      </c>
    </row>
    <row r="173" spans="1:10" x14ac:dyDescent="0.3">
      <c r="A173" t="s">
        <v>75</v>
      </c>
      <c r="B173" t="s">
        <v>322</v>
      </c>
      <c r="C173">
        <v>390</v>
      </c>
      <c r="D173" s="1">
        <v>7.690000000000001E-2</v>
      </c>
      <c r="E173">
        <v>30</v>
      </c>
      <c r="F173">
        <v>1</v>
      </c>
      <c r="G173" s="2">
        <v>3.3300000000000003E-2</v>
      </c>
      <c r="H173" s="3">
        <v>0.28999999999999998</v>
      </c>
      <c r="I173" s="3">
        <v>8.81</v>
      </c>
      <c r="J173" s="3">
        <v>8.81</v>
      </c>
    </row>
    <row r="174" spans="1:10" x14ac:dyDescent="0.3">
      <c r="A174" t="s">
        <v>450</v>
      </c>
      <c r="B174" t="s">
        <v>451</v>
      </c>
      <c r="C174">
        <v>388</v>
      </c>
      <c r="D174" s="1">
        <v>5.9299999999999999E-2</v>
      </c>
      <c r="E174">
        <v>23</v>
      </c>
      <c r="F174">
        <v>1</v>
      </c>
      <c r="G174" s="2">
        <v>4.3499999999999997E-2</v>
      </c>
      <c r="H174" s="3">
        <v>0.51</v>
      </c>
      <c r="I174" s="3">
        <v>11.67</v>
      </c>
      <c r="J174" s="3">
        <v>11.67</v>
      </c>
    </row>
    <row r="175" spans="1:10" x14ac:dyDescent="0.3">
      <c r="A175" t="s">
        <v>13</v>
      </c>
      <c r="B175" t="s">
        <v>233</v>
      </c>
      <c r="C175">
        <v>387</v>
      </c>
      <c r="D175" s="1">
        <v>0.1318</v>
      </c>
      <c r="E175">
        <v>51</v>
      </c>
      <c r="F175">
        <v>15</v>
      </c>
      <c r="G175" s="2">
        <v>0.29410000000000003</v>
      </c>
      <c r="H175" s="3">
        <v>0.92</v>
      </c>
      <c r="I175" s="3">
        <v>3.12</v>
      </c>
      <c r="J175" s="3">
        <v>46.75</v>
      </c>
    </row>
    <row r="176" spans="1:10" x14ac:dyDescent="0.3">
      <c r="A176" t="s">
        <v>413</v>
      </c>
      <c r="B176" t="s">
        <v>244</v>
      </c>
      <c r="C176">
        <v>386</v>
      </c>
      <c r="D176" s="1">
        <v>0.10880000000000001</v>
      </c>
      <c r="E176">
        <v>42</v>
      </c>
      <c r="F176">
        <v>3</v>
      </c>
      <c r="G176" s="2">
        <v>7.1399999999999991E-2</v>
      </c>
      <c r="H176" s="3">
        <v>0.46</v>
      </c>
      <c r="I176" s="3">
        <v>6.49</v>
      </c>
      <c r="J176" s="3">
        <v>19.46</v>
      </c>
    </row>
    <row r="177" spans="1:10" x14ac:dyDescent="0.3">
      <c r="A177" t="s">
        <v>26</v>
      </c>
      <c r="B177" t="s">
        <v>432</v>
      </c>
      <c r="C177">
        <v>386</v>
      </c>
      <c r="D177" s="1">
        <v>6.9900000000000004E-2</v>
      </c>
      <c r="E177">
        <v>27</v>
      </c>
      <c r="F177">
        <v>3</v>
      </c>
      <c r="G177" s="2">
        <v>0.11109999999999999</v>
      </c>
      <c r="H177" s="3">
        <v>0.44</v>
      </c>
      <c r="I177" s="3">
        <v>3.96</v>
      </c>
      <c r="J177" s="3">
        <v>11.87</v>
      </c>
    </row>
    <row r="178" spans="1:10" x14ac:dyDescent="0.3">
      <c r="A178" t="s">
        <v>76</v>
      </c>
      <c r="B178" t="s">
        <v>235</v>
      </c>
      <c r="C178">
        <v>381</v>
      </c>
      <c r="D178" s="1">
        <v>5.2499999999999998E-2</v>
      </c>
      <c r="E178">
        <v>20</v>
      </c>
      <c r="F178">
        <v>1</v>
      </c>
      <c r="G178" s="2">
        <v>0.05</v>
      </c>
      <c r="H178" s="3">
        <v>0.2</v>
      </c>
      <c r="I178" s="3">
        <v>4.0199999999999996</v>
      </c>
      <c r="J178" s="3">
        <v>4.0199999999999996</v>
      </c>
    </row>
    <row r="179" spans="1:10" x14ac:dyDescent="0.3">
      <c r="A179" t="s">
        <v>111</v>
      </c>
      <c r="B179" t="s">
        <v>242</v>
      </c>
      <c r="C179">
        <v>379</v>
      </c>
      <c r="D179" s="1">
        <v>6.8600000000000008E-2</v>
      </c>
      <c r="E179">
        <v>26</v>
      </c>
      <c r="F179">
        <v>1</v>
      </c>
      <c r="G179" s="2">
        <v>3.85E-2</v>
      </c>
      <c r="H179" s="3">
        <v>0.08</v>
      </c>
      <c r="I179" s="3">
        <v>2</v>
      </c>
      <c r="J179" s="3">
        <v>2</v>
      </c>
    </row>
    <row r="180" spans="1:10" x14ac:dyDescent="0.3">
      <c r="A180" t="s">
        <v>376</v>
      </c>
      <c r="B180" t="s">
        <v>221</v>
      </c>
      <c r="C180">
        <v>378</v>
      </c>
      <c r="D180" s="1">
        <v>8.199999999999999E-2</v>
      </c>
      <c r="E180">
        <v>31</v>
      </c>
      <c r="F180">
        <v>0</v>
      </c>
      <c r="G180" s="2">
        <v>0</v>
      </c>
      <c r="H180" s="3">
        <v>0</v>
      </c>
      <c r="I180" s="3" t="s">
        <v>213</v>
      </c>
      <c r="J180" s="3">
        <v>0</v>
      </c>
    </row>
    <row r="181" spans="1:10" x14ac:dyDescent="0.3">
      <c r="A181" t="s">
        <v>380</v>
      </c>
      <c r="B181" t="s">
        <v>221</v>
      </c>
      <c r="C181">
        <v>378</v>
      </c>
      <c r="D181" s="1">
        <v>0.11109999999999999</v>
      </c>
      <c r="E181">
        <v>42</v>
      </c>
      <c r="F181">
        <v>4</v>
      </c>
      <c r="G181" s="2">
        <v>9.5199999999999993E-2</v>
      </c>
      <c r="H181" s="3">
        <v>0.83</v>
      </c>
      <c r="I181" s="3">
        <v>8.76</v>
      </c>
      <c r="J181" s="3">
        <v>35.020000000000003</v>
      </c>
    </row>
    <row r="182" spans="1:10" x14ac:dyDescent="0.3">
      <c r="A182" t="s">
        <v>426</v>
      </c>
      <c r="B182" t="s">
        <v>263</v>
      </c>
      <c r="C182">
        <v>372</v>
      </c>
      <c r="D182" s="1">
        <v>9.1400000000000009E-2</v>
      </c>
      <c r="E182">
        <v>34</v>
      </c>
      <c r="F182">
        <v>2</v>
      </c>
      <c r="G182" s="2">
        <v>5.8799999999999998E-2</v>
      </c>
      <c r="H182" s="3">
        <v>0.44</v>
      </c>
      <c r="I182" s="3">
        <v>7.45</v>
      </c>
      <c r="J182" s="3">
        <v>14.9</v>
      </c>
    </row>
    <row r="183" spans="1:10" x14ac:dyDescent="0.3">
      <c r="A183" t="s">
        <v>11</v>
      </c>
      <c r="B183" t="s">
        <v>212</v>
      </c>
      <c r="C183">
        <v>371</v>
      </c>
      <c r="D183" s="1">
        <v>4.3099999999999999E-2</v>
      </c>
      <c r="E183">
        <v>16</v>
      </c>
      <c r="F183">
        <v>3</v>
      </c>
      <c r="G183" s="2">
        <v>0.1875</v>
      </c>
      <c r="H183" s="3">
        <v>0.53</v>
      </c>
      <c r="I183" s="3">
        <v>2.82</v>
      </c>
      <c r="J183" s="3">
        <v>8.4600000000000009</v>
      </c>
    </row>
    <row r="184" spans="1:10" x14ac:dyDescent="0.3">
      <c r="A184" t="s">
        <v>8</v>
      </c>
      <c r="B184" t="s">
        <v>223</v>
      </c>
      <c r="C184">
        <v>367</v>
      </c>
      <c r="D184" s="1">
        <v>0.11990000000000001</v>
      </c>
      <c r="E184">
        <v>44</v>
      </c>
      <c r="F184">
        <v>2</v>
      </c>
      <c r="G184" s="2">
        <v>4.5499999999999999E-2</v>
      </c>
      <c r="H184" s="3">
        <v>0.32</v>
      </c>
      <c r="I184" s="3">
        <v>7.14</v>
      </c>
      <c r="J184" s="3">
        <v>14.27</v>
      </c>
    </row>
    <row r="185" spans="1:10" x14ac:dyDescent="0.3">
      <c r="A185" t="s">
        <v>287</v>
      </c>
      <c r="B185" t="s">
        <v>230</v>
      </c>
      <c r="C185">
        <v>364</v>
      </c>
      <c r="D185" s="1">
        <v>7.1399999999999991E-2</v>
      </c>
      <c r="E185">
        <v>26</v>
      </c>
      <c r="F185">
        <v>1</v>
      </c>
      <c r="G185" s="2">
        <v>3.85E-2</v>
      </c>
      <c r="H185" s="3">
        <v>0.44</v>
      </c>
      <c r="I185" s="3">
        <v>11.43</v>
      </c>
      <c r="J185" s="3">
        <v>11.43</v>
      </c>
    </row>
    <row r="186" spans="1:10" x14ac:dyDescent="0.3">
      <c r="A186" t="s">
        <v>147</v>
      </c>
      <c r="B186" t="s">
        <v>233</v>
      </c>
      <c r="C186">
        <v>363</v>
      </c>
      <c r="D186" s="1">
        <v>7.1599999999999997E-2</v>
      </c>
      <c r="E186">
        <v>26</v>
      </c>
      <c r="F186">
        <v>3</v>
      </c>
      <c r="G186" s="2">
        <v>0.11539999999999999</v>
      </c>
      <c r="H186" s="3">
        <v>0.65</v>
      </c>
      <c r="I186" s="3">
        <v>5.59</v>
      </c>
      <c r="J186" s="3">
        <v>16.78</v>
      </c>
    </row>
    <row r="187" spans="1:10" x14ac:dyDescent="0.3">
      <c r="A187" t="s">
        <v>214</v>
      </c>
      <c r="B187" t="s">
        <v>215</v>
      </c>
      <c r="C187">
        <v>362</v>
      </c>
      <c r="D187" s="1">
        <v>0.16300000000000001</v>
      </c>
      <c r="E187">
        <v>59</v>
      </c>
      <c r="F187">
        <v>7</v>
      </c>
      <c r="G187" s="2">
        <v>0.1186</v>
      </c>
      <c r="H187" s="3">
        <v>0.2</v>
      </c>
      <c r="I187" s="3">
        <v>1.7</v>
      </c>
      <c r="J187" s="3">
        <v>11.9</v>
      </c>
    </row>
    <row r="188" spans="1:10" x14ac:dyDescent="0.3">
      <c r="A188" t="s">
        <v>74</v>
      </c>
      <c r="B188" t="s">
        <v>233</v>
      </c>
      <c r="C188">
        <v>359</v>
      </c>
      <c r="D188" s="1">
        <v>0.12529999999999999</v>
      </c>
      <c r="E188">
        <v>45</v>
      </c>
      <c r="F188">
        <v>5</v>
      </c>
      <c r="G188" s="2">
        <v>0.11109999999999999</v>
      </c>
      <c r="H188" s="3">
        <v>0.19</v>
      </c>
      <c r="I188" s="3">
        <v>1.7</v>
      </c>
      <c r="J188" s="3">
        <v>8.52</v>
      </c>
    </row>
    <row r="189" spans="1:10" x14ac:dyDescent="0.3">
      <c r="A189" t="s">
        <v>301</v>
      </c>
      <c r="B189" t="s">
        <v>218</v>
      </c>
      <c r="C189">
        <v>359</v>
      </c>
      <c r="D189" s="1">
        <v>6.13E-2</v>
      </c>
      <c r="E189">
        <v>22</v>
      </c>
      <c r="F189">
        <v>3</v>
      </c>
      <c r="G189" s="2">
        <v>0.13639999999999999</v>
      </c>
      <c r="H189" s="3">
        <v>1.53</v>
      </c>
      <c r="I189" s="3">
        <v>11.21</v>
      </c>
      <c r="J189" s="3">
        <v>33.619999999999997</v>
      </c>
    </row>
    <row r="190" spans="1:10" x14ac:dyDescent="0.3">
      <c r="A190" t="s">
        <v>16</v>
      </c>
      <c r="B190" t="s">
        <v>248</v>
      </c>
      <c r="C190">
        <v>356</v>
      </c>
      <c r="D190" s="1">
        <v>8.43E-2</v>
      </c>
      <c r="E190">
        <v>30</v>
      </c>
      <c r="F190">
        <v>3</v>
      </c>
      <c r="G190" s="2">
        <v>0.1</v>
      </c>
      <c r="H190" s="3">
        <v>0.26</v>
      </c>
      <c r="I190" s="3">
        <v>2.57</v>
      </c>
      <c r="J190" s="3">
        <v>7.7</v>
      </c>
    </row>
    <row r="191" spans="1:10" x14ac:dyDescent="0.3">
      <c r="A191" t="s">
        <v>11</v>
      </c>
      <c r="B191" t="s">
        <v>221</v>
      </c>
      <c r="C191">
        <v>355</v>
      </c>
      <c r="D191" s="1">
        <v>0.1099</v>
      </c>
      <c r="E191">
        <v>39</v>
      </c>
      <c r="F191">
        <v>2</v>
      </c>
      <c r="G191" s="2">
        <v>5.1299999999999998E-2</v>
      </c>
      <c r="H191" s="3">
        <v>0.09</v>
      </c>
      <c r="I191" s="3">
        <v>1.7</v>
      </c>
      <c r="J191" s="3">
        <v>3.4</v>
      </c>
    </row>
    <row r="192" spans="1:10" x14ac:dyDescent="0.3">
      <c r="A192" t="s">
        <v>13</v>
      </c>
      <c r="B192" t="s">
        <v>244</v>
      </c>
      <c r="C192">
        <v>349</v>
      </c>
      <c r="D192" s="1">
        <v>0.12890000000000001</v>
      </c>
      <c r="E192">
        <v>45</v>
      </c>
      <c r="F192">
        <v>7</v>
      </c>
      <c r="G192" s="2">
        <v>0.15560000000000002</v>
      </c>
      <c r="H192" s="3">
        <v>1</v>
      </c>
      <c r="I192" s="3">
        <v>6.4</v>
      </c>
      <c r="J192" s="3">
        <v>44.78</v>
      </c>
    </row>
    <row r="193" spans="1:10" x14ac:dyDescent="0.3">
      <c r="A193" t="s">
        <v>76</v>
      </c>
      <c r="B193" t="s">
        <v>313</v>
      </c>
      <c r="C193">
        <v>342</v>
      </c>
      <c r="D193" s="1">
        <v>6.1399999999999996E-2</v>
      </c>
      <c r="E193">
        <v>21</v>
      </c>
      <c r="F193">
        <v>0</v>
      </c>
      <c r="G193" s="2">
        <v>0</v>
      </c>
      <c r="H193" s="3">
        <v>0</v>
      </c>
      <c r="I193" s="3" t="s">
        <v>213</v>
      </c>
      <c r="J193" s="3">
        <v>0</v>
      </c>
    </row>
    <row r="194" spans="1:10" x14ac:dyDescent="0.3">
      <c r="A194" t="s">
        <v>305</v>
      </c>
      <c r="B194" t="s">
        <v>221</v>
      </c>
      <c r="C194">
        <v>336</v>
      </c>
      <c r="D194" s="1">
        <v>4.7599999999999996E-2</v>
      </c>
      <c r="E194">
        <v>16</v>
      </c>
      <c r="F194">
        <v>0</v>
      </c>
      <c r="G194" s="2">
        <v>0</v>
      </c>
      <c r="H194" s="3">
        <v>0</v>
      </c>
      <c r="I194" s="3" t="s">
        <v>213</v>
      </c>
      <c r="J194" s="3">
        <v>0</v>
      </c>
    </row>
    <row r="195" spans="1:10" x14ac:dyDescent="0.3">
      <c r="A195" t="s">
        <v>11</v>
      </c>
      <c r="B195" t="s">
        <v>288</v>
      </c>
      <c r="C195">
        <v>336</v>
      </c>
      <c r="D195" s="1">
        <v>6.5500000000000003E-2</v>
      </c>
      <c r="E195">
        <v>22</v>
      </c>
      <c r="F195">
        <v>3</v>
      </c>
      <c r="G195" s="2">
        <v>0.13639999999999999</v>
      </c>
      <c r="H195" s="3">
        <v>1.32</v>
      </c>
      <c r="I195" s="3">
        <v>9.7100000000000009</v>
      </c>
      <c r="J195" s="3">
        <v>29.14</v>
      </c>
    </row>
    <row r="196" spans="1:10" x14ac:dyDescent="0.3">
      <c r="A196" t="s">
        <v>357</v>
      </c>
      <c r="B196" t="s">
        <v>233</v>
      </c>
      <c r="C196">
        <v>335</v>
      </c>
      <c r="D196" s="1">
        <v>6.5700000000000008E-2</v>
      </c>
      <c r="E196">
        <v>22</v>
      </c>
      <c r="F196">
        <v>0</v>
      </c>
      <c r="G196" s="2">
        <v>0</v>
      </c>
      <c r="H196" s="3">
        <v>0</v>
      </c>
      <c r="I196" s="3" t="s">
        <v>213</v>
      </c>
      <c r="J196" s="3">
        <v>0</v>
      </c>
    </row>
    <row r="197" spans="1:10" x14ac:dyDescent="0.3">
      <c r="A197" t="s">
        <v>459</v>
      </c>
      <c r="B197" t="s">
        <v>248</v>
      </c>
      <c r="C197">
        <v>335</v>
      </c>
      <c r="D197" s="1">
        <v>4.1799999999999997E-2</v>
      </c>
      <c r="E197">
        <v>14</v>
      </c>
      <c r="F197">
        <v>1</v>
      </c>
      <c r="G197" s="2">
        <v>7.1399999999999991E-2</v>
      </c>
      <c r="H197" s="3">
        <v>0.81</v>
      </c>
      <c r="I197" s="3">
        <v>11.29</v>
      </c>
      <c r="J197" s="3">
        <v>11.29</v>
      </c>
    </row>
    <row r="198" spans="1:10" x14ac:dyDescent="0.3">
      <c r="A198" t="s">
        <v>307</v>
      </c>
      <c r="B198" t="s">
        <v>215</v>
      </c>
      <c r="C198">
        <v>332</v>
      </c>
      <c r="D198" s="1">
        <v>9.64E-2</v>
      </c>
      <c r="E198">
        <v>32</v>
      </c>
      <c r="F198">
        <v>0</v>
      </c>
      <c r="G198" s="2">
        <v>0</v>
      </c>
      <c r="H198" s="3">
        <v>0</v>
      </c>
      <c r="I198" s="3" t="s">
        <v>213</v>
      </c>
      <c r="J198" s="3">
        <v>0</v>
      </c>
    </row>
    <row r="199" spans="1:10" x14ac:dyDescent="0.3">
      <c r="A199" t="s">
        <v>287</v>
      </c>
      <c r="B199" t="s">
        <v>289</v>
      </c>
      <c r="C199">
        <v>330</v>
      </c>
      <c r="D199" s="1">
        <v>8.7899999999999992E-2</v>
      </c>
      <c r="E199">
        <v>29</v>
      </c>
      <c r="F199">
        <v>1</v>
      </c>
      <c r="G199" s="2">
        <v>3.4500000000000003E-2</v>
      </c>
      <c r="H199" s="3">
        <v>0.27</v>
      </c>
      <c r="I199" s="3">
        <v>7.84</v>
      </c>
      <c r="J199" s="3">
        <v>7.84</v>
      </c>
    </row>
    <row r="200" spans="1:10" x14ac:dyDescent="0.3">
      <c r="A200" t="s">
        <v>433</v>
      </c>
      <c r="B200" t="s">
        <v>309</v>
      </c>
      <c r="C200">
        <v>328</v>
      </c>
      <c r="D200" s="1">
        <v>8.2299999999999998E-2</v>
      </c>
      <c r="E200">
        <v>27</v>
      </c>
      <c r="F200">
        <v>1</v>
      </c>
      <c r="G200" s="2">
        <v>3.7000000000000005E-2</v>
      </c>
      <c r="H200" s="3">
        <v>0.28000000000000003</v>
      </c>
      <c r="I200" s="3">
        <v>7.52</v>
      </c>
      <c r="J200" s="3">
        <v>7.52</v>
      </c>
    </row>
    <row r="201" spans="1:10" x14ac:dyDescent="0.3">
      <c r="A201" t="s">
        <v>334</v>
      </c>
      <c r="B201" t="s">
        <v>221</v>
      </c>
      <c r="C201">
        <v>324</v>
      </c>
      <c r="D201" s="1">
        <v>4.0099999999999997E-2</v>
      </c>
      <c r="E201">
        <v>13</v>
      </c>
      <c r="F201">
        <v>0</v>
      </c>
      <c r="G201" s="2">
        <v>0</v>
      </c>
      <c r="H201" s="3">
        <v>0</v>
      </c>
      <c r="I201" s="3" t="s">
        <v>213</v>
      </c>
      <c r="J201" s="3">
        <v>0</v>
      </c>
    </row>
    <row r="202" spans="1:10" x14ac:dyDescent="0.3">
      <c r="A202" t="s">
        <v>404</v>
      </c>
      <c r="B202" t="s">
        <v>218</v>
      </c>
      <c r="C202">
        <v>324</v>
      </c>
      <c r="D202" s="1">
        <v>4.6300000000000001E-2</v>
      </c>
      <c r="E202">
        <v>15</v>
      </c>
      <c r="F202">
        <v>3</v>
      </c>
      <c r="G202" s="2">
        <v>0.2</v>
      </c>
      <c r="H202" s="3">
        <v>1.33</v>
      </c>
      <c r="I202" s="3">
        <v>6.67</v>
      </c>
      <c r="J202" s="3">
        <v>20.02</v>
      </c>
    </row>
    <row r="203" spans="1:10" x14ac:dyDescent="0.3">
      <c r="A203" t="s">
        <v>110</v>
      </c>
      <c r="B203" t="s">
        <v>253</v>
      </c>
      <c r="C203">
        <v>323</v>
      </c>
      <c r="D203" s="1">
        <v>0.10220000000000001</v>
      </c>
      <c r="E203">
        <v>33</v>
      </c>
      <c r="F203">
        <v>6</v>
      </c>
      <c r="G203" s="2">
        <v>0.18179999999999999</v>
      </c>
      <c r="H203" s="3">
        <v>0.32</v>
      </c>
      <c r="I203" s="3">
        <v>1.74</v>
      </c>
      <c r="J203" s="3">
        <v>10.41</v>
      </c>
    </row>
    <row r="204" spans="1:10" x14ac:dyDescent="0.3">
      <c r="A204" t="s">
        <v>306</v>
      </c>
      <c r="B204" t="s">
        <v>223</v>
      </c>
      <c r="C204">
        <v>323</v>
      </c>
      <c r="D204" s="1">
        <v>4.6399999999999997E-2</v>
      </c>
      <c r="E204">
        <v>15</v>
      </c>
      <c r="F204">
        <v>3</v>
      </c>
      <c r="G204" s="2">
        <v>0.2</v>
      </c>
      <c r="H204" s="3">
        <v>3.86</v>
      </c>
      <c r="I204" s="3">
        <v>19.3</v>
      </c>
      <c r="J204" s="3">
        <v>57.91</v>
      </c>
    </row>
    <row r="205" spans="1:10" x14ac:dyDescent="0.3">
      <c r="A205" t="s">
        <v>70</v>
      </c>
      <c r="B205" t="s">
        <v>226</v>
      </c>
      <c r="C205">
        <v>319</v>
      </c>
      <c r="D205" s="1">
        <v>6.2699999999999992E-2</v>
      </c>
      <c r="E205">
        <v>20</v>
      </c>
      <c r="F205">
        <v>1</v>
      </c>
      <c r="G205" s="2">
        <v>0.05</v>
      </c>
      <c r="H205" s="3">
        <v>0.36</v>
      </c>
      <c r="I205" s="3">
        <v>7.1</v>
      </c>
      <c r="J205" s="3">
        <v>7.1</v>
      </c>
    </row>
    <row r="206" spans="1:10" x14ac:dyDescent="0.3">
      <c r="A206" t="s">
        <v>81</v>
      </c>
      <c r="B206" t="s">
        <v>233</v>
      </c>
      <c r="C206">
        <v>318</v>
      </c>
      <c r="D206" s="1">
        <v>6.2899999999999998E-2</v>
      </c>
      <c r="E206">
        <v>20</v>
      </c>
      <c r="F206">
        <v>2</v>
      </c>
      <c r="G206" s="2">
        <v>0.1</v>
      </c>
      <c r="H206" s="3">
        <v>0.28000000000000003</v>
      </c>
      <c r="I206" s="3">
        <v>2.85</v>
      </c>
      <c r="J206" s="3">
        <v>5.69</v>
      </c>
    </row>
    <row r="207" spans="1:10" x14ac:dyDescent="0.3">
      <c r="A207" t="s">
        <v>11</v>
      </c>
      <c r="B207" t="s">
        <v>231</v>
      </c>
      <c r="C207">
        <v>314</v>
      </c>
      <c r="D207" s="1">
        <v>3.8199999999999998E-2</v>
      </c>
      <c r="E207">
        <v>12</v>
      </c>
      <c r="F207">
        <v>0</v>
      </c>
      <c r="G207" s="2">
        <v>0</v>
      </c>
      <c r="H207" s="3">
        <v>0</v>
      </c>
      <c r="I207" s="3" t="s">
        <v>213</v>
      </c>
      <c r="J207" s="3">
        <v>0</v>
      </c>
    </row>
    <row r="208" spans="1:10" x14ac:dyDescent="0.3">
      <c r="A208" t="s">
        <v>306</v>
      </c>
      <c r="B208" t="s">
        <v>223</v>
      </c>
      <c r="C208">
        <v>313</v>
      </c>
      <c r="D208" s="1">
        <v>8.6300000000000002E-2</v>
      </c>
      <c r="E208">
        <v>27</v>
      </c>
      <c r="F208">
        <v>3</v>
      </c>
      <c r="G208" s="2">
        <v>0.11109999999999999</v>
      </c>
      <c r="H208" s="3">
        <v>1.7</v>
      </c>
      <c r="I208" s="3">
        <v>15.32</v>
      </c>
      <c r="J208" s="3">
        <v>45.96</v>
      </c>
    </row>
    <row r="209" spans="1:10" x14ac:dyDescent="0.3">
      <c r="A209" t="s">
        <v>130</v>
      </c>
      <c r="B209" t="s">
        <v>278</v>
      </c>
      <c r="C209">
        <v>312</v>
      </c>
      <c r="D209" s="1">
        <v>6.0899999999999996E-2</v>
      </c>
      <c r="E209">
        <v>19</v>
      </c>
      <c r="F209">
        <v>1</v>
      </c>
      <c r="G209" s="2">
        <v>5.2600000000000001E-2</v>
      </c>
      <c r="H209" s="3">
        <v>0.15</v>
      </c>
      <c r="I209" s="3">
        <v>2.87</v>
      </c>
      <c r="J209" s="3">
        <v>2.87</v>
      </c>
    </row>
    <row r="210" spans="1:10" x14ac:dyDescent="0.3">
      <c r="A210" t="s">
        <v>11</v>
      </c>
      <c r="B210" t="s">
        <v>215</v>
      </c>
      <c r="C210">
        <v>312</v>
      </c>
      <c r="D210" s="1">
        <v>7.690000000000001E-2</v>
      </c>
      <c r="E210">
        <v>24</v>
      </c>
      <c r="F210">
        <v>2</v>
      </c>
      <c r="G210" s="2">
        <v>8.3299999999999999E-2</v>
      </c>
      <c r="H210" s="3">
        <v>0.7</v>
      </c>
      <c r="I210" s="3">
        <v>8.35</v>
      </c>
      <c r="J210" s="3">
        <v>16.7</v>
      </c>
    </row>
    <row r="211" spans="1:10" x14ac:dyDescent="0.3">
      <c r="A211" t="s">
        <v>30</v>
      </c>
      <c r="B211" t="s">
        <v>233</v>
      </c>
      <c r="C211">
        <v>312</v>
      </c>
      <c r="D211" s="1">
        <v>0.13780000000000001</v>
      </c>
      <c r="E211">
        <v>43</v>
      </c>
      <c r="F211">
        <v>7</v>
      </c>
      <c r="G211" s="2">
        <v>0.1628</v>
      </c>
      <c r="H211" s="3">
        <v>0.45</v>
      </c>
      <c r="I211" s="3">
        <v>2.77</v>
      </c>
      <c r="J211" s="3">
        <v>19.420000000000002</v>
      </c>
    </row>
    <row r="212" spans="1:10" x14ac:dyDescent="0.3">
      <c r="A212" t="s">
        <v>80</v>
      </c>
      <c r="B212" t="s">
        <v>221</v>
      </c>
      <c r="C212">
        <v>312</v>
      </c>
      <c r="D212" s="1">
        <v>6.7299999999999999E-2</v>
      </c>
      <c r="E212">
        <v>21</v>
      </c>
      <c r="F212">
        <v>2</v>
      </c>
      <c r="G212" s="2">
        <v>9.5199999999999993E-2</v>
      </c>
      <c r="H212" s="3">
        <v>0.24</v>
      </c>
      <c r="I212" s="3">
        <v>2.5499999999999998</v>
      </c>
      <c r="J212" s="3">
        <v>5.09</v>
      </c>
    </row>
    <row r="213" spans="1:10" x14ac:dyDescent="0.3">
      <c r="A213" t="s">
        <v>304</v>
      </c>
      <c r="B213" t="s">
        <v>221</v>
      </c>
      <c r="C213">
        <v>309</v>
      </c>
      <c r="D213" s="1">
        <v>8.7400000000000005E-2</v>
      </c>
      <c r="E213">
        <v>27</v>
      </c>
      <c r="F213">
        <v>2</v>
      </c>
      <c r="G213" s="2">
        <v>7.4099999999999999E-2</v>
      </c>
      <c r="H213" s="3">
        <v>0.75</v>
      </c>
      <c r="I213" s="3">
        <v>10.18</v>
      </c>
      <c r="J213" s="3">
        <v>20.36</v>
      </c>
    </row>
    <row r="214" spans="1:10" x14ac:dyDescent="0.3">
      <c r="A214" t="s">
        <v>11</v>
      </c>
      <c r="B214" t="s">
        <v>289</v>
      </c>
      <c r="C214">
        <v>309</v>
      </c>
      <c r="D214" s="1">
        <v>7.1199999999999999E-2</v>
      </c>
      <c r="E214">
        <v>22</v>
      </c>
      <c r="F214">
        <v>2</v>
      </c>
      <c r="G214" s="2">
        <v>9.0899999999999995E-2</v>
      </c>
      <c r="H214" s="3">
        <v>0.62</v>
      </c>
      <c r="I214" s="3">
        <v>6.79</v>
      </c>
      <c r="J214" s="3">
        <v>13.57</v>
      </c>
    </row>
    <row r="215" spans="1:10" x14ac:dyDescent="0.3">
      <c r="A215" t="s">
        <v>456</v>
      </c>
      <c r="B215" t="s">
        <v>221</v>
      </c>
      <c r="C215">
        <v>309</v>
      </c>
      <c r="D215" s="1">
        <v>3.56E-2</v>
      </c>
      <c r="E215">
        <v>11</v>
      </c>
      <c r="F215">
        <v>0</v>
      </c>
      <c r="G215" s="2">
        <v>0</v>
      </c>
      <c r="H215" s="3">
        <v>0</v>
      </c>
      <c r="I215" s="3" t="s">
        <v>213</v>
      </c>
      <c r="J215" s="3">
        <v>0</v>
      </c>
    </row>
    <row r="216" spans="1:10" x14ac:dyDescent="0.3">
      <c r="A216" t="s">
        <v>336</v>
      </c>
      <c r="B216" t="s">
        <v>221</v>
      </c>
      <c r="C216">
        <v>306</v>
      </c>
      <c r="D216" s="1">
        <v>7.1900000000000006E-2</v>
      </c>
      <c r="E216">
        <v>22</v>
      </c>
      <c r="F216">
        <v>1</v>
      </c>
      <c r="G216" s="2">
        <v>4.5499999999999999E-2</v>
      </c>
      <c r="H216" s="3">
        <v>0.51</v>
      </c>
      <c r="I216" s="3">
        <v>11.28</v>
      </c>
      <c r="J216" s="3">
        <v>11.28</v>
      </c>
    </row>
    <row r="217" spans="1:10" x14ac:dyDescent="0.3">
      <c r="A217" t="s">
        <v>351</v>
      </c>
      <c r="B217" t="s">
        <v>248</v>
      </c>
      <c r="C217">
        <v>305</v>
      </c>
      <c r="D217" s="1">
        <v>7.2099999999999997E-2</v>
      </c>
      <c r="E217">
        <v>22</v>
      </c>
      <c r="F217">
        <v>0</v>
      </c>
      <c r="G217" s="2">
        <v>0</v>
      </c>
      <c r="H217" s="3">
        <v>0</v>
      </c>
      <c r="I217" s="3" t="s">
        <v>213</v>
      </c>
      <c r="J217" s="3">
        <v>0</v>
      </c>
    </row>
    <row r="218" spans="1:10" x14ac:dyDescent="0.3">
      <c r="A218" t="s">
        <v>345</v>
      </c>
      <c r="B218" t="s">
        <v>223</v>
      </c>
      <c r="C218">
        <v>304</v>
      </c>
      <c r="D218" s="1">
        <v>2.3E-2</v>
      </c>
      <c r="E218">
        <v>7</v>
      </c>
      <c r="F218">
        <v>0</v>
      </c>
      <c r="G218" s="2">
        <v>0</v>
      </c>
      <c r="H218" s="3">
        <v>0</v>
      </c>
      <c r="I218" s="3" t="s">
        <v>213</v>
      </c>
      <c r="J218" s="3">
        <v>0</v>
      </c>
    </row>
    <row r="219" spans="1:10" x14ac:dyDescent="0.3">
      <c r="A219" t="s">
        <v>337</v>
      </c>
      <c r="B219" t="s">
        <v>223</v>
      </c>
      <c r="C219">
        <v>303</v>
      </c>
      <c r="D219" s="1">
        <v>8.2500000000000004E-2</v>
      </c>
      <c r="E219">
        <v>25</v>
      </c>
      <c r="F219">
        <v>1</v>
      </c>
      <c r="G219" s="2">
        <v>0.04</v>
      </c>
      <c r="H219" s="3">
        <v>0.81</v>
      </c>
      <c r="I219" s="3">
        <v>20.13</v>
      </c>
      <c r="J219" s="3">
        <v>20.13</v>
      </c>
    </row>
    <row r="220" spans="1:10" x14ac:dyDescent="0.3">
      <c r="A220" t="s">
        <v>55</v>
      </c>
      <c r="B220" t="s">
        <v>432</v>
      </c>
      <c r="C220">
        <v>301</v>
      </c>
      <c r="D220" s="1">
        <v>5.9800000000000006E-2</v>
      </c>
      <c r="E220">
        <v>18</v>
      </c>
      <c r="F220">
        <v>1</v>
      </c>
      <c r="G220" s="2">
        <v>5.5599999999999997E-2</v>
      </c>
      <c r="H220" s="3">
        <v>0.59</v>
      </c>
      <c r="I220" s="3">
        <v>10.53</v>
      </c>
      <c r="J220" s="3">
        <v>10.53</v>
      </c>
    </row>
    <row r="221" spans="1:10" x14ac:dyDescent="0.3">
      <c r="A221" t="s">
        <v>81</v>
      </c>
      <c r="B221" t="s">
        <v>233</v>
      </c>
      <c r="C221">
        <v>299</v>
      </c>
      <c r="D221" s="1">
        <v>9.0299999999999991E-2</v>
      </c>
      <c r="E221">
        <v>27</v>
      </c>
      <c r="F221">
        <v>1</v>
      </c>
      <c r="G221" s="2">
        <v>3.7000000000000005E-2</v>
      </c>
      <c r="H221" s="3">
        <v>0.36</v>
      </c>
      <c r="I221" s="3">
        <v>9.85</v>
      </c>
      <c r="J221" s="3">
        <v>9.85</v>
      </c>
    </row>
    <row r="222" spans="1:10" x14ac:dyDescent="0.3">
      <c r="A222" t="s">
        <v>50</v>
      </c>
      <c r="B222" t="s">
        <v>325</v>
      </c>
      <c r="C222">
        <v>299</v>
      </c>
      <c r="D222" s="1">
        <v>0.1371</v>
      </c>
      <c r="E222">
        <v>41</v>
      </c>
      <c r="F222">
        <v>3</v>
      </c>
      <c r="G222" s="2">
        <v>7.3200000000000001E-2</v>
      </c>
      <c r="H222" s="3">
        <v>0.68</v>
      </c>
      <c r="I222" s="3">
        <v>9.33</v>
      </c>
      <c r="J222" s="3">
        <v>28</v>
      </c>
    </row>
    <row r="223" spans="1:10" x14ac:dyDescent="0.3">
      <c r="A223" t="s">
        <v>151</v>
      </c>
      <c r="B223" t="s">
        <v>361</v>
      </c>
      <c r="C223">
        <v>299</v>
      </c>
      <c r="D223" s="1">
        <v>5.0199999999999995E-2</v>
      </c>
      <c r="E223">
        <v>15</v>
      </c>
      <c r="F223">
        <v>0</v>
      </c>
      <c r="G223" s="2">
        <v>0</v>
      </c>
      <c r="H223" s="3">
        <v>0</v>
      </c>
      <c r="I223" s="3" t="s">
        <v>213</v>
      </c>
      <c r="J223" s="3">
        <v>0</v>
      </c>
    </row>
    <row r="224" spans="1:10" x14ac:dyDescent="0.3">
      <c r="A224" t="s">
        <v>306</v>
      </c>
      <c r="B224" t="s">
        <v>221</v>
      </c>
      <c r="C224">
        <v>297</v>
      </c>
      <c r="D224" s="1">
        <v>4.7100000000000003E-2</v>
      </c>
      <c r="E224">
        <v>14</v>
      </c>
      <c r="F224">
        <v>2</v>
      </c>
      <c r="G224" s="2">
        <v>0.1429</v>
      </c>
      <c r="H224" s="3">
        <v>1.41</v>
      </c>
      <c r="I224" s="3">
        <v>9.86</v>
      </c>
      <c r="J224" s="3">
        <v>19.72</v>
      </c>
    </row>
    <row r="225" spans="1:10" x14ac:dyDescent="0.3">
      <c r="A225" t="s">
        <v>88</v>
      </c>
      <c r="B225" t="s">
        <v>253</v>
      </c>
      <c r="C225">
        <v>295</v>
      </c>
      <c r="D225" s="1">
        <v>5.0799999999999998E-2</v>
      </c>
      <c r="E225">
        <v>15</v>
      </c>
      <c r="F225">
        <v>0</v>
      </c>
      <c r="G225" s="2">
        <v>0</v>
      </c>
      <c r="H225" s="3">
        <v>0</v>
      </c>
      <c r="I225" s="3" t="s">
        <v>213</v>
      </c>
      <c r="J225" s="3">
        <v>0</v>
      </c>
    </row>
    <row r="226" spans="1:10" x14ac:dyDescent="0.3">
      <c r="A226" t="s">
        <v>406</v>
      </c>
      <c r="B226" t="s">
        <v>221</v>
      </c>
      <c r="C226">
        <v>295</v>
      </c>
      <c r="D226" s="1">
        <v>3.0499999999999999E-2</v>
      </c>
      <c r="E226">
        <v>9</v>
      </c>
      <c r="F226">
        <v>0</v>
      </c>
      <c r="G226" s="2">
        <v>0</v>
      </c>
      <c r="H226" s="3">
        <v>0</v>
      </c>
      <c r="I226" s="3" t="s">
        <v>213</v>
      </c>
      <c r="J226" s="3">
        <v>0</v>
      </c>
    </row>
    <row r="227" spans="1:10" x14ac:dyDescent="0.3">
      <c r="A227" t="s">
        <v>438</v>
      </c>
      <c r="B227" t="s">
        <v>223</v>
      </c>
      <c r="C227">
        <v>295</v>
      </c>
      <c r="D227" s="1">
        <v>4.7500000000000001E-2</v>
      </c>
      <c r="E227">
        <v>14</v>
      </c>
      <c r="F227">
        <v>0</v>
      </c>
      <c r="G227" s="2">
        <v>0</v>
      </c>
      <c r="H227" s="3">
        <v>0</v>
      </c>
      <c r="I227" s="3" t="s">
        <v>213</v>
      </c>
      <c r="J227" s="3">
        <v>0</v>
      </c>
    </row>
    <row r="228" spans="1:10" x14ac:dyDescent="0.3">
      <c r="A228" t="s">
        <v>47</v>
      </c>
      <c r="B228" t="s">
        <v>235</v>
      </c>
      <c r="C228">
        <v>293</v>
      </c>
      <c r="D228" s="1">
        <v>0.1263</v>
      </c>
      <c r="E228">
        <v>37</v>
      </c>
      <c r="F228">
        <v>2</v>
      </c>
      <c r="G228" s="2">
        <v>5.4100000000000002E-2</v>
      </c>
      <c r="H228" s="3">
        <v>0.48</v>
      </c>
      <c r="I228" s="3">
        <v>8.9700000000000006</v>
      </c>
      <c r="J228" s="3">
        <v>17.940000000000001</v>
      </c>
    </row>
    <row r="229" spans="1:10" x14ac:dyDescent="0.3">
      <c r="A229" t="s">
        <v>373</v>
      </c>
      <c r="B229" t="s">
        <v>221</v>
      </c>
      <c r="C229">
        <v>291</v>
      </c>
      <c r="D229" s="1">
        <v>8.5900000000000004E-2</v>
      </c>
      <c r="E229">
        <v>25</v>
      </c>
      <c r="F229">
        <v>0</v>
      </c>
      <c r="G229" s="2">
        <v>0</v>
      </c>
      <c r="H229" s="3">
        <v>0</v>
      </c>
      <c r="I229" s="3" t="s">
        <v>213</v>
      </c>
      <c r="J229" s="3">
        <v>0</v>
      </c>
    </row>
    <row r="230" spans="1:10" x14ac:dyDescent="0.3">
      <c r="A230" t="s">
        <v>28</v>
      </c>
      <c r="B230" t="s">
        <v>226</v>
      </c>
      <c r="C230">
        <v>283</v>
      </c>
      <c r="D230" s="1">
        <v>9.5399999999999985E-2</v>
      </c>
      <c r="E230">
        <v>27</v>
      </c>
      <c r="F230">
        <v>2</v>
      </c>
      <c r="G230" s="2">
        <v>7.4099999999999999E-2</v>
      </c>
      <c r="H230" s="3">
        <v>0.63</v>
      </c>
      <c r="I230" s="3">
        <v>8.49</v>
      </c>
      <c r="J230" s="3">
        <v>16.989999999999998</v>
      </c>
    </row>
    <row r="231" spans="1:10" x14ac:dyDescent="0.3">
      <c r="A231" t="s">
        <v>345</v>
      </c>
      <c r="B231" t="s">
        <v>221</v>
      </c>
      <c r="C231">
        <v>277</v>
      </c>
      <c r="D231" s="1">
        <v>2.1700000000000001E-2</v>
      </c>
      <c r="E231">
        <v>6</v>
      </c>
      <c r="F231">
        <v>0</v>
      </c>
      <c r="G231" s="2">
        <v>0</v>
      </c>
      <c r="H231" s="3">
        <v>0</v>
      </c>
      <c r="I231" s="3" t="s">
        <v>213</v>
      </c>
      <c r="J231" s="3">
        <v>0</v>
      </c>
    </row>
    <row r="232" spans="1:10" x14ac:dyDescent="0.3">
      <c r="A232" t="s">
        <v>15</v>
      </c>
      <c r="B232" t="s">
        <v>232</v>
      </c>
      <c r="C232">
        <v>276</v>
      </c>
      <c r="D232" s="1">
        <v>9.06E-2</v>
      </c>
      <c r="E232">
        <v>25</v>
      </c>
      <c r="F232">
        <v>4</v>
      </c>
      <c r="G232" s="2">
        <v>0.16</v>
      </c>
      <c r="H232" s="3">
        <v>1.1100000000000001</v>
      </c>
      <c r="I232" s="3">
        <v>6.94</v>
      </c>
      <c r="J232" s="3">
        <v>27.75</v>
      </c>
    </row>
    <row r="233" spans="1:10" x14ac:dyDescent="0.3">
      <c r="A233" t="s">
        <v>56</v>
      </c>
      <c r="B233" t="s">
        <v>277</v>
      </c>
      <c r="C233">
        <v>276</v>
      </c>
      <c r="D233" s="1">
        <v>7.6100000000000001E-2</v>
      </c>
      <c r="E233">
        <v>21</v>
      </c>
      <c r="F233">
        <v>2</v>
      </c>
      <c r="G233" s="2">
        <v>9.5199999999999993E-2</v>
      </c>
      <c r="H233" s="3">
        <v>0.32</v>
      </c>
      <c r="I233" s="3">
        <v>3.36</v>
      </c>
      <c r="J233" s="3">
        <v>6.72</v>
      </c>
    </row>
    <row r="234" spans="1:10" x14ac:dyDescent="0.3">
      <c r="A234" t="s">
        <v>76</v>
      </c>
      <c r="B234" t="s">
        <v>282</v>
      </c>
      <c r="C234">
        <v>276</v>
      </c>
      <c r="D234" s="1">
        <v>3.9900000000000005E-2</v>
      </c>
      <c r="E234">
        <v>11</v>
      </c>
      <c r="F234">
        <v>1</v>
      </c>
      <c r="G234" s="2">
        <v>9.0899999999999995E-2</v>
      </c>
      <c r="H234" s="3">
        <v>1.1399999999999999</v>
      </c>
      <c r="I234" s="3">
        <v>12.49</v>
      </c>
      <c r="J234" s="3">
        <v>12.49</v>
      </c>
    </row>
    <row r="235" spans="1:10" x14ac:dyDescent="0.3">
      <c r="A235" t="s">
        <v>61</v>
      </c>
      <c r="B235" t="s">
        <v>352</v>
      </c>
      <c r="C235">
        <v>275</v>
      </c>
      <c r="D235" s="1">
        <v>0.08</v>
      </c>
      <c r="E235">
        <v>22</v>
      </c>
      <c r="F235">
        <v>5</v>
      </c>
      <c r="G235" s="2">
        <v>0.2273</v>
      </c>
      <c r="H235" s="3">
        <v>1.24</v>
      </c>
      <c r="I235" s="3">
        <v>5.47</v>
      </c>
      <c r="J235" s="3">
        <v>27.34</v>
      </c>
    </row>
    <row r="236" spans="1:10" x14ac:dyDescent="0.3">
      <c r="A236" t="s">
        <v>36</v>
      </c>
      <c r="B236" t="s">
        <v>221</v>
      </c>
      <c r="C236">
        <v>271</v>
      </c>
      <c r="D236" s="1">
        <v>8.8599999999999998E-2</v>
      </c>
      <c r="E236">
        <v>24</v>
      </c>
      <c r="F236">
        <v>4</v>
      </c>
      <c r="G236" s="2">
        <v>0.16670000000000001</v>
      </c>
      <c r="H236" s="3">
        <v>1.23</v>
      </c>
      <c r="I236" s="3">
        <v>7.36</v>
      </c>
      <c r="J236" s="3">
        <v>29.43</v>
      </c>
    </row>
    <row r="237" spans="1:10" x14ac:dyDescent="0.3">
      <c r="A237" t="s">
        <v>11</v>
      </c>
      <c r="B237" t="s">
        <v>313</v>
      </c>
      <c r="C237">
        <v>271</v>
      </c>
      <c r="D237" s="1">
        <v>5.9000000000000004E-2</v>
      </c>
      <c r="E237">
        <v>16</v>
      </c>
      <c r="F237">
        <v>1</v>
      </c>
      <c r="G237" s="2">
        <v>6.25E-2</v>
      </c>
      <c r="H237" s="3">
        <v>0.4</v>
      </c>
      <c r="I237" s="3">
        <v>6.41</v>
      </c>
      <c r="J237" s="3">
        <v>6.41</v>
      </c>
    </row>
    <row r="238" spans="1:10" x14ac:dyDescent="0.3">
      <c r="A238" t="s">
        <v>155</v>
      </c>
      <c r="B238" t="s">
        <v>215</v>
      </c>
      <c r="C238">
        <v>271</v>
      </c>
      <c r="D238" s="1">
        <v>6.6400000000000001E-2</v>
      </c>
      <c r="E238">
        <v>18</v>
      </c>
      <c r="F238">
        <v>3</v>
      </c>
      <c r="G238" s="2">
        <v>0.16670000000000001</v>
      </c>
      <c r="H238" s="3">
        <v>0.4</v>
      </c>
      <c r="I238" s="3">
        <v>2.37</v>
      </c>
      <c r="J238" s="3">
        <v>7.12</v>
      </c>
    </row>
    <row r="239" spans="1:10" x14ac:dyDescent="0.3">
      <c r="A239" t="s">
        <v>66</v>
      </c>
      <c r="B239" t="s">
        <v>244</v>
      </c>
      <c r="C239">
        <v>270</v>
      </c>
      <c r="D239" s="1">
        <v>8.1500000000000003E-2</v>
      </c>
      <c r="E239">
        <v>22</v>
      </c>
      <c r="F239">
        <v>2</v>
      </c>
      <c r="G239" s="2">
        <v>9.0899999999999995E-2</v>
      </c>
      <c r="H239" s="3">
        <v>0.52</v>
      </c>
      <c r="I239" s="3">
        <v>5.77</v>
      </c>
      <c r="J239" s="3">
        <v>11.54</v>
      </c>
    </row>
    <row r="240" spans="1:10" x14ac:dyDescent="0.3">
      <c r="A240" t="s">
        <v>11</v>
      </c>
      <c r="B240" t="s">
        <v>223</v>
      </c>
      <c r="C240">
        <v>269</v>
      </c>
      <c r="D240" s="1">
        <v>0.1115</v>
      </c>
      <c r="E240">
        <v>30</v>
      </c>
      <c r="F240">
        <v>3</v>
      </c>
      <c r="G240" s="2">
        <v>0.1</v>
      </c>
      <c r="H240" s="3">
        <v>0.49</v>
      </c>
      <c r="I240" s="3">
        <v>4.87</v>
      </c>
      <c r="J240" s="3">
        <v>14.62</v>
      </c>
    </row>
    <row r="241" spans="1:10" x14ac:dyDescent="0.3">
      <c r="A241" t="s">
        <v>310</v>
      </c>
      <c r="B241" t="s">
        <v>311</v>
      </c>
      <c r="C241">
        <v>268</v>
      </c>
      <c r="D241" s="1">
        <v>7.8399999999999997E-2</v>
      </c>
      <c r="E241">
        <v>21</v>
      </c>
      <c r="F241">
        <v>2</v>
      </c>
      <c r="G241" s="2">
        <v>9.5199999999999993E-2</v>
      </c>
      <c r="H241" s="3">
        <v>1.66</v>
      </c>
      <c r="I241" s="3">
        <v>17.399999999999999</v>
      </c>
      <c r="J241" s="3">
        <v>34.79</v>
      </c>
    </row>
    <row r="242" spans="1:10" x14ac:dyDescent="0.3">
      <c r="A242" t="s">
        <v>456</v>
      </c>
      <c r="B242" t="s">
        <v>221</v>
      </c>
      <c r="C242">
        <v>266</v>
      </c>
      <c r="D242" s="1">
        <v>4.1399999999999999E-2</v>
      </c>
      <c r="E242">
        <v>11</v>
      </c>
      <c r="F242">
        <v>2</v>
      </c>
      <c r="G242" s="2">
        <v>0.18179999999999999</v>
      </c>
      <c r="H242" s="3">
        <v>5.04</v>
      </c>
      <c r="I242" s="3">
        <v>27.72</v>
      </c>
      <c r="J242" s="3">
        <v>55.44</v>
      </c>
    </row>
    <row r="243" spans="1:10" x14ac:dyDescent="0.3">
      <c r="A243" t="s">
        <v>28</v>
      </c>
      <c r="B243" t="s">
        <v>228</v>
      </c>
      <c r="C243">
        <v>265</v>
      </c>
      <c r="D243" s="1">
        <v>0.1245</v>
      </c>
      <c r="E243">
        <v>33</v>
      </c>
      <c r="F243">
        <v>0</v>
      </c>
      <c r="G243" s="2">
        <v>0</v>
      </c>
      <c r="H243" s="3">
        <v>0</v>
      </c>
      <c r="I243" s="3" t="s">
        <v>213</v>
      </c>
      <c r="J243" s="3">
        <v>0</v>
      </c>
    </row>
    <row r="244" spans="1:10" x14ac:dyDescent="0.3">
      <c r="A244" t="s">
        <v>447</v>
      </c>
      <c r="B244" t="s">
        <v>251</v>
      </c>
      <c r="C244">
        <v>265</v>
      </c>
      <c r="D244" s="1">
        <v>3.0200000000000001E-2</v>
      </c>
      <c r="E244">
        <v>8</v>
      </c>
      <c r="F244">
        <v>0</v>
      </c>
      <c r="G244" s="2">
        <v>0</v>
      </c>
      <c r="H244" s="3">
        <v>0</v>
      </c>
      <c r="I244" s="3" t="s">
        <v>213</v>
      </c>
      <c r="J244" s="3">
        <v>0</v>
      </c>
    </row>
    <row r="245" spans="1:10" x14ac:dyDescent="0.3">
      <c r="A245" t="s">
        <v>71</v>
      </c>
      <c r="B245" t="s">
        <v>248</v>
      </c>
      <c r="C245">
        <v>265</v>
      </c>
      <c r="D245" s="1">
        <v>2.64E-2</v>
      </c>
      <c r="E245">
        <v>7</v>
      </c>
      <c r="F245">
        <v>0</v>
      </c>
      <c r="G245" s="2">
        <v>0</v>
      </c>
      <c r="H245" s="3">
        <v>0</v>
      </c>
      <c r="I245" s="3" t="s">
        <v>213</v>
      </c>
      <c r="J245" s="3">
        <v>0</v>
      </c>
    </row>
    <row r="246" spans="1:10" x14ac:dyDescent="0.3">
      <c r="A246" t="s">
        <v>74</v>
      </c>
      <c r="B246" t="s">
        <v>233</v>
      </c>
      <c r="C246">
        <v>264</v>
      </c>
      <c r="D246" s="1">
        <v>0.125</v>
      </c>
      <c r="E246">
        <v>33</v>
      </c>
      <c r="F246">
        <v>5</v>
      </c>
      <c r="G246" s="2">
        <v>0.1515</v>
      </c>
      <c r="H246" s="3">
        <v>0.28999999999999998</v>
      </c>
      <c r="I246" s="3">
        <v>1.94</v>
      </c>
      <c r="J246" s="3">
        <v>9.69</v>
      </c>
    </row>
    <row r="247" spans="1:10" x14ac:dyDescent="0.3">
      <c r="A247" t="s">
        <v>11</v>
      </c>
      <c r="B247" t="s">
        <v>282</v>
      </c>
      <c r="C247">
        <v>264</v>
      </c>
      <c r="D247" s="1">
        <v>6.8199999999999997E-2</v>
      </c>
      <c r="E247">
        <v>18</v>
      </c>
      <c r="F247">
        <v>0</v>
      </c>
      <c r="G247" s="2">
        <v>0</v>
      </c>
      <c r="H247" s="3">
        <v>0</v>
      </c>
      <c r="I247" s="3" t="s">
        <v>213</v>
      </c>
      <c r="J247" s="3">
        <v>0</v>
      </c>
    </row>
    <row r="248" spans="1:10" x14ac:dyDescent="0.3">
      <c r="A248" t="s">
        <v>306</v>
      </c>
      <c r="B248" t="s">
        <v>221</v>
      </c>
      <c r="C248">
        <v>261</v>
      </c>
      <c r="D248" s="1">
        <v>7.6600000000000001E-2</v>
      </c>
      <c r="E248">
        <v>20</v>
      </c>
      <c r="F248">
        <v>4</v>
      </c>
      <c r="G248" s="2">
        <v>0.2</v>
      </c>
      <c r="H248" s="3">
        <v>1.41</v>
      </c>
      <c r="I248" s="3">
        <v>7.06</v>
      </c>
      <c r="J248" s="3">
        <v>28.25</v>
      </c>
    </row>
    <row r="249" spans="1:10" x14ac:dyDescent="0.3">
      <c r="A249" t="s">
        <v>22</v>
      </c>
      <c r="B249" t="s">
        <v>252</v>
      </c>
      <c r="C249">
        <v>260</v>
      </c>
      <c r="D249" s="1">
        <v>0.1231</v>
      </c>
      <c r="E249">
        <v>32</v>
      </c>
      <c r="F249">
        <v>1</v>
      </c>
      <c r="G249" s="2">
        <v>3.1300000000000001E-2</v>
      </c>
      <c r="H249" s="3">
        <v>0.57999999999999996</v>
      </c>
      <c r="I249" s="3">
        <v>18.48</v>
      </c>
      <c r="J249" s="3">
        <v>18.48</v>
      </c>
    </row>
    <row r="250" spans="1:10" x14ac:dyDescent="0.3">
      <c r="A250" t="s">
        <v>80</v>
      </c>
      <c r="B250" t="s">
        <v>223</v>
      </c>
      <c r="C250">
        <v>260</v>
      </c>
      <c r="D250" s="1">
        <v>6.1500000000000006E-2</v>
      </c>
      <c r="E250">
        <v>16</v>
      </c>
      <c r="F250">
        <v>1</v>
      </c>
      <c r="G250" s="2">
        <v>6.25E-2</v>
      </c>
      <c r="H250" s="3">
        <v>0.11</v>
      </c>
      <c r="I250" s="3">
        <v>1.7</v>
      </c>
      <c r="J250" s="3">
        <v>1.7</v>
      </c>
    </row>
    <row r="251" spans="1:10" x14ac:dyDescent="0.3">
      <c r="A251" t="s">
        <v>59</v>
      </c>
      <c r="B251" t="s">
        <v>239</v>
      </c>
      <c r="C251">
        <v>259</v>
      </c>
      <c r="D251" s="1">
        <v>6.5599999999999992E-2</v>
      </c>
      <c r="E251">
        <v>17</v>
      </c>
      <c r="F251">
        <v>4</v>
      </c>
      <c r="G251" s="2">
        <v>0.23530000000000001</v>
      </c>
      <c r="H251" s="3">
        <v>0.72</v>
      </c>
      <c r="I251" s="3">
        <v>3.07</v>
      </c>
      <c r="J251" s="3">
        <v>12.27</v>
      </c>
    </row>
    <row r="252" spans="1:10" x14ac:dyDescent="0.3">
      <c r="A252" t="s">
        <v>442</v>
      </c>
      <c r="B252" t="s">
        <v>233</v>
      </c>
      <c r="C252">
        <v>258</v>
      </c>
      <c r="D252" s="1">
        <v>5.8099999999999999E-2</v>
      </c>
      <c r="E252">
        <v>15</v>
      </c>
      <c r="F252">
        <v>2</v>
      </c>
      <c r="G252" s="2">
        <v>0.1333</v>
      </c>
      <c r="H252" s="3">
        <v>0.46</v>
      </c>
      <c r="I252" s="3">
        <v>3.46</v>
      </c>
      <c r="J252" s="3">
        <v>6.92</v>
      </c>
    </row>
    <row r="253" spans="1:10" x14ac:dyDescent="0.3">
      <c r="A253" t="s">
        <v>306</v>
      </c>
      <c r="B253" t="s">
        <v>221</v>
      </c>
      <c r="C253">
        <v>255</v>
      </c>
      <c r="D253" s="1">
        <v>6.6699999999999995E-2</v>
      </c>
      <c r="E253">
        <v>17</v>
      </c>
      <c r="F253">
        <v>3</v>
      </c>
      <c r="G253" s="2">
        <v>0.17649999999999999</v>
      </c>
      <c r="H253" s="3">
        <v>2.69</v>
      </c>
      <c r="I253" s="3">
        <v>15.25</v>
      </c>
      <c r="J253" s="3">
        <v>45.75</v>
      </c>
    </row>
    <row r="254" spans="1:10" x14ac:dyDescent="0.3">
      <c r="A254" t="s">
        <v>26</v>
      </c>
      <c r="B254" t="s">
        <v>432</v>
      </c>
      <c r="C254">
        <v>255</v>
      </c>
      <c r="D254" s="1">
        <v>8.6300000000000002E-2</v>
      </c>
      <c r="E254">
        <v>22</v>
      </c>
      <c r="F254">
        <v>1</v>
      </c>
      <c r="G254" s="2">
        <v>4.5499999999999999E-2</v>
      </c>
      <c r="H254" s="3">
        <v>0.08</v>
      </c>
      <c r="I254" s="3">
        <v>1.7</v>
      </c>
      <c r="J254" s="3">
        <v>1.7</v>
      </c>
    </row>
    <row r="255" spans="1:10" x14ac:dyDescent="0.3">
      <c r="A255" t="s">
        <v>71</v>
      </c>
      <c r="B255" t="s">
        <v>212</v>
      </c>
      <c r="C255">
        <v>254</v>
      </c>
      <c r="D255" s="1">
        <v>1.5700000000000002E-2</v>
      </c>
      <c r="E255">
        <v>4</v>
      </c>
      <c r="F255">
        <v>0</v>
      </c>
      <c r="G255" s="2">
        <v>0</v>
      </c>
      <c r="H255" s="3">
        <v>0</v>
      </c>
      <c r="I255" s="3" t="s">
        <v>213</v>
      </c>
      <c r="J255" s="3">
        <v>0</v>
      </c>
    </row>
    <row r="256" spans="1:10" x14ac:dyDescent="0.3">
      <c r="A256" t="s">
        <v>129</v>
      </c>
      <c r="B256" t="s">
        <v>264</v>
      </c>
      <c r="C256">
        <v>250</v>
      </c>
      <c r="D256" s="1">
        <v>0.08</v>
      </c>
      <c r="E256">
        <v>20</v>
      </c>
      <c r="F256">
        <v>1</v>
      </c>
      <c r="G256" s="2">
        <v>0.05</v>
      </c>
      <c r="H256" s="3">
        <v>0.6</v>
      </c>
      <c r="I256" s="3">
        <v>12.05</v>
      </c>
      <c r="J256" s="3">
        <v>12.05</v>
      </c>
    </row>
    <row r="257" spans="1:10" x14ac:dyDescent="0.3">
      <c r="A257" t="s">
        <v>91</v>
      </c>
      <c r="B257" t="s">
        <v>324</v>
      </c>
      <c r="C257">
        <v>248</v>
      </c>
      <c r="D257" s="1">
        <v>6.8499999999999991E-2</v>
      </c>
      <c r="E257">
        <v>17</v>
      </c>
      <c r="F257">
        <v>1</v>
      </c>
      <c r="G257" s="2">
        <v>5.8799999999999998E-2</v>
      </c>
      <c r="H257" s="3">
        <v>0.16</v>
      </c>
      <c r="I257" s="3">
        <v>2.79</v>
      </c>
      <c r="J257" s="3">
        <v>2.79</v>
      </c>
    </row>
    <row r="258" spans="1:10" x14ac:dyDescent="0.3">
      <c r="A258" t="s">
        <v>163</v>
      </c>
      <c r="B258" t="s">
        <v>453</v>
      </c>
      <c r="C258">
        <v>248</v>
      </c>
      <c r="D258" s="1">
        <v>6.0499999999999998E-2</v>
      </c>
      <c r="E258">
        <v>15</v>
      </c>
      <c r="F258">
        <v>0</v>
      </c>
      <c r="G258" s="2">
        <v>0</v>
      </c>
      <c r="H258" s="3">
        <v>0</v>
      </c>
      <c r="I258" s="3" t="s">
        <v>213</v>
      </c>
      <c r="J258" s="3">
        <v>0</v>
      </c>
    </row>
    <row r="259" spans="1:10" x14ac:dyDescent="0.3">
      <c r="A259" t="s">
        <v>299</v>
      </c>
      <c r="B259" t="s">
        <v>212</v>
      </c>
      <c r="C259">
        <v>247</v>
      </c>
      <c r="D259" s="1">
        <v>8.5000000000000006E-2</v>
      </c>
      <c r="E259">
        <v>21</v>
      </c>
      <c r="F259">
        <v>3</v>
      </c>
      <c r="G259" s="2">
        <v>0.1429</v>
      </c>
      <c r="H259" s="3">
        <v>0.33</v>
      </c>
      <c r="I259" s="3">
        <v>2.2999999999999998</v>
      </c>
      <c r="J259" s="3">
        <v>6.91</v>
      </c>
    </row>
    <row r="260" spans="1:10" x14ac:dyDescent="0.3">
      <c r="A260" t="s">
        <v>80</v>
      </c>
      <c r="B260" t="s">
        <v>215</v>
      </c>
      <c r="C260">
        <v>246</v>
      </c>
      <c r="D260" s="1">
        <v>6.0999999999999999E-2</v>
      </c>
      <c r="E260">
        <v>15</v>
      </c>
      <c r="F260">
        <v>0</v>
      </c>
      <c r="G260" s="2">
        <v>0</v>
      </c>
      <c r="H260" s="3">
        <v>0</v>
      </c>
      <c r="I260" s="3" t="s">
        <v>213</v>
      </c>
      <c r="J260" s="3">
        <v>0</v>
      </c>
    </row>
    <row r="261" spans="1:10" x14ac:dyDescent="0.3">
      <c r="A261" t="s">
        <v>476</v>
      </c>
      <c r="B261" t="s">
        <v>477</v>
      </c>
      <c r="C261">
        <v>245</v>
      </c>
      <c r="D261" s="1">
        <v>4.0800000000000003E-2</v>
      </c>
      <c r="E261">
        <v>10</v>
      </c>
      <c r="F261">
        <v>1</v>
      </c>
      <c r="G261" s="2">
        <v>0.1</v>
      </c>
      <c r="H261" s="3">
        <v>0.45</v>
      </c>
      <c r="I261" s="3">
        <v>4.47</v>
      </c>
      <c r="J261" s="3">
        <v>4.47</v>
      </c>
    </row>
    <row r="262" spans="1:10" x14ac:dyDescent="0.3">
      <c r="A262" t="s">
        <v>37</v>
      </c>
      <c r="B262" t="s">
        <v>233</v>
      </c>
      <c r="C262">
        <v>244</v>
      </c>
      <c r="D262" s="1">
        <v>0.23769999999999999</v>
      </c>
      <c r="E262">
        <v>58</v>
      </c>
      <c r="F262">
        <v>5</v>
      </c>
      <c r="G262" s="2">
        <v>8.6199999999999999E-2</v>
      </c>
      <c r="H262" s="3">
        <v>0.51</v>
      </c>
      <c r="I262" s="3">
        <v>5.87</v>
      </c>
      <c r="J262" s="3">
        <v>29.37</v>
      </c>
    </row>
    <row r="263" spans="1:10" x14ac:dyDescent="0.3">
      <c r="A263" t="s">
        <v>330</v>
      </c>
      <c r="B263" t="s">
        <v>215</v>
      </c>
      <c r="C263">
        <v>244</v>
      </c>
      <c r="D263" s="1">
        <v>9.0200000000000002E-2</v>
      </c>
      <c r="E263">
        <v>22</v>
      </c>
      <c r="F263">
        <v>0</v>
      </c>
      <c r="G263" s="2">
        <v>0</v>
      </c>
      <c r="H263" s="3">
        <v>0</v>
      </c>
      <c r="I263" s="3" t="s">
        <v>213</v>
      </c>
      <c r="J263" s="3">
        <v>0</v>
      </c>
    </row>
    <row r="264" spans="1:10" x14ac:dyDescent="0.3">
      <c r="A264" t="s">
        <v>11</v>
      </c>
      <c r="B264" t="s">
        <v>312</v>
      </c>
      <c r="C264">
        <v>242</v>
      </c>
      <c r="D264" s="1">
        <v>8.6800000000000002E-2</v>
      </c>
      <c r="E264">
        <v>21</v>
      </c>
      <c r="F264">
        <v>2</v>
      </c>
      <c r="G264" s="2">
        <v>9.5199999999999993E-2</v>
      </c>
      <c r="H264" s="3">
        <v>0.88</v>
      </c>
      <c r="I264" s="3">
        <v>9.1999999999999993</v>
      </c>
      <c r="J264" s="3">
        <v>18.399999999999999</v>
      </c>
    </row>
    <row r="265" spans="1:10" x14ac:dyDescent="0.3">
      <c r="A265" t="s">
        <v>16</v>
      </c>
      <c r="B265" t="s">
        <v>233</v>
      </c>
      <c r="C265">
        <v>241</v>
      </c>
      <c r="D265" s="1">
        <v>0.13689999999999999</v>
      </c>
      <c r="E265">
        <v>33</v>
      </c>
      <c r="F265">
        <v>1</v>
      </c>
      <c r="G265" s="2">
        <v>3.0299999999999997E-2</v>
      </c>
      <c r="H265" s="3">
        <v>7.0000000000000007E-2</v>
      </c>
      <c r="I265" s="3">
        <v>2.16</v>
      </c>
      <c r="J265" s="3">
        <v>2.16</v>
      </c>
    </row>
    <row r="266" spans="1:10" x14ac:dyDescent="0.3">
      <c r="A266" t="s">
        <v>11</v>
      </c>
      <c r="B266" t="s">
        <v>268</v>
      </c>
      <c r="C266">
        <v>241</v>
      </c>
      <c r="D266" s="1">
        <v>5.8099999999999999E-2</v>
      </c>
      <c r="E266">
        <v>14</v>
      </c>
      <c r="F266">
        <v>0</v>
      </c>
      <c r="G266" s="2">
        <v>0</v>
      </c>
      <c r="H266" s="3">
        <v>0</v>
      </c>
      <c r="I266" s="3" t="s">
        <v>213</v>
      </c>
      <c r="J266" s="3">
        <v>0</v>
      </c>
    </row>
    <row r="267" spans="1:10" x14ac:dyDescent="0.3">
      <c r="A267" t="s">
        <v>336</v>
      </c>
      <c r="B267" t="s">
        <v>221</v>
      </c>
      <c r="C267">
        <v>241</v>
      </c>
      <c r="D267" s="1">
        <v>5.3899999999999997E-2</v>
      </c>
      <c r="E267">
        <v>13</v>
      </c>
      <c r="F267">
        <v>2</v>
      </c>
      <c r="G267" s="2">
        <v>0.15380000000000002</v>
      </c>
      <c r="H267" s="3">
        <v>0.61</v>
      </c>
      <c r="I267" s="3">
        <v>3.95</v>
      </c>
      <c r="J267" s="3">
        <v>7.9</v>
      </c>
    </row>
    <row r="268" spans="1:10" x14ac:dyDescent="0.3">
      <c r="A268" t="s">
        <v>437</v>
      </c>
      <c r="B268" t="s">
        <v>217</v>
      </c>
      <c r="C268">
        <v>241</v>
      </c>
      <c r="D268" s="1">
        <v>5.8099999999999999E-2</v>
      </c>
      <c r="E268">
        <v>14</v>
      </c>
      <c r="F268">
        <v>0</v>
      </c>
      <c r="G268" s="2">
        <v>0</v>
      </c>
      <c r="H268" s="3">
        <v>0</v>
      </c>
      <c r="I268" s="3" t="s">
        <v>213</v>
      </c>
      <c r="J268" s="3">
        <v>0</v>
      </c>
    </row>
    <row r="269" spans="1:10" x14ac:dyDescent="0.3">
      <c r="A269" t="s">
        <v>64</v>
      </c>
      <c r="B269" t="s">
        <v>463</v>
      </c>
      <c r="C269">
        <v>241</v>
      </c>
      <c r="D269" s="1">
        <v>9.1300000000000006E-2</v>
      </c>
      <c r="E269">
        <v>22</v>
      </c>
      <c r="F269">
        <v>2</v>
      </c>
      <c r="G269" s="2">
        <v>9.0899999999999995E-2</v>
      </c>
      <c r="H269" s="3">
        <v>0.3</v>
      </c>
      <c r="I269" s="3">
        <v>3.33</v>
      </c>
      <c r="J269" s="3">
        <v>6.65</v>
      </c>
    </row>
    <row r="270" spans="1:10" x14ac:dyDescent="0.3">
      <c r="A270" t="s">
        <v>11</v>
      </c>
      <c r="B270" t="s">
        <v>314</v>
      </c>
      <c r="C270">
        <v>240</v>
      </c>
      <c r="D270" s="1">
        <v>5.8299999999999998E-2</v>
      </c>
      <c r="E270">
        <v>14</v>
      </c>
      <c r="F270">
        <v>1</v>
      </c>
      <c r="G270" s="2">
        <v>7.1399999999999991E-2</v>
      </c>
      <c r="H270" s="3">
        <v>0.75</v>
      </c>
      <c r="I270" s="3">
        <v>10.48</v>
      </c>
      <c r="J270" s="3">
        <v>10.48</v>
      </c>
    </row>
    <row r="271" spans="1:10" x14ac:dyDescent="0.3">
      <c r="A271" t="s">
        <v>254</v>
      </c>
      <c r="B271" t="s">
        <v>253</v>
      </c>
      <c r="C271">
        <v>239</v>
      </c>
      <c r="D271" s="1">
        <v>5.0199999999999995E-2</v>
      </c>
      <c r="E271">
        <v>12</v>
      </c>
      <c r="F271">
        <v>0</v>
      </c>
      <c r="G271" s="2">
        <v>0</v>
      </c>
      <c r="H271" s="3">
        <v>0</v>
      </c>
      <c r="I271" s="3" t="s">
        <v>213</v>
      </c>
      <c r="J271" s="3">
        <v>0</v>
      </c>
    </row>
    <row r="272" spans="1:10" x14ac:dyDescent="0.3">
      <c r="A272" t="s">
        <v>75</v>
      </c>
      <c r="B272" t="s">
        <v>259</v>
      </c>
      <c r="C272">
        <v>239</v>
      </c>
      <c r="D272" s="1">
        <v>0.10460000000000001</v>
      </c>
      <c r="E272">
        <v>25</v>
      </c>
      <c r="F272">
        <v>3</v>
      </c>
      <c r="G272" s="2">
        <v>0.12</v>
      </c>
      <c r="H272" s="3">
        <v>0.2</v>
      </c>
      <c r="I272" s="3">
        <v>1.7</v>
      </c>
      <c r="J272" s="3">
        <v>5.0999999999999996</v>
      </c>
    </row>
    <row r="273" spans="1:10" x14ac:dyDescent="0.3">
      <c r="A273" t="s">
        <v>80</v>
      </c>
      <c r="B273" t="s">
        <v>215</v>
      </c>
      <c r="C273">
        <v>235</v>
      </c>
      <c r="D273" s="1">
        <v>5.1100000000000007E-2</v>
      </c>
      <c r="E273">
        <v>12</v>
      </c>
      <c r="F273">
        <v>1</v>
      </c>
      <c r="G273" s="2">
        <v>8.3299999999999999E-2</v>
      </c>
      <c r="H273" s="3">
        <v>0.14000000000000001</v>
      </c>
      <c r="I273" s="3">
        <v>1.7</v>
      </c>
      <c r="J273" s="3">
        <v>1.7</v>
      </c>
    </row>
    <row r="274" spans="1:10" x14ac:dyDescent="0.3">
      <c r="A274" t="s">
        <v>43</v>
      </c>
      <c r="B274" t="s">
        <v>259</v>
      </c>
      <c r="C274">
        <v>234</v>
      </c>
      <c r="D274" s="1">
        <v>0.1026</v>
      </c>
      <c r="E274">
        <v>24</v>
      </c>
      <c r="F274">
        <v>5</v>
      </c>
      <c r="G274" s="2">
        <v>0.20829999999999999</v>
      </c>
      <c r="H274" s="3">
        <v>0.67</v>
      </c>
      <c r="I274" s="3">
        <v>3.21</v>
      </c>
      <c r="J274" s="3">
        <v>16.07</v>
      </c>
    </row>
    <row r="275" spans="1:10" x14ac:dyDescent="0.3">
      <c r="A275" t="s">
        <v>342</v>
      </c>
      <c r="B275" t="s">
        <v>223</v>
      </c>
      <c r="C275">
        <v>234</v>
      </c>
      <c r="D275" s="1">
        <v>2.5600000000000001E-2</v>
      </c>
      <c r="E275">
        <v>6</v>
      </c>
      <c r="F275">
        <v>1</v>
      </c>
      <c r="G275" s="2">
        <v>0.16670000000000001</v>
      </c>
      <c r="H275" s="3">
        <v>0.82</v>
      </c>
      <c r="I275" s="3">
        <v>4.9400000000000004</v>
      </c>
      <c r="J275" s="3">
        <v>4.9400000000000004</v>
      </c>
    </row>
    <row r="276" spans="1:10" x14ac:dyDescent="0.3">
      <c r="A276" t="s">
        <v>304</v>
      </c>
      <c r="B276" t="s">
        <v>221</v>
      </c>
      <c r="C276">
        <v>231</v>
      </c>
      <c r="D276" s="1">
        <v>5.1900000000000002E-2</v>
      </c>
      <c r="E276">
        <v>12</v>
      </c>
      <c r="F276">
        <v>0</v>
      </c>
      <c r="G276" s="2">
        <v>0</v>
      </c>
      <c r="H276" s="3">
        <v>0</v>
      </c>
      <c r="I276" s="3" t="s">
        <v>213</v>
      </c>
      <c r="J276" s="3">
        <v>0</v>
      </c>
    </row>
    <row r="277" spans="1:10" x14ac:dyDescent="0.3">
      <c r="A277" t="s">
        <v>395</v>
      </c>
      <c r="B277" t="s">
        <v>221</v>
      </c>
      <c r="C277">
        <v>231</v>
      </c>
      <c r="D277" s="1">
        <v>3.0299999999999997E-2</v>
      </c>
      <c r="E277">
        <v>7</v>
      </c>
      <c r="F277">
        <v>1</v>
      </c>
      <c r="G277" s="2">
        <v>0.1429</v>
      </c>
      <c r="H277" s="3">
        <v>1.0900000000000001</v>
      </c>
      <c r="I277" s="3">
        <v>7.61</v>
      </c>
      <c r="J277" s="3">
        <v>7.61</v>
      </c>
    </row>
    <row r="278" spans="1:10" x14ac:dyDescent="0.3">
      <c r="A278" t="s">
        <v>305</v>
      </c>
      <c r="B278" t="s">
        <v>221</v>
      </c>
      <c r="C278">
        <v>230</v>
      </c>
      <c r="D278" s="1">
        <v>3.04E-2</v>
      </c>
      <c r="E278">
        <v>7</v>
      </c>
      <c r="F278">
        <v>2</v>
      </c>
      <c r="G278" s="2">
        <v>0.28570000000000001</v>
      </c>
      <c r="H278" s="3">
        <v>4.4000000000000004</v>
      </c>
      <c r="I278" s="3">
        <v>15.39</v>
      </c>
      <c r="J278" s="3">
        <v>30.78</v>
      </c>
    </row>
    <row r="279" spans="1:10" x14ac:dyDescent="0.3">
      <c r="A279" t="s">
        <v>299</v>
      </c>
      <c r="B279" t="s">
        <v>223</v>
      </c>
      <c r="C279">
        <v>227</v>
      </c>
      <c r="D279" s="1">
        <v>6.6100000000000006E-2</v>
      </c>
      <c r="E279">
        <v>15</v>
      </c>
      <c r="F279">
        <v>0</v>
      </c>
      <c r="G279" s="2">
        <v>0</v>
      </c>
      <c r="H279" s="3">
        <v>0</v>
      </c>
      <c r="I279" s="3" t="s">
        <v>213</v>
      </c>
      <c r="J279" s="3">
        <v>0</v>
      </c>
    </row>
    <row r="280" spans="1:10" x14ac:dyDescent="0.3">
      <c r="A280" t="s">
        <v>76</v>
      </c>
      <c r="B280" t="s">
        <v>226</v>
      </c>
      <c r="C280">
        <v>226</v>
      </c>
      <c r="D280" s="1">
        <v>0.1018</v>
      </c>
      <c r="E280">
        <v>23</v>
      </c>
      <c r="F280">
        <v>0</v>
      </c>
      <c r="G280" s="2">
        <v>0</v>
      </c>
      <c r="H280" s="3">
        <v>0</v>
      </c>
      <c r="I280" s="3" t="s">
        <v>213</v>
      </c>
      <c r="J280" s="3">
        <v>0</v>
      </c>
    </row>
    <row r="281" spans="1:10" x14ac:dyDescent="0.3">
      <c r="A281" t="s">
        <v>76</v>
      </c>
      <c r="B281" t="s">
        <v>225</v>
      </c>
      <c r="C281">
        <v>224</v>
      </c>
      <c r="D281" s="1">
        <v>5.7999999999999996E-2</v>
      </c>
      <c r="E281">
        <v>13</v>
      </c>
      <c r="F281">
        <v>0</v>
      </c>
      <c r="G281" s="2">
        <v>0</v>
      </c>
      <c r="H281" s="3">
        <v>0</v>
      </c>
      <c r="I281" s="3" t="s">
        <v>213</v>
      </c>
      <c r="J281" s="3">
        <v>0</v>
      </c>
    </row>
    <row r="282" spans="1:10" x14ac:dyDescent="0.3">
      <c r="A282" t="s">
        <v>100</v>
      </c>
      <c r="B282" t="s">
        <v>248</v>
      </c>
      <c r="C282">
        <v>221</v>
      </c>
      <c r="D282" s="1">
        <v>8.5999999999999993E-2</v>
      </c>
      <c r="E282">
        <v>19</v>
      </c>
      <c r="F282">
        <v>1</v>
      </c>
      <c r="G282" s="2">
        <v>5.2600000000000001E-2</v>
      </c>
      <c r="H282" s="3">
        <v>0.52</v>
      </c>
      <c r="I282" s="3">
        <v>9.84</v>
      </c>
      <c r="J282" s="3">
        <v>9.84</v>
      </c>
    </row>
    <row r="283" spans="1:10" x14ac:dyDescent="0.3">
      <c r="A283" t="s">
        <v>249</v>
      </c>
      <c r="B283" t="s">
        <v>248</v>
      </c>
      <c r="C283">
        <v>220</v>
      </c>
      <c r="D283" s="1">
        <v>0.15</v>
      </c>
      <c r="E283">
        <v>33</v>
      </c>
      <c r="F283">
        <v>2</v>
      </c>
      <c r="G283" s="2">
        <v>6.0599999999999994E-2</v>
      </c>
      <c r="H283" s="3">
        <v>0.28000000000000003</v>
      </c>
      <c r="I283" s="3">
        <v>4.54</v>
      </c>
      <c r="J283" s="3">
        <v>9.08</v>
      </c>
    </row>
    <row r="284" spans="1:10" x14ac:dyDescent="0.3">
      <c r="A284" t="s">
        <v>75</v>
      </c>
      <c r="B284" t="s">
        <v>259</v>
      </c>
      <c r="C284">
        <v>220</v>
      </c>
      <c r="D284" s="1">
        <v>0.1545</v>
      </c>
      <c r="E284">
        <v>34</v>
      </c>
      <c r="F284">
        <v>5</v>
      </c>
      <c r="G284" s="2">
        <v>0.14710000000000001</v>
      </c>
      <c r="H284" s="3">
        <v>0.64</v>
      </c>
      <c r="I284" s="3">
        <v>4.33</v>
      </c>
      <c r="J284" s="3">
        <v>21.67</v>
      </c>
    </row>
    <row r="285" spans="1:10" x14ac:dyDescent="0.3">
      <c r="A285" t="s">
        <v>376</v>
      </c>
      <c r="B285" t="s">
        <v>221</v>
      </c>
      <c r="C285">
        <v>219</v>
      </c>
      <c r="D285" s="1">
        <v>9.5899999999999999E-2</v>
      </c>
      <c r="E285">
        <v>21</v>
      </c>
      <c r="F285">
        <v>1</v>
      </c>
      <c r="G285" s="2">
        <v>4.7599999999999996E-2</v>
      </c>
      <c r="H285" s="3">
        <v>0.31</v>
      </c>
      <c r="I285" s="3">
        <v>6.54</v>
      </c>
      <c r="J285" s="3">
        <v>6.54</v>
      </c>
    </row>
    <row r="286" spans="1:10" x14ac:dyDescent="0.3">
      <c r="A286" t="s">
        <v>406</v>
      </c>
      <c r="B286" t="s">
        <v>221</v>
      </c>
      <c r="C286">
        <v>219</v>
      </c>
      <c r="D286" s="1">
        <v>5.4800000000000001E-2</v>
      </c>
      <c r="E286">
        <v>12</v>
      </c>
      <c r="F286">
        <v>0</v>
      </c>
      <c r="G286" s="2">
        <v>0</v>
      </c>
      <c r="H286" s="3">
        <v>0</v>
      </c>
      <c r="I286" s="3" t="s">
        <v>213</v>
      </c>
      <c r="J286" s="3">
        <v>0</v>
      </c>
    </row>
    <row r="287" spans="1:10" x14ac:dyDescent="0.3">
      <c r="A287" t="s">
        <v>76</v>
      </c>
      <c r="B287" t="s">
        <v>229</v>
      </c>
      <c r="C287">
        <v>219</v>
      </c>
      <c r="D287" s="1">
        <v>5.0199999999999995E-2</v>
      </c>
      <c r="E287">
        <v>11</v>
      </c>
      <c r="F287">
        <v>2</v>
      </c>
      <c r="G287" s="2">
        <v>0.18179999999999999</v>
      </c>
      <c r="H287" s="3">
        <v>3.82</v>
      </c>
      <c r="I287" s="3">
        <v>21.04</v>
      </c>
      <c r="J287" s="3">
        <v>42.07</v>
      </c>
    </row>
    <row r="288" spans="1:10" x14ac:dyDescent="0.3">
      <c r="A288" t="s">
        <v>383</v>
      </c>
      <c r="B288" t="s">
        <v>313</v>
      </c>
      <c r="C288">
        <v>216</v>
      </c>
      <c r="D288" s="1">
        <v>5.5599999999999997E-2</v>
      </c>
      <c r="E288">
        <v>12</v>
      </c>
      <c r="F288">
        <v>0</v>
      </c>
      <c r="G288" s="2">
        <v>0</v>
      </c>
      <c r="H288" s="3">
        <v>0</v>
      </c>
      <c r="I288" s="3" t="s">
        <v>213</v>
      </c>
      <c r="J288" s="3">
        <v>0</v>
      </c>
    </row>
    <row r="289" spans="1:10" x14ac:dyDescent="0.3">
      <c r="A289" t="s">
        <v>406</v>
      </c>
      <c r="B289" t="s">
        <v>221</v>
      </c>
      <c r="C289">
        <v>215</v>
      </c>
      <c r="D289" s="1">
        <v>1.8600000000000002E-2</v>
      </c>
      <c r="E289">
        <v>4</v>
      </c>
      <c r="F289">
        <v>0</v>
      </c>
      <c r="G289" s="2">
        <v>0</v>
      </c>
      <c r="H289" s="3">
        <v>0</v>
      </c>
      <c r="I289" s="3" t="s">
        <v>213</v>
      </c>
      <c r="J289" s="3">
        <v>0</v>
      </c>
    </row>
    <row r="290" spans="1:10" x14ac:dyDescent="0.3">
      <c r="A290" t="s">
        <v>422</v>
      </c>
      <c r="B290" t="s">
        <v>215</v>
      </c>
      <c r="C290">
        <v>215</v>
      </c>
      <c r="D290" s="1">
        <v>2.7900000000000001E-2</v>
      </c>
      <c r="E290">
        <v>6</v>
      </c>
      <c r="F290">
        <v>0</v>
      </c>
      <c r="G290" s="2">
        <v>0</v>
      </c>
      <c r="H290" s="3">
        <v>0</v>
      </c>
      <c r="I290" s="3" t="s">
        <v>213</v>
      </c>
      <c r="J290" s="3">
        <v>0</v>
      </c>
    </row>
    <row r="291" spans="1:10" x14ac:dyDescent="0.3">
      <c r="A291" t="s">
        <v>76</v>
      </c>
      <c r="B291" t="s">
        <v>231</v>
      </c>
      <c r="C291">
        <v>215</v>
      </c>
      <c r="D291" s="1">
        <v>8.8399999999999992E-2</v>
      </c>
      <c r="E291">
        <v>19</v>
      </c>
      <c r="F291">
        <v>1</v>
      </c>
      <c r="G291" s="2">
        <v>5.2600000000000001E-2</v>
      </c>
      <c r="H291" s="3">
        <v>0.5</v>
      </c>
      <c r="I291" s="3">
        <v>9.42</v>
      </c>
      <c r="J291" s="3">
        <v>9.42</v>
      </c>
    </row>
    <row r="292" spans="1:10" x14ac:dyDescent="0.3">
      <c r="A292" t="s">
        <v>375</v>
      </c>
      <c r="B292" t="s">
        <v>221</v>
      </c>
      <c r="C292">
        <v>214</v>
      </c>
      <c r="D292" s="1">
        <v>1.3999999999999999E-2</v>
      </c>
      <c r="E292">
        <v>3</v>
      </c>
      <c r="F292">
        <v>0</v>
      </c>
      <c r="G292" s="2">
        <v>0</v>
      </c>
      <c r="H292" s="3">
        <v>0</v>
      </c>
      <c r="I292" s="3" t="s">
        <v>213</v>
      </c>
      <c r="J292" s="3">
        <v>0</v>
      </c>
    </row>
    <row r="293" spans="1:10" x14ac:dyDescent="0.3">
      <c r="A293" t="s">
        <v>412</v>
      </c>
      <c r="B293" t="s">
        <v>253</v>
      </c>
      <c r="C293">
        <v>214</v>
      </c>
      <c r="D293" s="1">
        <v>4.2099999999999999E-2</v>
      </c>
      <c r="E293">
        <v>9</v>
      </c>
      <c r="F293">
        <v>1</v>
      </c>
      <c r="G293" s="2">
        <v>0.11109999999999999</v>
      </c>
      <c r="H293" s="3">
        <v>0.67</v>
      </c>
      <c r="I293" s="3">
        <v>6.05</v>
      </c>
      <c r="J293" s="3">
        <v>6.05</v>
      </c>
    </row>
    <row r="294" spans="1:10" x14ac:dyDescent="0.3">
      <c r="A294" t="s">
        <v>456</v>
      </c>
      <c r="B294" t="s">
        <v>221</v>
      </c>
      <c r="C294">
        <v>214</v>
      </c>
      <c r="D294" s="1">
        <v>1.3999999999999999E-2</v>
      </c>
      <c r="E294">
        <v>3</v>
      </c>
      <c r="F294">
        <v>0</v>
      </c>
      <c r="G294" s="2">
        <v>0</v>
      </c>
      <c r="H294" s="3">
        <v>0</v>
      </c>
      <c r="I294" s="3" t="s">
        <v>213</v>
      </c>
      <c r="J294" s="3">
        <v>0</v>
      </c>
    </row>
    <row r="295" spans="1:10" x14ac:dyDescent="0.3">
      <c r="A295" t="s">
        <v>11</v>
      </c>
      <c r="B295" t="s">
        <v>229</v>
      </c>
      <c r="C295">
        <v>213</v>
      </c>
      <c r="D295" s="1">
        <v>0.1033</v>
      </c>
      <c r="E295">
        <v>22</v>
      </c>
      <c r="F295">
        <v>4</v>
      </c>
      <c r="G295" s="2">
        <v>0.18179999999999999</v>
      </c>
      <c r="H295" s="3">
        <v>1.1499999999999999</v>
      </c>
      <c r="I295" s="3">
        <v>6.35</v>
      </c>
      <c r="J295" s="3">
        <v>25.4</v>
      </c>
    </row>
    <row r="296" spans="1:10" x14ac:dyDescent="0.3">
      <c r="A296" t="s">
        <v>76</v>
      </c>
      <c r="B296" t="s">
        <v>286</v>
      </c>
      <c r="C296">
        <v>212</v>
      </c>
      <c r="D296" s="1">
        <v>3.7699999999999997E-2</v>
      </c>
      <c r="E296">
        <v>8</v>
      </c>
      <c r="F296">
        <v>0</v>
      </c>
      <c r="G296" s="2">
        <v>0</v>
      </c>
      <c r="H296" s="3">
        <v>0</v>
      </c>
      <c r="I296" s="3" t="s">
        <v>213</v>
      </c>
      <c r="J296" s="3">
        <v>0</v>
      </c>
    </row>
    <row r="297" spans="1:10" x14ac:dyDescent="0.3">
      <c r="A297" t="s">
        <v>71</v>
      </c>
      <c r="B297" t="s">
        <v>218</v>
      </c>
      <c r="C297">
        <v>212</v>
      </c>
      <c r="D297" s="1">
        <v>3.3000000000000002E-2</v>
      </c>
      <c r="E297">
        <v>7</v>
      </c>
      <c r="F297">
        <v>0</v>
      </c>
      <c r="G297" s="2">
        <v>0</v>
      </c>
      <c r="H297" s="3">
        <v>0</v>
      </c>
      <c r="I297" s="3" t="s">
        <v>213</v>
      </c>
      <c r="J297" s="3">
        <v>0</v>
      </c>
    </row>
    <row r="298" spans="1:10" x14ac:dyDescent="0.3">
      <c r="A298" t="s">
        <v>105</v>
      </c>
      <c r="B298" t="s">
        <v>224</v>
      </c>
      <c r="C298">
        <v>211</v>
      </c>
      <c r="D298" s="1">
        <v>0.14219999999999999</v>
      </c>
      <c r="E298">
        <v>30</v>
      </c>
      <c r="F298">
        <v>3</v>
      </c>
      <c r="G298" s="2">
        <v>0.1</v>
      </c>
      <c r="H298" s="3">
        <v>0.82</v>
      </c>
      <c r="I298" s="3">
        <v>8.18</v>
      </c>
      <c r="J298" s="3">
        <v>24.55</v>
      </c>
    </row>
    <row r="299" spans="1:10" x14ac:dyDescent="0.3">
      <c r="A299" t="s">
        <v>83</v>
      </c>
      <c r="B299" t="s">
        <v>245</v>
      </c>
      <c r="C299">
        <v>209</v>
      </c>
      <c r="D299" s="1">
        <v>9.5700000000000007E-2</v>
      </c>
      <c r="E299">
        <v>20</v>
      </c>
      <c r="F299">
        <v>0</v>
      </c>
      <c r="G299" s="2">
        <v>0</v>
      </c>
      <c r="H299" s="3">
        <v>0</v>
      </c>
      <c r="I299" s="3" t="s">
        <v>213</v>
      </c>
      <c r="J299" s="3">
        <v>0</v>
      </c>
    </row>
    <row r="300" spans="1:10" x14ac:dyDescent="0.3">
      <c r="A300" t="s">
        <v>106</v>
      </c>
      <c r="B300" t="s">
        <v>232</v>
      </c>
      <c r="C300">
        <v>208</v>
      </c>
      <c r="D300" s="1">
        <v>3.3700000000000001E-2</v>
      </c>
      <c r="E300">
        <v>7</v>
      </c>
      <c r="F300">
        <v>0</v>
      </c>
      <c r="G300" s="2">
        <v>0</v>
      </c>
      <c r="H300" s="3">
        <v>0</v>
      </c>
      <c r="I300" s="3" t="s">
        <v>213</v>
      </c>
      <c r="J300" s="3">
        <v>0</v>
      </c>
    </row>
    <row r="301" spans="1:10" x14ac:dyDescent="0.3">
      <c r="A301" t="s">
        <v>391</v>
      </c>
      <c r="B301" t="s">
        <v>223</v>
      </c>
      <c r="C301">
        <v>208</v>
      </c>
      <c r="D301" s="1">
        <v>2.8799999999999999E-2</v>
      </c>
      <c r="E301">
        <v>6</v>
      </c>
      <c r="F301">
        <v>0</v>
      </c>
      <c r="G301" s="2">
        <v>0</v>
      </c>
      <c r="H301" s="3">
        <v>0</v>
      </c>
      <c r="I301" s="3" t="s">
        <v>213</v>
      </c>
      <c r="J301" s="3">
        <v>0</v>
      </c>
    </row>
    <row r="302" spans="1:10" x14ac:dyDescent="0.3">
      <c r="A302" t="s">
        <v>100</v>
      </c>
      <c r="B302" t="s">
        <v>218</v>
      </c>
      <c r="C302">
        <v>207</v>
      </c>
      <c r="D302" s="1">
        <v>3.8599999999999995E-2</v>
      </c>
      <c r="E302">
        <v>8</v>
      </c>
      <c r="F302">
        <v>0</v>
      </c>
      <c r="G302" s="2">
        <v>0</v>
      </c>
      <c r="H302" s="3">
        <v>0</v>
      </c>
      <c r="I302" s="3" t="s">
        <v>213</v>
      </c>
      <c r="J302" s="3">
        <v>0</v>
      </c>
    </row>
    <row r="303" spans="1:10" x14ac:dyDescent="0.3">
      <c r="A303" t="s">
        <v>28</v>
      </c>
      <c r="B303" t="s">
        <v>230</v>
      </c>
      <c r="C303">
        <v>206</v>
      </c>
      <c r="D303" s="1">
        <v>8.2500000000000004E-2</v>
      </c>
      <c r="E303">
        <v>17</v>
      </c>
      <c r="F303">
        <v>0</v>
      </c>
      <c r="G303" s="2">
        <v>0</v>
      </c>
      <c r="H303" s="3">
        <v>0</v>
      </c>
      <c r="I303" s="3" t="s">
        <v>213</v>
      </c>
      <c r="J303" s="3">
        <v>0</v>
      </c>
    </row>
    <row r="304" spans="1:10" x14ac:dyDescent="0.3">
      <c r="A304" t="s">
        <v>304</v>
      </c>
      <c r="B304" t="s">
        <v>221</v>
      </c>
      <c r="C304">
        <v>206</v>
      </c>
      <c r="D304" s="1">
        <v>4.8499999999999995E-2</v>
      </c>
      <c r="E304">
        <v>10</v>
      </c>
      <c r="F304">
        <v>0</v>
      </c>
      <c r="G304" s="2">
        <v>0</v>
      </c>
      <c r="H304" s="3">
        <v>0</v>
      </c>
      <c r="I304" s="3" t="s">
        <v>213</v>
      </c>
      <c r="J304" s="3">
        <v>0</v>
      </c>
    </row>
    <row r="305" spans="1:10" x14ac:dyDescent="0.3">
      <c r="A305" t="s">
        <v>234</v>
      </c>
      <c r="B305" t="s">
        <v>235</v>
      </c>
      <c r="C305">
        <v>205</v>
      </c>
      <c r="D305" s="1">
        <v>7.3200000000000001E-2</v>
      </c>
      <c r="E305">
        <v>15</v>
      </c>
      <c r="F305">
        <v>0</v>
      </c>
      <c r="G305" s="2">
        <v>0</v>
      </c>
      <c r="H305" s="3">
        <v>0</v>
      </c>
      <c r="I305" s="3" t="s">
        <v>213</v>
      </c>
      <c r="J305" s="3">
        <v>0</v>
      </c>
    </row>
    <row r="306" spans="1:10" x14ac:dyDescent="0.3">
      <c r="A306" t="s">
        <v>376</v>
      </c>
      <c r="B306" t="s">
        <v>221</v>
      </c>
      <c r="C306">
        <v>204</v>
      </c>
      <c r="D306" s="1">
        <v>7.8399999999999997E-2</v>
      </c>
      <c r="E306">
        <v>16</v>
      </c>
      <c r="F306">
        <v>0</v>
      </c>
      <c r="G306" s="2">
        <v>0</v>
      </c>
      <c r="H306" s="3">
        <v>0</v>
      </c>
      <c r="I306" s="3" t="s">
        <v>213</v>
      </c>
      <c r="J306" s="3">
        <v>0</v>
      </c>
    </row>
    <row r="307" spans="1:10" x14ac:dyDescent="0.3">
      <c r="A307" t="s">
        <v>383</v>
      </c>
      <c r="B307" t="s">
        <v>235</v>
      </c>
      <c r="C307">
        <v>203</v>
      </c>
      <c r="D307" s="1">
        <v>5.91E-2</v>
      </c>
      <c r="E307">
        <v>12</v>
      </c>
      <c r="F307">
        <v>0</v>
      </c>
      <c r="G307" s="2">
        <v>0</v>
      </c>
      <c r="H307" s="3">
        <v>0</v>
      </c>
      <c r="I307" s="3" t="s">
        <v>213</v>
      </c>
      <c r="J307" s="3">
        <v>0</v>
      </c>
    </row>
    <row r="308" spans="1:10" x14ac:dyDescent="0.3">
      <c r="A308" t="s">
        <v>76</v>
      </c>
      <c r="B308" t="s">
        <v>315</v>
      </c>
      <c r="C308">
        <v>202</v>
      </c>
      <c r="D308" s="1">
        <v>2.4799999999999999E-2</v>
      </c>
      <c r="E308">
        <v>5</v>
      </c>
      <c r="F308">
        <v>0</v>
      </c>
      <c r="G308" s="2">
        <v>0</v>
      </c>
      <c r="H308" s="3">
        <v>0</v>
      </c>
      <c r="I308" s="3" t="s">
        <v>213</v>
      </c>
      <c r="J308" s="3">
        <v>0</v>
      </c>
    </row>
    <row r="309" spans="1:10" x14ac:dyDescent="0.3">
      <c r="A309" t="s">
        <v>472</v>
      </c>
      <c r="B309" t="s">
        <v>239</v>
      </c>
      <c r="C309">
        <v>200</v>
      </c>
      <c r="D309" s="1">
        <v>3.5000000000000003E-2</v>
      </c>
      <c r="E309">
        <v>7</v>
      </c>
      <c r="F309">
        <v>0</v>
      </c>
      <c r="G309" s="2">
        <v>0</v>
      </c>
      <c r="H309" s="3">
        <v>0</v>
      </c>
      <c r="I309" s="3" t="s">
        <v>213</v>
      </c>
      <c r="J309" s="3">
        <v>0</v>
      </c>
    </row>
    <row r="310" spans="1:10" x14ac:dyDescent="0.3">
      <c r="A310" t="s">
        <v>68</v>
      </c>
      <c r="B310" t="s">
        <v>223</v>
      </c>
      <c r="C310">
        <v>199</v>
      </c>
      <c r="D310" s="1">
        <v>6.5299999999999997E-2</v>
      </c>
      <c r="E310">
        <v>13</v>
      </c>
      <c r="F310">
        <v>1</v>
      </c>
      <c r="G310" s="2">
        <v>7.690000000000001E-2</v>
      </c>
      <c r="H310" s="3">
        <v>0.42</v>
      </c>
      <c r="I310" s="3">
        <v>5.5</v>
      </c>
      <c r="J310" s="3">
        <v>5.5</v>
      </c>
    </row>
    <row r="311" spans="1:10" x14ac:dyDescent="0.3">
      <c r="A311" t="s">
        <v>9</v>
      </c>
      <c r="B311" t="s">
        <v>212</v>
      </c>
      <c r="C311">
        <v>197</v>
      </c>
      <c r="D311" s="1">
        <v>8.1199999999999994E-2</v>
      </c>
      <c r="E311">
        <v>16</v>
      </c>
      <c r="F311">
        <v>0</v>
      </c>
      <c r="G311" s="2">
        <v>0</v>
      </c>
      <c r="H311" s="3">
        <v>0</v>
      </c>
      <c r="I311" s="3" t="s">
        <v>213</v>
      </c>
      <c r="J311" s="3">
        <v>0</v>
      </c>
    </row>
    <row r="312" spans="1:10" x14ac:dyDescent="0.3">
      <c r="A312" t="s">
        <v>28</v>
      </c>
      <c r="B312" t="s">
        <v>225</v>
      </c>
      <c r="C312">
        <v>196</v>
      </c>
      <c r="D312" s="1">
        <v>0.15820000000000001</v>
      </c>
      <c r="E312">
        <v>31</v>
      </c>
      <c r="F312">
        <v>2</v>
      </c>
      <c r="G312" s="2">
        <v>6.4500000000000002E-2</v>
      </c>
      <c r="H312" s="3">
        <v>0.17</v>
      </c>
      <c r="I312" s="3">
        <v>2.69</v>
      </c>
      <c r="J312" s="3">
        <v>5.37</v>
      </c>
    </row>
    <row r="313" spans="1:10" x14ac:dyDescent="0.3">
      <c r="A313" t="s">
        <v>76</v>
      </c>
      <c r="B313" t="s">
        <v>289</v>
      </c>
      <c r="C313">
        <v>196</v>
      </c>
      <c r="D313" s="1">
        <v>6.1200000000000004E-2</v>
      </c>
      <c r="E313">
        <v>12</v>
      </c>
      <c r="F313">
        <v>1</v>
      </c>
      <c r="G313" s="2">
        <v>8.3299999999999999E-2</v>
      </c>
      <c r="H313" s="3">
        <v>0.91</v>
      </c>
      <c r="I313" s="3">
        <v>10.94</v>
      </c>
      <c r="J313" s="3">
        <v>10.94</v>
      </c>
    </row>
    <row r="314" spans="1:10" x14ac:dyDescent="0.3">
      <c r="A314" t="s">
        <v>76</v>
      </c>
      <c r="B314" t="s">
        <v>314</v>
      </c>
      <c r="C314">
        <v>196</v>
      </c>
      <c r="D314" s="1">
        <v>3.5699999999999996E-2</v>
      </c>
      <c r="E314">
        <v>7</v>
      </c>
      <c r="F314">
        <v>1</v>
      </c>
      <c r="G314" s="2">
        <v>0.1429</v>
      </c>
      <c r="H314" s="3">
        <v>2.37</v>
      </c>
      <c r="I314" s="3">
        <v>16.61</v>
      </c>
      <c r="J314" s="3">
        <v>16.61</v>
      </c>
    </row>
    <row r="315" spans="1:10" x14ac:dyDescent="0.3">
      <c r="A315" t="s">
        <v>76</v>
      </c>
      <c r="B315" t="s">
        <v>320</v>
      </c>
      <c r="C315">
        <v>196</v>
      </c>
      <c r="D315" s="1">
        <v>3.0600000000000002E-2</v>
      </c>
      <c r="E315">
        <v>6</v>
      </c>
      <c r="F315">
        <v>1</v>
      </c>
      <c r="G315" s="2">
        <v>0.16670000000000001</v>
      </c>
      <c r="H315" s="3">
        <v>0.68</v>
      </c>
      <c r="I315" s="3">
        <v>4.07</v>
      </c>
      <c r="J315" s="3">
        <v>4.07</v>
      </c>
    </row>
    <row r="316" spans="1:10" x14ac:dyDescent="0.3">
      <c r="A316" t="s">
        <v>391</v>
      </c>
      <c r="B316" t="s">
        <v>223</v>
      </c>
      <c r="C316">
        <v>195</v>
      </c>
      <c r="D316" s="1">
        <v>3.0800000000000001E-2</v>
      </c>
      <c r="E316">
        <v>6</v>
      </c>
      <c r="F316">
        <v>0</v>
      </c>
      <c r="G316" s="2">
        <v>0</v>
      </c>
      <c r="H316" s="3">
        <v>0</v>
      </c>
      <c r="I316" s="3" t="s">
        <v>213</v>
      </c>
      <c r="J316" s="3">
        <v>0</v>
      </c>
    </row>
    <row r="317" spans="1:10" x14ac:dyDescent="0.3">
      <c r="A317" t="s">
        <v>395</v>
      </c>
      <c r="B317" t="s">
        <v>223</v>
      </c>
      <c r="C317">
        <v>193</v>
      </c>
      <c r="D317" s="1">
        <v>5.1799999999999999E-2</v>
      </c>
      <c r="E317">
        <v>10</v>
      </c>
      <c r="F317">
        <v>2</v>
      </c>
      <c r="G317" s="2">
        <v>0.2</v>
      </c>
      <c r="H317" s="3">
        <v>2.0099999999999998</v>
      </c>
      <c r="I317" s="3">
        <v>10.050000000000001</v>
      </c>
      <c r="J317" s="3">
        <v>20.09</v>
      </c>
    </row>
    <row r="318" spans="1:10" x14ac:dyDescent="0.3">
      <c r="A318" t="s">
        <v>42</v>
      </c>
      <c r="B318" t="s">
        <v>223</v>
      </c>
      <c r="C318">
        <v>191</v>
      </c>
      <c r="D318" s="1">
        <v>0.1099</v>
      </c>
      <c r="E318">
        <v>21</v>
      </c>
      <c r="F318">
        <v>1</v>
      </c>
      <c r="G318" s="2">
        <v>4.7599999999999996E-2</v>
      </c>
      <c r="H318" s="3">
        <v>0.51</v>
      </c>
      <c r="I318" s="3">
        <v>10.75</v>
      </c>
      <c r="J318" s="3">
        <v>10.75</v>
      </c>
    </row>
    <row r="319" spans="1:10" x14ac:dyDescent="0.3">
      <c r="A319" t="s">
        <v>448</v>
      </c>
      <c r="B319" t="s">
        <v>227</v>
      </c>
      <c r="C319">
        <v>191</v>
      </c>
      <c r="D319" s="1">
        <v>5.2400000000000002E-2</v>
      </c>
      <c r="E319">
        <v>10</v>
      </c>
      <c r="F319">
        <v>0</v>
      </c>
      <c r="G319" s="2">
        <v>0</v>
      </c>
      <c r="H319" s="3">
        <v>0</v>
      </c>
      <c r="I319" s="3" t="s">
        <v>213</v>
      </c>
      <c r="J319" s="3">
        <v>0</v>
      </c>
    </row>
    <row r="320" spans="1:10" x14ac:dyDescent="0.3">
      <c r="A320" t="s">
        <v>76</v>
      </c>
      <c r="B320" t="s">
        <v>282</v>
      </c>
      <c r="C320">
        <v>191</v>
      </c>
      <c r="D320" s="1">
        <v>5.2400000000000002E-2</v>
      </c>
      <c r="E320">
        <v>10</v>
      </c>
      <c r="F320">
        <v>0</v>
      </c>
      <c r="G320" s="2">
        <v>0</v>
      </c>
      <c r="H320" s="3">
        <v>0</v>
      </c>
      <c r="I320" s="3" t="s">
        <v>213</v>
      </c>
      <c r="J320" s="3">
        <v>0</v>
      </c>
    </row>
    <row r="321" spans="1:10" x14ac:dyDescent="0.3">
      <c r="A321" t="s">
        <v>166</v>
      </c>
      <c r="B321" t="s">
        <v>272</v>
      </c>
      <c r="C321">
        <v>189</v>
      </c>
      <c r="D321" s="1">
        <v>0.10580000000000001</v>
      </c>
      <c r="E321">
        <v>20</v>
      </c>
      <c r="F321">
        <v>0</v>
      </c>
      <c r="G321" s="2">
        <v>0</v>
      </c>
      <c r="H321" s="3">
        <v>0</v>
      </c>
      <c r="I321" s="3" t="s">
        <v>213</v>
      </c>
      <c r="J321" s="3">
        <v>0</v>
      </c>
    </row>
    <row r="322" spans="1:10" x14ac:dyDescent="0.3">
      <c r="A322" t="s">
        <v>211</v>
      </c>
      <c r="B322" t="s">
        <v>212</v>
      </c>
      <c r="C322">
        <v>188</v>
      </c>
      <c r="D322" s="1">
        <v>7.4499999999999997E-2</v>
      </c>
      <c r="E322">
        <v>14</v>
      </c>
      <c r="F322">
        <v>0</v>
      </c>
      <c r="G322" s="2">
        <v>0</v>
      </c>
      <c r="H322" s="3">
        <v>0</v>
      </c>
      <c r="I322" s="3" t="s">
        <v>213</v>
      </c>
      <c r="J322" s="3">
        <v>0</v>
      </c>
    </row>
    <row r="323" spans="1:10" x14ac:dyDescent="0.3">
      <c r="A323" t="s">
        <v>306</v>
      </c>
      <c r="B323" t="s">
        <v>223</v>
      </c>
      <c r="C323">
        <v>187</v>
      </c>
      <c r="D323" s="1">
        <v>4.2800000000000005E-2</v>
      </c>
      <c r="E323">
        <v>8</v>
      </c>
      <c r="F323">
        <v>0</v>
      </c>
      <c r="G323" s="2">
        <v>0</v>
      </c>
      <c r="H323" s="3">
        <v>0</v>
      </c>
      <c r="I323" s="3" t="s">
        <v>213</v>
      </c>
      <c r="J323" s="3">
        <v>0</v>
      </c>
    </row>
    <row r="324" spans="1:10" x14ac:dyDescent="0.3">
      <c r="A324" t="s">
        <v>373</v>
      </c>
      <c r="B324" t="s">
        <v>215</v>
      </c>
      <c r="C324">
        <v>186</v>
      </c>
      <c r="D324" s="1">
        <v>3.7599999999999995E-2</v>
      </c>
      <c r="E324">
        <v>7</v>
      </c>
      <c r="F324">
        <v>0</v>
      </c>
      <c r="G324" s="2">
        <v>0</v>
      </c>
      <c r="H324" s="3">
        <v>0</v>
      </c>
      <c r="I324" s="3" t="s">
        <v>213</v>
      </c>
      <c r="J324" s="3">
        <v>0</v>
      </c>
    </row>
    <row r="325" spans="1:10" x14ac:dyDescent="0.3">
      <c r="A325" t="s">
        <v>391</v>
      </c>
      <c r="B325" t="s">
        <v>215</v>
      </c>
      <c r="C325">
        <v>186</v>
      </c>
      <c r="D325" s="1">
        <v>4.8399999999999999E-2</v>
      </c>
      <c r="E325">
        <v>9</v>
      </c>
      <c r="F325">
        <v>1</v>
      </c>
      <c r="G325" s="2">
        <v>0.11109999999999999</v>
      </c>
      <c r="H325" s="3">
        <v>1.05</v>
      </c>
      <c r="I325" s="3">
        <v>9.42</v>
      </c>
      <c r="J325" s="3">
        <v>9.42</v>
      </c>
    </row>
    <row r="326" spans="1:10" x14ac:dyDescent="0.3">
      <c r="A326" t="s">
        <v>336</v>
      </c>
      <c r="B326" t="s">
        <v>221</v>
      </c>
      <c r="C326">
        <v>185</v>
      </c>
      <c r="D326" s="1">
        <v>5.4100000000000002E-2</v>
      </c>
      <c r="E326">
        <v>10</v>
      </c>
      <c r="F326">
        <v>1</v>
      </c>
      <c r="G326" s="2">
        <v>0.1</v>
      </c>
      <c r="H326" s="3">
        <v>0.45</v>
      </c>
      <c r="I326" s="3">
        <v>4.4800000000000004</v>
      </c>
      <c r="J326" s="3">
        <v>4.4800000000000004</v>
      </c>
    </row>
    <row r="327" spans="1:10" x14ac:dyDescent="0.3">
      <c r="A327" t="s">
        <v>396</v>
      </c>
      <c r="B327" t="s">
        <v>221</v>
      </c>
      <c r="C327">
        <v>185</v>
      </c>
      <c r="D327" s="1">
        <v>3.2400000000000005E-2</v>
      </c>
      <c r="E327">
        <v>6</v>
      </c>
      <c r="F327">
        <v>0</v>
      </c>
      <c r="G327" s="2">
        <v>0</v>
      </c>
      <c r="H327" s="3">
        <v>0</v>
      </c>
      <c r="I327" s="3" t="s">
        <v>213</v>
      </c>
      <c r="J327" s="3">
        <v>0</v>
      </c>
    </row>
    <row r="328" spans="1:10" x14ac:dyDescent="0.3">
      <c r="A328" t="s">
        <v>104</v>
      </c>
      <c r="B328" t="s">
        <v>212</v>
      </c>
      <c r="C328">
        <v>184</v>
      </c>
      <c r="D328" s="1">
        <v>5.9800000000000006E-2</v>
      </c>
      <c r="E328">
        <v>11</v>
      </c>
      <c r="F328">
        <v>0</v>
      </c>
      <c r="G328" s="2">
        <v>0</v>
      </c>
      <c r="H328" s="3">
        <v>0</v>
      </c>
      <c r="I328" s="3" t="s">
        <v>213</v>
      </c>
      <c r="J328" s="3">
        <v>0</v>
      </c>
    </row>
    <row r="329" spans="1:10" x14ac:dyDescent="0.3">
      <c r="A329" t="s">
        <v>157</v>
      </c>
      <c r="B329" t="s">
        <v>258</v>
      </c>
      <c r="C329">
        <v>184</v>
      </c>
      <c r="D329" s="1">
        <v>5.9800000000000006E-2</v>
      </c>
      <c r="E329">
        <v>11</v>
      </c>
      <c r="F329">
        <v>2</v>
      </c>
      <c r="G329" s="2">
        <v>0.18179999999999999</v>
      </c>
      <c r="H329" s="3">
        <v>1.26</v>
      </c>
      <c r="I329" s="3">
        <v>6.91</v>
      </c>
      <c r="J329" s="3">
        <v>13.81</v>
      </c>
    </row>
    <row r="330" spans="1:10" x14ac:dyDescent="0.3">
      <c r="A330" t="s">
        <v>144</v>
      </c>
      <c r="B330" t="s">
        <v>352</v>
      </c>
      <c r="C330">
        <v>183</v>
      </c>
      <c r="D330" s="1">
        <v>7.6499999999999999E-2</v>
      </c>
      <c r="E330">
        <v>14</v>
      </c>
      <c r="F330">
        <v>1</v>
      </c>
      <c r="G330" s="2">
        <v>7.1399999999999991E-2</v>
      </c>
      <c r="H330" s="3">
        <v>0.79</v>
      </c>
      <c r="I330" s="3">
        <v>11.03</v>
      </c>
      <c r="J330" s="3">
        <v>11.03</v>
      </c>
    </row>
    <row r="331" spans="1:10" x14ac:dyDescent="0.3">
      <c r="A331" t="s">
        <v>11</v>
      </c>
      <c r="B331" t="s">
        <v>221</v>
      </c>
      <c r="C331">
        <v>182</v>
      </c>
      <c r="D331" s="1">
        <v>0.1099</v>
      </c>
      <c r="E331">
        <v>20</v>
      </c>
      <c r="F331">
        <v>7</v>
      </c>
      <c r="G331" s="2">
        <v>0.35</v>
      </c>
      <c r="H331" s="3">
        <v>2</v>
      </c>
      <c r="I331" s="3">
        <v>5.7</v>
      </c>
      <c r="J331" s="3">
        <v>39.92</v>
      </c>
    </row>
    <row r="332" spans="1:10" x14ac:dyDescent="0.3">
      <c r="A332" t="s">
        <v>345</v>
      </c>
      <c r="B332" t="s">
        <v>223</v>
      </c>
      <c r="C332">
        <v>182</v>
      </c>
      <c r="D332" s="1">
        <v>1.6500000000000001E-2</v>
      </c>
      <c r="E332">
        <v>3</v>
      </c>
      <c r="F332">
        <v>0</v>
      </c>
      <c r="G332" s="2">
        <v>0</v>
      </c>
      <c r="H332" s="3">
        <v>0</v>
      </c>
      <c r="I332" s="3" t="s">
        <v>213</v>
      </c>
      <c r="J332" s="3">
        <v>0</v>
      </c>
    </row>
    <row r="333" spans="1:10" x14ac:dyDescent="0.3">
      <c r="A333" t="s">
        <v>369</v>
      </c>
      <c r="B333" t="s">
        <v>227</v>
      </c>
      <c r="C333">
        <v>182</v>
      </c>
      <c r="D333" s="1">
        <v>4.4000000000000004E-2</v>
      </c>
      <c r="E333">
        <v>8</v>
      </c>
      <c r="F333">
        <v>0</v>
      </c>
      <c r="G333" s="2">
        <v>0</v>
      </c>
      <c r="H333" s="3">
        <v>0</v>
      </c>
      <c r="I333" s="3" t="s">
        <v>213</v>
      </c>
      <c r="J333" s="3">
        <v>0</v>
      </c>
    </row>
    <row r="334" spans="1:10" x14ac:dyDescent="0.3">
      <c r="A334" t="s">
        <v>391</v>
      </c>
      <c r="B334" t="s">
        <v>221</v>
      </c>
      <c r="C334">
        <v>182</v>
      </c>
      <c r="D334" s="1">
        <v>2.75E-2</v>
      </c>
      <c r="E334">
        <v>5</v>
      </c>
      <c r="F334">
        <v>0</v>
      </c>
      <c r="G334" s="2">
        <v>0</v>
      </c>
      <c r="H334" s="3">
        <v>0</v>
      </c>
      <c r="I334" s="3" t="s">
        <v>213</v>
      </c>
      <c r="J334" s="3">
        <v>0</v>
      </c>
    </row>
    <row r="335" spans="1:10" x14ac:dyDescent="0.3">
      <c r="A335" t="s">
        <v>382</v>
      </c>
      <c r="B335" t="s">
        <v>212</v>
      </c>
      <c r="C335">
        <v>181</v>
      </c>
      <c r="D335" s="1">
        <v>4.4199999999999996E-2</v>
      </c>
      <c r="E335">
        <v>8</v>
      </c>
      <c r="F335">
        <v>0</v>
      </c>
      <c r="G335" s="2">
        <v>0</v>
      </c>
      <c r="H335" s="3">
        <v>0</v>
      </c>
      <c r="I335" s="3" t="s">
        <v>213</v>
      </c>
      <c r="J335" s="3">
        <v>0</v>
      </c>
    </row>
    <row r="336" spans="1:10" x14ac:dyDescent="0.3">
      <c r="A336" t="s">
        <v>159</v>
      </c>
      <c r="B336" t="s">
        <v>238</v>
      </c>
      <c r="C336">
        <v>175</v>
      </c>
      <c r="D336" s="1">
        <v>0.08</v>
      </c>
      <c r="E336">
        <v>14</v>
      </c>
      <c r="F336">
        <v>0</v>
      </c>
      <c r="G336" s="2">
        <v>0</v>
      </c>
      <c r="H336" s="3">
        <v>0</v>
      </c>
      <c r="I336" s="3" t="s">
        <v>213</v>
      </c>
      <c r="J336" s="3">
        <v>0</v>
      </c>
    </row>
    <row r="337" spans="1:10" x14ac:dyDescent="0.3">
      <c r="A337" t="s">
        <v>83</v>
      </c>
      <c r="B337" t="s">
        <v>235</v>
      </c>
      <c r="C337">
        <v>174</v>
      </c>
      <c r="D337" s="1">
        <v>4.0199999999999993E-2</v>
      </c>
      <c r="E337">
        <v>7</v>
      </c>
      <c r="F337">
        <v>0</v>
      </c>
      <c r="G337" s="2">
        <v>0</v>
      </c>
      <c r="H337" s="3">
        <v>0</v>
      </c>
      <c r="I337" s="3" t="s">
        <v>213</v>
      </c>
      <c r="J337" s="3">
        <v>0</v>
      </c>
    </row>
    <row r="338" spans="1:10" x14ac:dyDescent="0.3">
      <c r="A338" t="s">
        <v>82</v>
      </c>
      <c r="B338" t="s">
        <v>355</v>
      </c>
      <c r="C338">
        <v>174</v>
      </c>
      <c r="D338" s="1">
        <v>0.13789999999999999</v>
      </c>
      <c r="E338">
        <v>24</v>
      </c>
      <c r="F338">
        <v>3</v>
      </c>
      <c r="G338" s="2">
        <v>0.125</v>
      </c>
      <c r="H338" s="3">
        <v>0.33</v>
      </c>
      <c r="I338" s="3">
        <v>2.66</v>
      </c>
      <c r="J338" s="3">
        <v>7.98</v>
      </c>
    </row>
    <row r="339" spans="1:10" x14ac:dyDescent="0.3">
      <c r="A339" t="s">
        <v>392</v>
      </c>
      <c r="B339" t="s">
        <v>272</v>
      </c>
      <c r="C339">
        <v>174</v>
      </c>
      <c r="D339" s="1">
        <v>5.1699999999999996E-2</v>
      </c>
      <c r="E339">
        <v>9</v>
      </c>
      <c r="F339">
        <v>0</v>
      </c>
      <c r="G339" s="2">
        <v>0</v>
      </c>
      <c r="H339" s="3">
        <v>0</v>
      </c>
      <c r="I339" s="3" t="s">
        <v>213</v>
      </c>
      <c r="J339" s="3">
        <v>0</v>
      </c>
    </row>
    <row r="340" spans="1:10" x14ac:dyDescent="0.3">
      <c r="A340" t="s">
        <v>76</v>
      </c>
      <c r="B340" t="s">
        <v>219</v>
      </c>
      <c r="C340">
        <v>174</v>
      </c>
      <c r="D340" s="1">
        <v>4.5999999999999999E-2</v>
      </c>
      <c r="E340">
        <v>8</v>
      </c>
      <c r="F340">
        <v>3</v>
      </c>
      <c r="G340" s="2">
        <v>0.375</v>
      </c>
      <c r="H340" s="3">
        <v>1.4</v>
      </c>
      <c r="I340" s="3">
        <v>3.72</v>
      </c>
      <c r="J340" s="3">
        <v>11.16</v>
      </c>
    </row>
    <row r="341" spans="1:10" x14ac:dyDescent="0.3">
      <c r="A341" t="s">
        <v>41</v>
      </c>
      <c r="B341" t="s">
        <v>227</v>
      </c>
      <c r="C341">
        <v>173</v>
      </c>
      <c r="D341" s="1">
        <v>6.3600000000000004E-2</v>
      </c>
      <c r="E341">
        <v>11</v>
      </c>
      <c r="F341">
        <v>0</v>
      </c>
      <c r="G341" s="2">
        <v>0</v>
      </c>
      <c r="H341" s="3">
        <v>0</v>
      </c>
      <c r="I341" s="3" t="s">
        <v>213</v>
      </c>
      <c r="J341" s="3">
        <v>0</v>
      </c>
    </row>
    <row r="342" spans="1:10" x14ac:dyDescent="0.3">
      <c r="A342" t="s">
        <v>98</v>
      </c>
      <c r="B342" t="s">
        <v>223</v>
      </c>
      <c r="C342">
        <v>173</v>
      </c>
      <c r="D342" s="1">
        <v>0.12140000000000001</v>
      </c>
      <c r="E342">
        <v>21</v>
      </c>
      <c r="F342">
        <v>1</v>
      </c>
      <c r="G342" s="2">
        <v>4.7599999999999996E-2</v>
      </c>
      <c r="H342" s="3">
        <v>0.61</v>
      </c>
      <c r="I342" s="3">
        <v>12.81</v>
      </c>
      <c r="J342" s="3">
        <v>12.81</v>
      </c>
    </row>
    <row r="343" spans="1:10" x14ac:dyDescent="0.3">
      <c r="A343" t="s">
        <v>345</v>
      </c>
      <c r="B343" t="s">
        <v>221</v>
      </c>
      <c r="C343">
        <v>172</v>
      </c>
      <c r="D343" s="1">
        <v>1.7399999999999999E-2</v>
      </c>
      <c r="E343">
        <v>3</v>
      </c>
      <c r="F343">
        <v>0</v>
      </c>
      <c r="G343" s="2">
        <v>0</v>
      </c>
      <c r="H343" s="3">
        <v>0</v>
      </c>
      <c r="I343" s="3" t="s">
        <v>213</v>
      </c>
      <c r="J343" s="3">
        <v>0</v>
      </c>
    </row>
    <row r="344" spans="1:10" x14ac:dyDescent="0.3">
      <c r="A344" t="s">
        <v>334</v>
      </c>
      <c r="B344" t="s">
        <v>221</v>
      </c>
      <c r="C344">
        <v>170</v>
      </c>
      <c r="D344" s="1">
        <v>3.5299999999999998E-2</v>
      </c>
      <c r="E344">
        <v>6</v>
      </c>
      <c r="F344">
        <v>1</v>
      </c>
      <c r="G344" s="2">
        <v>0.16670000000000001</v>
      </c>
      <c r="H344" s="3">
        <v>1.0900000000000001</v>
      </c>
      <c r="I344" s="3">
        <v>6.53</v>
      </c>
      <c r="J344" s="3">
        <v>6.53</v>
      </c>
    </row>
    <row r="345" spans="1:10" x14ac:dyDescent="0.3">
      <c r="A345" t="s">
        <v>424</v>
      </c>
      <c r="B345" t="s">
        <v>223</v>
      </c>
      <c r="C345">
        <v>170</v>
      </c>
      <c r="D345" s="1">
        <v>5.8799999999999998E-2</v>
      </c>
      <c r="E345">
        <v>10</v>
      </c>
      <c r="F345">
        <v>0</v>
      </c>
      <c r="G345" s="2">
        <v>0</v>
      </c>
      <c r="H345" s="3">
        <v>0</v>
      </c>
      <c r="I345" s="3" t="s">
        <v>213</v>
      </c>
      <c r="J345" s="3">
        <v>0</v>
      </c>
    </row>
    <row r="346" spans="1:10" x14ac:dyDescent="0.3">
      <c r="A346" t="s">
        <v>439</v>
      </c>
      <c r="B346" t="s">
        <v>223</v>
      </c>
      <c r="C346">
        <v>170</v>
      </c>
      <c r="D346" s="1">
        <v>4.7100000000000003E-2</v>
      </c>
      <c r="E346">
        <v>8</v>
      </c>
      <c r="F346">
        <v>3</v>
      </c>
      <c r="G346" s="2">
        <v>0.375</v>
      </c>
      <c r="H346" s="3">
        <v>3.22</v>
      </c>
      <c r="I346" s="3">
        <v>8.59</v>
      </c>
      <c r="J346" s="3">
        <v>25.78</v>
      </c>
    </row>
    <row r="347" spans="1:10" x14ac:dyDescent="0.3">
      <c r="A347" t="s">
        <v>11</v>
      </c>
      <c r="B347" t="s">
        <v>315</v>
      </c>
      <c r="C347">
        <v>169</v>
      </c>
      <c r="D347" s="1">
        <v>3.5499999999999997E-2</v>
      </c>
      <c r="E347">
        <v>6</v>
      </c>
      <c r="F347">
        <v>1</v>
      </c>
      <c r="G347" s="2">
        <v>0.16670000000000001</v>
      </c>
      <c r="H347" s="3">
        <v>2.52</v>
      </c>
      <c r="I347" s="3">
        <v>15.13</v>
      </c>
      <c r="J347" s="3">
        <v>15.13</v>
      </c>
    </row>
    <row r="348" spans="1:10" x14ac:dyDescent="0.3">
      <c r="A348" t="s">
        <v>336</v>
      </c>
      <c r="B348" t="s">
        <v>215</v>
      </c>
      <c r="C348">
        <v>169</v>
      </c>
      <c r="D348" s="1">
        <v>4.1399999999999999E-2</v>
      </c>
      <c r="E348">
        <v>7</v>
      </c>
      <c r="F348">
        <v>0</v>
      </c>
      <c r="G348" s="2">
        <v>0</v>
      </c>
      <c r="H348" s="3">
        <v>0</v>
      </c>
      <c r="I348" s="3" t="s">
        <v>213</v>
      </c>
      <c r="J348" s="3">
        <v>0</v>
      </c>
    </row>
    <row r="349" spans="1:10" x14ac:dyDescent="0.3">
      <c r="A349" t="s">
        <v>171</v>
      </c>
      <c r="B349" t="s">
        <v>217</v>
      </c>
      <c r="C349">
        <v>169</v>
      </c>
      <c r="D349" s="1">
        <v>1.78E-2</v>
      </c>
      <c r="E349">
        <v>3</v>
      </c>
      <c r="F349">
        <v>0</v>
      </c>
      <c r="G349" s="2">
        <v>0</v>
      </c>
      <c r="H349" s="3">
        <v>0</v>
      </c>
      <c r="I349" s="3" t="s">
        <v>213</v>
      </c>
      <c r="J349" s="3">
        <v>0</v>
      </c>
    </row>
    <row r="350" spans="1:10" x14ac:dyDescent="0.3">
      <c r="A350" t="s">
        <v>271</v>
      </c>
      <c r="B350" t="s">
        <v>235</v>
      </c>
      <c r="C350">
        <v>168</v>
      </c>
      <c r="D350" s="1">
        <v>8.3299999999999999E-2</v>
      </c>
      <c r="E350">
        <v>14</v>
      </c>
      <c r="F350">
        <v>0</v>
      </c>
      <c r="G350" s="2">
        <v>0</v>
      </c>
      <c r="H350" s="3">
        <v>0</v>
      </c>
      <c r="I350" s="3" t="s">
        <v>213</v>
      </c>
      <c r="J350" s="3">
        <v>0</v>
      </c>
    </row>
    <row r="351" spans="1:10" x14ac:dyDescent="0.3">
      <c r="A351" t="s">
        <v>11</v>
      </c>
      <c r="B351" t="s">
        <v>235</v>
      </c>
      <c r="C351">
        <v>167</v>
      </c>
      <c r="D351" s="1">
        <v>4.7899999999999998E-2</v>
      </c>
      <c r="E351">
        <v>8</v>
      </c>
      <c r="F351">
        <v>0</v>
      </c>
      <c r="G351" s="2">
        <v>0</v>
      </c>
      <c r="H351" s="3">
        <v>0</v>
      </c>
      <c r="I351" s="3" t="s">
        <v>213</v>
      </c>
      <c r="J351" s="3">
        <v>0</v>
      </c>
    </row>
    <row r="352" spans="1:10" x14ac:dyDescent="0.3">
      <c r="A352" t="s">
        <v>334</v>
      </c>
      <c r="B352" t="s">
        <v>215</v>
      </c>
      <c r="C352">
        <v>167</v>
      </c>
      <c r="D352" s="1">
        <v>5.9900000000000002E-2</v>
      </c>
      <c r="E352">
        <v>10</v>
      </c>
      <c r="F352">
        <v>0</v>
      </c>
      <c r="G352" s="2">
        <v>0</v>
      </c>
      <c r="H352" s="3">
        <v>0</v>
      </c>
      <c r="I352" s="3" t="s">
        <v>213</v>
      </c>
      <c r="J352" s="3">
        <v>0</v>
      </c>
    </row>
    <row r="353" spans="1:10" x14ac:dyDescent="0.3">
      <c r="A353" t="s">
        <v>369</v>
      </c>
      <c r="B353" t="s">
        <v>315</v>
      </c>
      <c r="C353">
        <v>165</v>
      </c>
      <c r="D353" s="1">
        <v>5.45E-2</v>
      </c>
      <c r="E353">
        <v>9</v>
      </c>
      <c r="F353">
        <v>0</v>
      </c>
      <c r="G353" s="2">
        <v>0</v>
      </c>
      <c r="H353" s="3">
        <v>0</v>
      </c>
      <c r="I353" s="3" t="s">
        <v>213</v>
      </c>
      <c r="J353" s="3">
        <v>0</v>
      </c>
    </row>
    <row r="354" spans="1:10" x14ac:dyDescent="0.3">
      <c r="A354" t="s">
        <v>127</v>
      </c>
      <c r="B354" t="s">
        <v>233</v>
      </c>
      <c r="C354">
        <v>164</v>
      </c>
      <c r="D354" s="1">
        <v>2.4399999999999998E-2</v>
      </c>
      <c r="E354">
        <v>4</v>
      </c>
      <c r="F354">
        <v>0</v>
      </c>
      <c r="G354" s="2">
        <v>0</v>
      </c>
      <c r="H354" s="3">
        <v>0</v>
      </c>
      <c r="I354" s="3" t="s">
        <v>213</v>
      </c>
      <c r="J354" s="3">
        <v>0</v>
      </c>
    </row>
    <row r="355" spans="1:10" x14ac:dyDescent="0.3">
      <c r="A355" t="s">
        <v>376</v>
      </c>
      <c r="B355" t="s">
        <v>215</v>
      </c>
      <c r="C355">
        <v>164</v>
      </c>
      <c r="D355" s="1">
        <v>5.4900000000000004E-2</v>
      </c>
      <c r="E355">
        <v>9</v>
      </c>
      <c r="F355">
        <v>0</v>
      </c>
      <c r="G355" s="2">
        <v>0</v>
      </c>
      <c r="H355" s="3">
        <v>0</v>
      </c>
      <c r="I355" s="3" t="s">
        <v>213</v>
      </c>
      <c r="J355" s="3">
        <v>0</v>
      </c>
    </row>
    <row r="356" spans="1:10" x14ac:dyDescent="0.3">
      <c r="A356" t="s">
        <v>16</v>
      </c>
      <c r="B356" t="s">
        <v>228</v>
      </c>
      <c r="C356">
        <v>161</v>
      </c>
      <c r="D356" s="1">
        <v>6.83E-2</v>
      </c>
      <c r="E356">
        <v>11</v>
      </c>
      <c r="F356">
        <v>1</v>
      </c>
      <c r="G356" s="2">
        <v>9.0899999999999995E-2</v>
      </c>
      <c r="H356" s="3">
        <v>1.02</v>
      </c>
      <c r="I356" s="3">
        <v>11.2</v>
      </c>
      <c r="J356" s="3">
        <v>11.2</v>
      </c>
    </row>
    <row r="357" spans="1:10" x14ac:dyDescent="0.3">
      <c r="A357" t="s">
        <v>363</v>
      </c>
      <c r="B357" t="s">
        <v>215</v>
      </c>
      <c r="C357">
        <v>161</v>
      </c>
      <c r="D357" s="1">
        <v>4.3499999999999997E-2</v>
      </c>
      <c r="E357">
        <v>7</v>
      </c>
      <c r="F357">
        <v>1</v>
      </c>
      <c r="G357" s="2">
        <v>0.1429</v>
      </c>
      <c r="H357" s="3">
        <v>0.73</v>
      </c>
      <c r="I357" s="3">
        <v>5.0999999999999996</v>
      </c>
      <c r="J357" s="3">
        <v>5.0999999999999996</v>
      </c>
    </row>
    <row r="358" spans="1:10" x14ac:dyDescent="0.3">
      <c r="A358" t="s">
        <v>220</v>
      </c>
      <c r="B358" t="s">
        <v>221</v>
      </c>
      <c r="C358">
        <v>160</v>
      </c>
      <c r="D358" s="1">
        <v>8.1300000000000011E-2</v>
      </c>
      <c r="E358">
        <v>13</v>
      </c>
      <c r="F358">
        <v>2</v>
      </c>
      <c r="G358" s="2">
        <v>0.15380000000000002</v>
      </c>
      <c r="H358" s="3">
        <v>0.2</v>
      </c>
      <c r="I358" s="3">
        <v>1.27</v>
      </c>
      <c r="J358" s="3">
        <v>2.54</v>
      </c>
    </row>
    <row r="359" spans="1:10" x14ac:dyDescent="0.3">
      <c r="A359" t="s">
        <v>345</v>
      </c>
      <c r="B359" t="s">
        <v>221</v>
      </c>
      <c r="C359">
        <v>160</v>
      </c>
      <c r="D359" s="1">
        <v>3.7499999999999999E-2</v>
      </c>
      <c r="E359">
        <v>6</v>
      </c>
      <c r="F359">
        <v>1</v>
      </c>
      <c r="G359" s="2">
        <v>0.16670000000000001</v>
      </c>
      <c r="H359" s="3">
        <v>2.5</v>
      </c>
      <c r="I359" s="3">
        <v>14.98</v>
      </c>
      <c r="J359" s="3">
        <v>14.98</v>
      </c>
    </row>
    <row r="360" spans="1:10" x14ac:dyDescent="0.3">
      <c r="A360" t="s">
        <v>97</v>
      </c>
      <c r="B360" t="s">
        <v>221</v>
      </c>
      <c r="C360">
        <v>159</v>
      </c>
      <c r="D360" s="1">
        <v>1.89E-2</v>
      </c>
      <c r="E360">
        <v>3</v>
      </c>
      <c r="F360">
        <v>0</v>
      </c>
      <c r="G360" s="2">
        <v>0</v>
      </c>
      <c r="H360" s="3">
        <v>0</v>
      </c>
      <c r="I360" s="3" t="s">
        <v>213</v>
      </c>
      <c r="J360" s="3">
        <v>0</v>
      </c>
    </row>
    <row r="361" spans="1:10" x14ac:dyDescent="0.3">
      <c r="A361" t="s">
        <v>69</v>
      </c>
      <c r="B361" t="s">
        <v>223</v>
      </c>
      <c r="C361">
        <v>158</v>
      </c>
      <c r="D361" s="1">
        <v>0.24679999999999999</v>
      </c>
      <c r="E361">
        <v>39</v>
      </c>
      <c r="F361">
        <v>1</v>
      </c>
      <c r="G361" s="2">
        <v>2.5600000000000001E-2</v>
      </c>
      <c r="H361" s="3">
        <v>0.33</v>
      </c>
      <c r="I361" s="3">
        <v>12.91</v>
      </c>
      <c r="J361" s="3">
        <v>12.91</v>
      </c>
    </row>
    <row r="362" spans="1:10" x14ac:dyDescent="0.3">
      <c r="A362" t="s">
        <v>391</v>
      </c>
      <c r="B362" t="s">
        <v>221</v>
      </c>
      <c r="C362">
        <v>158</v>
      </c>
      <c r="D362" s="1">
        <v>3.7999999999999999E-2</v>
      </c>
      <c r="E362">
        <v>6</v>
      </c>
      <c r="F362">
        <v>0</v>
      </c>
      <c r="G362" s="2">
        <v>0</v>
      </c>
      <c r="H362" s="3">
        <v>0</v>
      </c>
      <c r="I362" s="3" t="s">
        <v>213</v>
      </c>
      <c r="J362" s="3">
        <v>0</v>
      </c>
    </row>
    <row r="363" spans="1:10" x14ac:dyDescent="0.3">
      <c r="A363" t="s">
        <v>76</v>
      </c>
      <c r="B363" t="s">
        <v>235</v>
      </c>
      <c r="C363">
        <v>158</v>
      </c>
      <c r="D363" s="1">
        <v>3.7999999999999999E-2</v>
      </c>
      <c r="E363">
        <v>6</v>
      </c>
      <c r="F363">
        <v>1</v>
      </c>
      <c r="G363" s="2">
        <v>0.16670000000000001</v>
      </c>
      <c r="H363" s="3">
        <v>0.38</v>
      </c>
      <c r="I363" s="3">
        <v>2.25</v>
      </c>
      <c r="J363" s="3">
        <v>2.25</v>
      </c>
    </row>
    <row r="364" spans="1:10" x14ac:dyDescent="0.3">
      <c r="A364" t="s">
        <v>369</v>
      </c>
      <c r="B364" t="s">
        <v>313</v>
      </c>
      <c r="C364">
        <v>157</v>
      </c>
      <c r="D364" s="1">
        <v>4.4600000000000001E-2</v>
      </c>
      <c r="E364">
        <v>7</v>
      </c>
      <c r="F364">
        <v>0</v>
      </c>
      <c r="G364" s="2">
        <v>0</v>
      </c>
      <c r="H364" s="3">
        <v>0</v>
      </c>
      <c r="I364" s="3" t="s">
        <v>213</v>
      </c>
      <c r="J364" s="3">
        <v>0</v>
      </c>
    </row>
    <row r="365" spans="1:10" x14ac:dyDescent="0.3">
      <c r="A365" t="s">
        <v>395</v>
      </c>
      <c r="B365" t="s">
        <v>223</v>
      </c>
      <c r="C365">
        <v>157</v>
      </c>
      <c r="D365" s="1">
        <v>1.9099999999999999E-2</v>
      </c>
      <c r="E365">
        <v>3</v>
      </c>
      <c r="F365">
        <v>0</v>
      </c>
      <c r="G365" s="2">
        <v>0</v>
      </c>
      <c r="H365" s="3">
        <v>0</v>
      </c>
      <c r="I365" s="3" t="s">
        <v>213</v>
      </c>
      <c r="J365" s="3">
        <v>0</v>
      </c>
    </row>
    <row r="366" spans="1:10" x14ac:dyDescent="0.3">
      <c r="A366" t="s">
        <v>62</v>
      </c>
      <c r="B366" t="s">
        <v>315</v>
      </c>
      <c r="C366">
        <v>157</v>
      </c>
      <c r="D366" s="1">
        <v>5.7300000000000004E-2</v>
      </c>
      <c r="E366">
        <v>9</v>
      </c>
      <c r="F366">
        <v>1</v>
      </c>
      <c r="G366" s="2">
        <v>0.11109999999999999</v>
      </c>
      <c r="H366" s="3">
        <v>19.3</v>
      </c>
      <c r="I366" s="3">
        <v>173.74</v>
      </c>
      <c r="J366" s="3">
        <v>173.74</v>
      </c>
    </row>
    <row r="367" spans="1:10" x14ac:dyDescent="0.3">
      <c r="A367" t="s">
        <v>369</v>
      </c>
      <c r="B367" t="s">
        <v>229</v>
      </c>
      <c r="C367">
        <v>156</v>
      </c>
      <c r="D367" s="1">
        <v>5.1299999999999998E-2</v>
      </c>
      <c r="E367">
        <v>8</v>
      </c>
      <c r="F367">
        <v>0</v>
      </c>
      <c r="G367" s="2">
        <v>0</v>
      </c>
      <c r="H367" s="3">
        <v>0</v>
      </c>
      <c r="I367" s="3" t="s">
        <v>213</v>
      </c>
      <c r="J367" s="3">
        <v>0</v>
      </c>
    </row>
    <row r="368" spans="1:10" x14ac:dyDescent="0.3">
      <c r="A368" t="s">
        <v>96</v>
      </c>
      <c r="B368" t="s">
        <v>247</v>
      </c>
      <c r="C368">
        <v>156</v>
      </c>
      <c r="D368" s="1">
        <v>8.9700000000000002E-2</v>
      </c>
      <c r="E368">
        <v>14</v>
      </c>
      <c r="F368">
        <v>2</v>
      </c>
      <c r="G368" s="2">
        <v>0.1429</v>
      </c>
      <c r="H368" s="3">
        <v>0.85</v>
      </c>
      <c r="I368" s="3">
        <v>5.97</v>
      </c>
      <c r="J368" s="3">
        <v>11.94</v>
      </c>
    </row>
    <row r="369" spans="1:10" x14ac:dyDescent="0.3">
      <c r="A369" t="s">
        <v>291</v>
      </c>
      <c r="B369" t="s">
        <v>221</v>
      </c>
      <c r="C369">
        <v>154</v>
      </c>
      <c r="D369" s="1">
        <v>3.9E-2</v>
      </c>
      <c r="E369">
        <v>6</v>
      </c>
      <c r="F369">
        <v>1</v>
      </c>
      <c r="G369" s="2">
        <v>0.16670000000000001</v>
      </c>
      <c r="H369" s="3">
        <v>1.1599999999999999</v>
      </c>
      <c r="I369" s="3">
        <v>6.94</v>
      </c>
      <c r="J369" s="3">
        <v>6.94</v>
      </c>
    </row>
    <row r="370" spans="1:10" x14ac:dyDescent="0.3">
      <c r="A370" t="s">
        <v>76</v>
      </c>
      <c r="B370" t="s">
        <v>316</v>
      </c>
      <c r="C370">
        <v>154</v>
      </c>
      <c r="D370" s="1">
        <v>3.2500000000000001E-2</v>
      </c>
      <c r="E370">
        <v>5</v>
      </c>
      <c r="F370">
        <v>0</v>
      </c>
      <c r="G370" s="2">
        <v>0</v>
      </c>
      <c r="H370" s="3">
        <v>0</v>
      </c>
      <c r="I370" s="3" t="s">
        <v>213</v>
      </c>
      <c r="J370" s="3">
        <v>0</v>
      </c>
    </row>
    <row r="371" spans="1:10" x14ac:dyDescent="0.3">
      <c r="A371" t="s">
        <v>424</v>
      </c>
      <c r="B371" t="s">
        <v>223</v>
      </c>
      <c r="C371">
        <v>152</v>
      </c>
      <c r="D371" s="1">
        <v>5.2600000000000001E-2</v>
      </c>
      <c r="E371">
        <v>8</v>
      </c>
      <c r="F371">
        <v>1</v>
      </c>
      <c r="G371" s="2">
        <v>0.125</v>
      </c>
      <c r="H371" s="3">
        <v>1.67</v>
      </c>
      <c r="I371" s="3">
        <v>13.39</v>
      </c>
      <c r="J371" s="3">
        <v>13.39</v>
      </c>
    </row>
    <row r="372" spans="1:10" x14ac:dyDescent="0.3">
      <c r="A372" t="s">
        <v>472</v>
      </c>
      <c r="B372" t="s">
        <v>235</v>
      </c>
      <c r="C372">
        <v>151</v>
      </c>
      <c r="D372" s="1">
        <v>3.9699999999999999E-2</v>
      </c>
      <c r="E372">
        <v>6</v>
      </c>
      <c r="F372">
        <v>1</v>
      </c>
      <c r="G372" s="2">
        <v>0.16670000000000001</v>
      </c>
      <c r="H372" s="3">
        <v>1.67</v>
      </c>
      <c r="I372" s="3">
        <v>10.039999999999999</v>
      </c>
      <c r="J372" s="3">
        <v>10.039999999999999</v>
      </c>
    </row>
    <row r="373" spans="1:10" x14ac:dyDescent="0.3">
      <c r="A373" t="s">
        <v>334</v>
      </c>
      <c r="B373" t="s">
        <v>221</v>
      </c>
      <c r="C373">
        <v>150</v>
      </c>
      <c r="D373" s="1">
        <v>2.6699999999999998E-2</v>
      </c>
      <c r="E373">
        <v>4</v>
      </c>
      <c r="F373">
        <v>1</v>
      </c>
      <c r="G373" s="2">
        <v>0.25</v>
      </c>
      <c r="H373" s="3">
        <v>1.01</v>
      </c>
      <c r="I373" s="3">
        <v>4.03</v>
      </c>
      <c r="J373" s="3">
        <v>4.03</v>
      </c>
    </row>
    <row r="374" spans="1:10" x14ac:dyDescent="0.3">
      <c r="A374" t="s">
        <v>21</v>
      </c>
      <c r="B374" t="s">
        <v>264</v>
      </c>
      <c r="C374">
        <v>150</v>
      </c>
      <c r="D374" s="1">
        <v>0.1</v>
      </c>
      <c r="E374">
        <v>15</v>
      </c>
      <c r="F374">
        <v>2</v>
      </c>
      <c r="G374" s="2">
        <v>0.1333</v>
      </c>
      <c r="H374" s="3">
        <v>1.3</v>
      </c>
      <c r="I374" s="3">
        <v>9.74</v>
      </c>
      <c r="J374" s="3">
        <v>19.47</v>
      </c>
    </row>
    <row r="375" spans="1:10" x14ac:dyDescent="0.3">
      <c r="A375" t="s">
        <v>395</v>
      </c>
      <c r="B375" t="s">
        <v>221</v>
      </c>
      <c r="C375">
        <v>150</v>
      </c>
      <c r="D375" s="1">
        <v>3.3300000000000003E-2</v>
      </c>
      <c r="E375">
        <v>5</v>
      </c>
      <c r="F375">
        <v>0</v>
      </c>
      <c r="G375" s="2">
        <v>0</v>
      </c>
      <c r="H375" s="3">
        <v>0</v>
      </c>
      <c r="I375" s="3" t="s">
        <v>213</v>
      </c>
      <c r="J375" s="3">
        <v>0</v>
      </c>
    </row>
    <row r="376" spans="1:10" x14ac:dyDescent="0.3">
      <c r="A376" t="s">
        <v>460</v>
      </c>
      <c r="B376" t="s">
        <v>217</v>
      </c>
      <c r="C376">
        <v>150</v>
      </c>
      <c r="D376" s="1">
        <v>5.33E-2</v>
      </c>
      <c r="E376">
        <v>8</v>
      </c>
      <c r="F376">
        <v>1</v>
      </c>
      <c r="G376" s="2">
        <v>0.125</v>
      </c>
      <c r="H376" s="3">
        <v>0.49</v>
      </c>
      <c r="I376" s="3">
        <v>3.91</v>
      </c>
      <c r="J376" s="3">
        <v>3.91</v>
      </c>
    </row>
    <row r="377" spans="1:10" x14ac:dyDescent="0.3">
      <c r="A377" t="s">
        <v>61</v>
      </c>
      <c r="B377" t="s">
        <v>352</v>
      </c>
      <c r="C377">
        <v>149</v>
      </c>
      <c r="D377" s="1">
        <v>0.11410000000000001</v>
      </c>
      <c r="E377">
        <v>17</v>
      </c>
      <c r="F377">
        <v>2</v>
      </c>
      <c r="G377" s="2">
        <v>0.1176</v>
      </c>
      <c r="H377" s="3">
        <v>0.6</v>
      </c>
      <c r="I377" s="3">
        <v>5.0999999999999996</v>
      </c>
      <c r="J377" s="3">
        <v>10.199999999999999</v>
      </c>
    </row>
    <row r="378" spans="1:10" x14ac:dyDescent="0.3">
      <c r="A378" t="s">
        <v>406</v>
      </c>
      <c r="B378" t="s">
        <v>223</v>
      </c>
      <c r="C378">
        <v>149</v>
      </c>
      <c r="D378" s="1">
        <v>2.0099999999999996E-2</v>
      </c>
      <c r="E378">
        <v>3</v>
      </c>
      <c r="F378">
        <v>0</v>
      </c>
      <c r="G378" s="2">
        <v>0</v>
      </c>
      <c r="H378" s="3">
        <v>0</v>
      </c>
      <c r="I378" s="3" t="s">
        <v>213</v>
      </c>
      <c r="J378" s="3">
        <v>0</v>
      </c>
    </row>
    <row r="379" spans="1:10" x14ac:dyDescent="0.3">
      <c r="A379" t="s">
        <v>459</v>
      </c>
      <c r="B379" t="s">
        <v>217</v>
      </c>
      <c r="C379">
        <v>149</v>
      </c>
      <c r="D379" s="1">
        <v>4.0300000000000002E-2</v>
      </c>
      <c r="E379">
        <v>6</v>
      </c>
      <c r="F379">
        <v>0</v>
      </c>
      <c r="G379" s="2">
        <v>0</v>
      </c>
      <c r="H379" s="3">
        <v>0</v>
      </c>
      <c r="I379" s="3" t="s">
        <v>213</v>
      </c>
      <c r="J379" s="3">
        <v>0</v>
      </c>
    </row>
    <row r="380" spans="1:10" x14ac:dyDescent="0.3">
      <c r="A380" t="s">
        <v>19</v>
      </c>
      <c r="B380" t="s">
        <v>217</v>
      </c>
      <c r="C380">
        <v>149</v>
      </c>
      <c r="D380" s="1">
        <v>8.72E-2</v>
      </c>
      <c r="E380">
        <v>13</v>
      </c>
      <c r="F380">
        <v>2</v>
      </c>
      <c r="G380" s="2">
        <v>0.15380000000000002</v>
      </c>
      <c r="H380" s="3">
        <v>1.25</v>
      </c>
      <c r="I380" s="3">
        <v>8.14</v>
      </c>
      <c r="J380" s="3">
        <v>16.28</v>
      </c>
    </row>
    <row r="381" spans="1:10" x14ac:dyDescent="0.3">
      <c r="A381" t="s">
        <v>40</v>
      </c>
      <c r="B381" t="s">
        <v>212</v>
      </c>
      <c r="C381">
        <v>148</v>
      </c>
      <c r="D381" s="1">
        <v>8.7799999999999989E-2</v>
      </c>
      <c r="E381">
        <v>13</v>
      </c>
      <c r="F381">
        <v>5</v>
      </c>
      <c r="G381" s="2">
        <v>0.3846</v>
      </c>
      <c r="H381" s="3">
        <v>2.6</v>
      </c>
      <c r="I381" s="3">
        <v>6.75</v>
      </c>
      <c r="J381" s="3">
        <v>33.76</v>
      </c>
    </row>
    <row r="382" spans="1:10" x14ac:dyDescent="0.3">
      <c r="A382" t="s">
        <v>72</v>
      </c>
      <c r="B382" t="s">
        <v>248</v>
      </c>
      <c r="C382">
        <v>148</v>
      </c>
      <c r="D382" s="1">
        <v>0.1081</v>
      </c>
      <c r="E382">
        <v>16</v>
      </c>
      <c r="F382">
        <v>1</v>
      </c>
      <c r="G382" s="2">
        <v>6.25E-2</v>
      </c>
      <c r="H382" s="3">
        <v>0.15</v>
      </c>
      <c r="I382" s="3">
        <v>2.39</v>
      </c>
      <c r="J382" s="3">
        <v>2.39</v>
      </c>
    </row>
    <row r="383" spans="1:10" x14ac:dyDescent="0.3">
      <c r="A383" t="s">
        <v>401</v>
      </c>
      <c r="B383" t="s">
        <v>242</v>
      </c>
      <c r="C383">
        <v>148</v>
      </c>
      <c r="D383" s="1">
        <v>2.7000000000000003E-2</v>
      </c>
      <c r="E383">
        <v>4</v>
      </c>
      <c r="F383">
        <v>0</v>
      </c>
      <c r="G383" s="2">
        <v>0</v>
      </c>
      <c r="H383" s="3">
        <v>0</v>
      </c>
      <c r="I383" s="3" t="s">
        <v>213</v>
      </c>
      <c r="J383" s="3">
        <v>0</v>
      </c>
    </row>
    <row r="384" spans="1:10" x14ac:dyDescent="0.3">
      <c r="A384" t="s">
        <v>480</v>
      </c>
      <c r="B384" t="s">
        <v>315</v>
      </c>
      <c r="C384">
        <v>148</v>
      </c>
      <c r="D384" s="1">
        <v>6.08E-2</v>
      </c>
      <c r="E384">
        <v>9</v>
      </c>
      <c r="F384">
        <v>0</v>
      </c>
      <c r="G384" s="2">
        <v>0</v>
      </c>
      <c r="H384" s="3">
        <v>0</v>
      </c>
      <c r="I384" s="3" t="s">
        <v>213</v>
      </c>
      <c r="J384" s="3">
        <v>0</v>
      </c>
    </row>
    <row r="385" spans="1:10" x14ac:dyDescent="0.3">
      <c r="A385" t="s">
        <v>369</v>
      </c>
      <c r="B385" t="s">
        <v>371</v>
      </c>
      <c r="C385">
        <v>147</v>
      </c>
      <c r="D385" s="1">
        <v>6.1200000000000004E-2</v>
      </c>
      <c r="E385">
        <v>9</v>
      </c>
      <c r="F385">
        <v>1</v>
      </c>
      <c r="G385" s="2">
        <v>0.11109999999999999</v>
      </c>
      <c r="H385" s="3">
        <v>0.86</v>
      </c>
      <c r="I385" s="3">
        <v>7.75</v>
      </c>
      <c r="J385" s="3">
        <v>7.75</v>
      </c>
    </row>
    <row r="386" spans="1:10" x14ac:dyDescent="0.3">
      <c r="A386" t="s">
        <v>19</v>
      </c>
      <c r="B386" t="s">
        <v>466</v>
      </c>
      <c r="C386">
        <v>147</v>
      </c>
      <c r="D386" s="1">
        <v>3.4000000000000002E-2</v>
      </c>
      <c r="E386">
        <v>5</v>
      </c>
      <c r="F386">
        <v>0</v>
      </c>
      <c r="G386" s="2">
        <v>0</v>
      </c>
      <c r="H386" s="3">
        <v>0</v>
      </c>
      <c r="I386" s="3" t="s">
        <v>213</v>
      </c>
      <c r="J386" s="3">
        <v>0</v>
      </c>
    </row>
    <row r="387" spans="1:10" x14ac:dyDescent="0.3">
      <c r="A387" t="s">
        <v>478</v>
      </c>
      <c r="B387" t="s">
        <v>221</v>
      </c>
      <c r="C387">
        <v>147</v>
      </c>
      <c r="D387" s="1">
        <v>6.1200000000000004E-2</v>
      </c>
      <c r="E387">
        <v>9</v>
      </c>
      <c r="F387">
        <v>1</v>
      </c>
      <c r="G387" s="2">
        <v>0.11109999999999999</v>
      </c>
      <c r="H387" s="3">
        <v>0.31</v>
      </c>
      <c r="I387" s="3">
        <v>2.83</v>
      </c>
      <c r="J387" s="3">
        <v>2.83</v>
      </c>
    </row>
    <row r="388" spans="1:10" x14ac:dyDescent="0.3">
      <c r="A388" t="s">
        <v>153</v>
      </c>
      <c r="B388" t="s">
        <v>212</v>
      </c>
      <c r="C388">
        <v>146</v>
      </c>
      <c r="D388" s="1">
        <v>0.13699999999999998</v>
      </c>
      <c r="E388">
        <v>20</v>
      </c>
      <c r="F388">
        <v>3</v>
      </c>
      <c r="G388" s="2">
        <v>0.15</v>
      </c>
      <c r="H388" s="3">
        <v>0.45</v>
      </c>
      <c r="I388" s="3">
        <v>2.97</v>
      </c>
      <c r="J388" s="3">
        <v>8.91</v>
      </c>
    </row>
    <row r="389" spans="1:10" x14ac:dyDescent="0.3">
      <c r="A389" t="s">
        <v>294</v>
      </c>
      <c r="B389" t="s">
        <v>221</v>
      </c>
      <c r="C389">
        <v>145</v>
      </c>
      <c r="D389" s="1">
        <v>0.1724</v>
      </c>
      <c r="E389">
        <v>25</v>
      </c>
      <c r="F389">
        <v>4</v>
      </c>
      <c r="G389" s="2">
        <v>0.16</v>
      </c>
      <c r="H389" s="3">
        <v>1.43</v>
      </c>
      <c r="I389" s="3">
        <v>8.9499999999999993</v>
      </c>
      <c r="J389" s="3">
        <v>35.799999999999997</v>
      </c>
    </row>
    <row r="390" spans="1:10" x14ac:dyDescent="0.3">
      <c r="A390" t="s">
        <v>237</v>
      </c>
      <c r="B390" t="s">
        <v>238</v>
      </c>
      <c r="C390">
        <v>144</v>
      </c>
      <c r="D390" s="1">
        <v>4.1700000000000001E-2</v>
      </c>
      <c r="E390">
        <v>6</v>
      </c>
      <c r="F390">
        <v>1</v>
      </c>
      <c r="G390" s="2">
        <v>0.16670000000000001</v>
      </c>
      <c r="H390" s="3">
        <v>1.29</v>
      </c>
      <c r="I390" s="3">
        <v>7.72</v>
      </c>
      <c r="J390" s="3">
        <v>7.72</v>
      </c>
    </row>
    <row r="391" spans="1:10" x14ac:dyDescent="0.3">
      <c r="A391" t="s">
        <v>11</v>
      </c>
      <c r="B391" t="s">
        <v>313</v>
      </c>
      <c r="C391">
        <v>144</v>
      </c>
      <c r="D391" s="1">
        <v>6.8999999999999999E-3</v>
      </c>
      <c r="E391">
        <v>1</v>
      </c>
      <c r="F391">
        <v>1</v>
      </c>
      <c r="G391" s="2">
        <v>1</v>
      </c>
      <c r="H391" s="3">
        <v>9.1300000000000008</v>
      </c>
      <c r="I391" s="3">
        <v>9.1300000000000008</v>
      </c>
      <c r="J391" s="3">
        <v>9.1300000000000008</v>
      </c>
    </row>
    <row r="392" spans="1:10" x14ac:dyDescent="0.3">
      <c r="A392" t="s">
        <v>11</v>
      </c>
      <c r="B392" t="s">
        <v>318</v>
      </c>
      <c r="C392">
        <v>144</v>
      </c>
      <c r="D392" s="1">
        <v>4.1700000000000001E-2</v>
      </c>
      <c r="E392">
        <v>6</v>
      </c>
      <c r="F392">
        <v>0</v>
      </c>
      <c r="G392" s="2">
        <v>0</v>
      </c>
      <c r="H392" s="3">
        <v>0</v>
      </c>
      <c r="I392" s="3" t="s">
        <v>213</v>
      </c>
      <c r="J392" s="3">
        <v>0</v>
      </c>
    </row>
    <row r="393" spans="1:10" x14ac:dyDescent="0.3">
      <c r="A393" t="s">
        <v>402</v>
      </c>
      <c r="B393" t="s">
        <v>272</v>
      </c>
      <c r="C393">
        <v>144</v>
      </c>
      <c r="D393" s="1">
        <v>2.0799999999999999E-2</v>
      </c>
      <c r="E393">
        <v>3</v>
      </c>
      <c r="F393">
        <v>1</v>
      </c>
      <c r="G393" s="2">
        <v>0.33329999999999999</v>
      </c>
      <c r="H393" s="3">
        <v>5.19</v>
      </c>
      <c r="I393" s="3">
        <v>15.56</v>
      </c>
      <c r="J393" s="3">
        <v>15.56</v>
      </c>
    </row>
    <row r="394" spans="1:10" x14ac:dyDescent="0.3">
      <c r="A394" t="s">
        <v>393</v>
      </c>
      <c r="B394" t="s">
        <v>235</v>
      </c>
      <c r="C394">
        <v>142</v>
      </c>
      <c r="D394" s="1">
        <v>4.2300000000000004E-2</v>
      </c>
      <c r="E394">
        <v>6</v>
      </c>
      <c r="F394">
        <v>0</v>
      </c>
      <c r="G394" s="2">
        <v>0</v>
      </c>
      <c r="H394" s="3">
        <v>0</v>
      </c>
      <c r="I394" s="3" t="s">
        <v>213</v>
      </c>
      <c r="J394" s="3">
        <v>0</v>
      </c>
    </row>
    <row r="395" spans="1:10" x14ac:dyDescent="0.3">
      <c r="A395" t="s">
        <v>76</v>
      </c>
      <c r="B395" t="s">
        <v>314</v>
      </c>
      <c r="C395">
        <v>142</v>
      </c>
      <c r="D395" s="1">
        <v>3.5200000000000002E-2</v>
      </c>
      <c r="E395">
        <v>5</v>
      </c>
      <c r="F395">
        <v>0</v>
      </c>
      <c r="G395" s="2">
        <v>0</v>
      </c>
      <c r="H395" s="3">
        <v>0</v>
      </c>
      <c r="I395" s="3" t="s">
        <v>213</v>
      </c>
      <c r="J395" s="3">
        <v>0</v>
      </c>
    </row>
    <row r="396" spans="1:10" x14ac:dyDescent="0.3">
      <c r="A396" t="s">
        <v>480</v>
      </c>
      <c r="B396" t="s">
        <v>313</v>
      </c>
      <c r="C396">
        <v>142</v>
      </c>
      <c r="D396" s="1">
        <v>2.8199999999999999E-2</v>
      </c>
      <c r="E396">
        <v>4</v>
      </c>
      <c r="F396">
        <v>0</v>
      </c>
      <c r="G396" s="2">
        <v>0</v>
      </c>
      <c r="H396" s="3">
        <v>0</v>
      </c>
      <c r="I396" s="3" t="s">
        <v>213</v>
      </c>
      <c r="J396" s="3">
        <v>0</v>
      </c>
    </row>
    <row r="397" spans="1:10" x14ac:dyDescent="0.3">
      <c r="A397" t="s">
        <v>369</v>
      </c>
      <c r="B397" t="s">
        <v>235</v>
      </c>
      <c r="C397">
        <v>141</v>
      </c>
      <c r="D397" s="1">
        <v>5.67E-2</v>
      </c>
      <c r="E397">
        <v>8</v>
      </c>
      <c r="F397">
        <v>3</v>
      </c>
      <c r="G397" s="2">
        <v>0.375</v>
      </c>
      <c r="H397" s="3">
        <v>5.83</v>
      </c>
      <c r="I397" s="3">
        <v>15.55</v>
      </c>
      <c r="J397" s="3">
        <v>46.64</v>
      </c>
    </row>
    <row r="398" spans="1:10" x14ac:dyDescent="0.3">
      <c r="A398" t="s">
        <v>255</v>
      </c>
      <c r="B398" t="s">
        <v>256</v>
      </c>
      <c r="C398">
        <v>140</v>
      </c>
      <c r="D398" s="1">
        <v>6.4299999999999996E-2</v>
      </c>
      <c r="E398">
        <v>9</v>
      </c>
      <c r="F398">
        <v>0</v>
      </c>
      <c r="G398" s="2">
        <v>0</v>
      </c>
      <c r="H398" s="3">
        <v>0</v>
      </c>
      <c r="I398" s="3" t="s">
        <v>213</v>
      </c>
      <c r="J398" s="3">
        <v>0</v>
      </c>
    </row>
    <row r="399" spans="1:10" x14ac:dyDescent="0.3">
      <c r="A399" t="s">
        <v>76</v>
      </c>
      <c r="B399" t="s">
        <v>455</v>
      </c>
      <c r="C399">
        <v>140</v>
      </c>
      <c r="D399" s="1">
        <v>2.86E-2</v>
      </c>
      <c r="E399">
        <v>4</v>
      </c>
      <c r="F399">
        <v>0</v>
      </c>
      <c r="G399" s="2">
        <v>0</v>
      </c>
      <c r="H399" s="3">
        <v>0</v>
      </c>
      <c r="I399" s="3" t="s">
        <v>213</v>
      </c>
      <c r="J399" s="3">
        <v>0</v>
      </c>
    </row>
    <row r="400" spans="1:10" x14ac:dyDescent="0.3">
      <c r="A400" t="s">
        <v>465</v>
      </c>
      <c r="B400" t="s">
        <v>248</v>
      </c>
      <c r="C400">
        <v>140</v>
      </c>
      <c r="D400" s="1">
        <v>0.05</v>
      </c>
      <c r="E400">
        <v>7</v>
      </c>
      <c r="F400">
        <v>1</v>
      </c>
      <c r="G400" s="2">
        <v>0.1429</v>
      </c>
      <c r="H400" s="3">
        <v>1.88</v>
      </c>
      <c r="I400" s="3">
        <v>13.15</v>
      </c>
      <c r="J400" s="3">
        <v>13.15</v>
      </c>
    </row>
    <row r="401" spans="1:10" x14ac:dyDescent="0.3">
      <c r="A401" t="s">
        <v>28</v>
      </c>
      <c r="B401" t="s">
        <v>229</v>
      </c>
      <c r="C401">
        <v>139</v>
      </c>
      <c r="D401" s="1">
        <v>0.13669999999999999</v>
      </c>
      <c r="E401">
        <v>19</v>
      </c>
      <c r="F401">
        <v>0</v>
      </c>
      <c r="G401" s="2">
        <v>0</v>
      </c>
      <c r="H401" s="3">
        <v>0</v>
      </c>
      <c r="I401" s="3" t="s">
        <v>213</v>
      </c>
      <c r="J401" s="3">
        <v>0</v>
      </c>
    </row>
    <row r="402" spans="1:10" x14ac:dyDescent="0.3">
      <c r="A402" t="s">
        <v>11</v>
      </c>
      <c r="B402" t="s">
        <v>235</v>
      </c>
      <c r="C402">
        <v>139</v>
      </c>
      <c r="D402" s="1">
        <v>5.04E-2</v>
      </c>
      <c r="E402">
        <v>7</v>
      </c>
      <c r="F402">
        <v>0</v>
      </c>
      <c r="G402" s="2">
        <v>0</v>
      </c>
      <c r="H402" s="3">
        <v>0</v>
      </c>
      <c r="I402" s="3" t="s">
        <v>213</v>
      </c>
      <c r="J402" s="3">
        <v>0</v>
      </c>
    </row>
    <row r="403" spans="1:10" x14ac:dyDescent="0.3">
      <c r="A403" t="s">
        <v>369</v>
      </c>
      <c r="B403" t="s">
        <v>286</v>
      </c>
      <c r="C403">
        <v>139</v>
      </c>
      <c r="D403" s="1">
        <v>5.7599999999999998E-2</v>
      </c>
      <c r="E403">
        <v>8</v>
      </c>
      <c r="F403">
        <v>0</v>
      </c>
      <c r="G403" s="2">
        <v>0</v>
      </c>
      <c r="H403" s="3">
        <v>0</v>
      </c>
      <c r="I403" s="3" t="s">
        <v>213</v>
      </c>
      <c r="J403" s="3">
        <v>0</v>
      </c>
    </row>
    <row r="404" spans="1:10" x14ac:dyDescent="0.3">
      <c r="A404" t="s">
        <v>283</v>
      </c>
      <c r="B404" t="s">
        <v>248</v>
      </c>
      <c r="C404">
        <v>137</v>
      </c>
      <c r="D404" s="1">
        <v>0.17519999999999999</v>
      </c>
      <c r="E404">
        <v>24</v>
      </c>
      <c r="F404">
        <v>5</v>
      </c>
      <c r="G404" s="2">
        <v>0.20829999999999999</v>
      </c>
      <c r="H404" s="3">
        <v>1.21</v>
      </c>
      <c r="I404" s="3">
        <v>5.82</v>
      </c>
      <c r="J404" s="3">
        <v>29.11</v>
      </c>
    </row>
    <row r="405" spans="1:10" x14ac:dyDescent="0.3">
      <c r="A405" t="s">
        <v>11</v>
      </c>
      <c r="B405" t="s">
        <v>223</v>
      </c>
      <c r="C405">
        <v>137</v>
      </c>
      <c r="D405" s="1">
        <v>0.13140000000000002</v>
      </c>
      <c r="E405">
        <v>18</v>
      </c>
      <c r="F405">
        <v>4</v>
      </c>
      <c r="G405" s="2">
        <v>0.22219999999999998</v>
      </c>
      <c r="H405" s="3">
        <v>1.25</v>
      </c>
      <c r="I405" s="3">
        <v>5.61</v>
      </c>
      <c r="J405" s="3">
        <v>22.45</v>
      </c>
    </row>
    <row r="406" spans="1:10" x14ac:dyDescent="0.3">
      <c r="A406" t="s">
        <v>345</v>
      </c>
      <c r="B406" t="s">
        <v>221</v>
      </c>
      <c r="C406">
        <v>137</v>
      </c>
      <c r="D406" s="1">
        <v>2.92E-2</v>
      </c>
      <c r="E406">
        <v>4</v>
      </c>
      <c r="F406">
        <v>0</v>
      </c>
      <c r="G406" s="2">
        <v>0</v>
      </c>
      <c r="H406" s="3">
        <v>0</v>
      </c>
      <c r="I406" s="3" t="s">
        <v>213</v>
      </c>
      <c r="J406" s="3">
        <v>0</v>
      </c>
    </row>
    <row r="407" spans="1:10" x14ac:dyDescent="0.3">
      <c r="A407" t="s">
        <v>76</v>
      </c>
      <c r="B407" t="s">
        <v>264</v>
      </c>
      <c r="C407">
        <v>137</v>
      </c>
      <c r="D407" s="1">
        <v>2.92E-2</v>
      </c>
      <c r="E407">
        <v>4</v>
      </c>
      <c r="F407">
        <v>0</v>
      </c>
      <c r="G407" s="2">
        <v>0</v>
      </c>
      <c r="H407" s="3">
        <v>0</v>
      </c>
      <c r="I407" s="3" t="s">
        <v>213</v>
      </c>
      <c r="J407" s="3">
        <v>0</v>
      </c>
    </row>
    <row r="408" spans="1:10" x14ac:dyDescent="0.3">
      <c r="A408" t="s">
        <v>11</v>
      </c>
      <c r="B408" t="s">
        <v>217</v>
      </c>
      <c r="C408">
        <v>136</v>
      </c>
      <c r="D408" s="1">
        <v>7.3499999999999996E-2</v>
      </c>
      <c r="E408">
        <v>10</v>
      </c>
      <c r="F408">
        <v>1</v>
      </c>
      <c r="G408" s="2">
        <v>0.1</v>
      </c>
      <c r="H408" s="3">
        <v>0.92</v>
      </c>
      <c r="I408" s="3">
        <v>9.1999999999999993</v>
      </c>
      <c r="J408" s="3">
        <v>9.1999999999999993</v>
      </c>
    </row>
    <row r="409" spans="1:10" x14ac:dyDescent="0.3">
      <c r="A409" t="s">
        <v>15</v>
      </c>
      <c r="B409" t="s">
        <v>228</v>
      </c>
      <c r="C409">
        <v>136</v>
      </c>
      <c r="D409" s="1">
        <v>9.5600000000000004E-2</v>
      </c>
      <c r="E409">
        <v>13</v>
      </c>
      <c r="F409">
        <v>5</v>
      </c>
      <c r="G409" s="2">
        <v>0.3846</v>
      </c>
      <c r="H409" s="3">
        <v>1.25</v>
      </c>
      <c r="I409" s="3">
        <v>3.24</v>
      </c>
      <c r="J409" s="3">
        <v>16.190000000000001</v>
      </c>
    </row>
    <row r="410" spans="1:10" x14ac:dyDescent="0.3">
      <c r="A410" t="s">
        <v>369</v>
      </c>
      <c r="B410" t="s">
        <v>235</v>
      </c>
      <c r="C410">
        <v>136</v>
      </c>
      <c r="D410" s="1">
        <v>8.8200000000000001E-2</v>
      </c>
      <c r="E410">
        <v>12</v>
      </c>
      <c r="F410">
        <v>1</v>
      </c>
      <c r="G410" s="2">
        <v>8.3299999999999999E-2</v>
      </c>
      <c r="H410" s="3">
        <v>0.35</v>
      </c>
      <c r="I410" s="3">
        <v>4.21</v>
      </c>
      <c r="J410" s="3">
        <v>4.21</v>
      </c>
    </row>
    <row r="411" spans="1:10" x14ac:dyDescent="0.3">
      <c r="A411" t="s">
        <v>369</v>
      </c>
      <c r="B411" t="s">
        <v>318</v>
      </c>
      <c r="C411">
        <v>136</v>
      </c>
      <c r="D411" s="1">
        <v>3.6799999999999999E-2</v>
      </c>
      <c r="E411">
        <v>5</v>
      </c>
      <c r="F411">
        <v>1</v>
      </c>
      <c r="G411" s="2">
        <v>0.2</v>
      </c>
      <c r="H411" s="3">
        <v>1.73</v>
      </c>
      <c r="I411" s="3">
        <v>8.6300000000000008</v>
      </c>
      <c r="J411" s="3">
        <v>8.6300000000000008</v>
      </c>
    </row>
    <row r="412" spans="1:10" x14ac:dyDescent="0.3">
      <c r="A412" t="s">
        <v>237</v>
      </c>
      <c r="B412" t="s">
        <v>238</v>
      </c>
      <c r="C412">
        <v>135</v>
      </c>
      <c r="D412" s="1">
        <v>4.4400000000000002E-2</v>
      </c>
      <c r="E412">
        <v>6</v>
      </c>
      <c r="F412">
        <v>0</v>
      </c>
      <c r="G412" s="2">
        <v>0</v>
      </c>
      <c r="H412" s="3">
        <v>0</v>
      </c>
      <c r="I412" s="3" t="s">
        <v>213</v>
      </c>
      <c r="J412" s="3">
        <v>0</v>
      </c>
    </row>
    <row r="413" spans="1:10" x14ac:dyDescent="0.3">
      <c r="A413" t="s">
        <v>11</v>
      </c>
      <c r="B413" t="s">
        <v>221</v>
      </c>
      <c r="C413">
        <v>135</v>
      </c>
      <c r="D413" s="1">
        <v>2.9600000000000001E-2</v>
      </c>
      <c r="E413">
        <v>4</v>
      </c>
      <c r="F413">
        <v>0</v>
      </c>
      <c r="G413" s="2">
        <v>0</v>
      </c>
      <c r="H413" s="3">
        <v>0</v>
      </c>
      <c r="I413" s="3" t="s">
        <v>213</v>
      </c>
      <c r="J413" s="3">
        <v>0</v>
      </c>
    </row>
    <row r="414" spans="1:10" x14ac:dyDescent="0.3">
      <c r="A414" t="s">
        <v>383</v>
      </c>
      <c r="B414" t="s">
        <v>286</v>
      </c>
      <c r="C414">
        <v>135</v>
      </c>
      <c r="D414" s="1">
        <v>5.1900000000000002E-2</v>
      </c>
      <c r="E414">
        <v>7</v>
      </c>
      <c r="F414">
        <v>0</v>
      </c>
      <c r="G414" s="2">
        <v>0</v>
      </c>
      <c r="H414" s="3">
        <v>0</v>
      </c>
      <c r="I414" s="3" t="s">
        <v>213</v>
      </c>
      <c r="J414" s="3">
        <v>0</v>
      </c>
    </row>
    <row r="415" spans="1:10" x14ac:dyDescent="0.3">
      <c r="A415" t="s">
        <v>69</v>
      </c>
      <c r="B415" t="s">
        <v>261</v>
      </c>
      <c r="C415">
        <v>134</v>
      </c>
      <c r="D415" s="1">
        <v>0.31340000000000001</v>
      </c>
      <c r="E415">
        <v>42</v>
      </c>
      <c r="F415">
        <v>2</v>
      </c>
      <c r="G415" s="2">
        <v>4.7599999999999996E-2</v>
      </c>
      <c r="H415" s="3">
        <v>0.39</v>
      </c>
      <c r="I415" s="3">
        <v>8.1</v>
      </c>
      <c r="J415" s="3">
        <v>16.190000000000001</v>
      </c>
    </row>
    <row r="416" spans="1:10" x14ac:dyDescent="0.3">
      <c r="A416" t="s">
        <v>369</v>
      </c>
      <c r="B416" t="s">
        <v>370</v>
      </c>
      <c r="C416">
        <v>134</v>
      </c>
      <c r="D416" s="1">
        <v>8.2100000000000006E-2</v>
      </c>
      <c r="E416">
        <v>11</v>
      </c>
      <c r="F416">
        <v>1</v>
      </c>
      <c r="G416" s="2">
        <v>9.0899999999999995E-2</v>
      </c>
      <c r="H416" s="3">
        <v>0.86</v>
      </c>
      <c r="I416" s="3">
        <v>9.44</v>
      </c>
      <c r="J416" s="3">
        <v>9.44</v>
      </c>
    </row>
    <row r="417" spans="1:10" x14ac:dyDescent="0.3">
      <c r="A417" t="s">
        <v>375</v>
      </c>
      <c r="B417" t="s">
        <v>215</v>
      </c>
      <c r="C417">
        <v>134</v>
      </c>
      <c r="D417" s="1">
        <v>5.2199999999999996E-2</v>
      </c>
      <c r="E417">
        <v>7</v>
      </c>
      <c r="F417">
        <v>0</v>
      </c>
      <c r="G417" s="2">
        <v>0</v>
      </c>
      <c r="H417" s="3">
        <v>0</v>
      </c>
      <c r="I417" s="3" t="s">
        <v>213</v>
      </c>
      <c r="J417" s="3">
        <v>0</v>
      </c>
    </row>
    <row r="418" spans="1:10" x14ac:dyDescent="0.3">
      <c r="A418" t="s">
        <v>169</v>
      </c>
      <c r="B418" t="s">
        <v>277</v>
      </c>
      <c r="C418">
        <v>134</v>
      </c>
      <c r="D418" s="1">
        <v>0.12689999999999999</v>
      </c>
      <c r="E418">
        <v>17</v>
      </c>
      <c r="F418">
        <v>1</v>
      </c>
      <c r="G418" s="2">
        <v>5.8799999999999998E-2</v>
      </c>
      <c r="H418" s="3">
        <v>0.39</v>
      </c>
      <c r="I418" s="3">
        <v>6.57</v>
      </c>
      <c r="J418" s="3">
        <v>6.57</v>
      </c>
    </row>
    <row r="419" spans="1:10" x14ac:dyDescent="0.3">
      <c r="A419" t="s">
        <v>11</v>
      </c>
      <c r="B419" t="s">
        <v>239</v>
      </c>
      <c r="C419">
        <v>133</v>
      </c>
      <c r="D419" s="1">
        <v>7.5199999999999989E-2</v>
      </c>
      <c r="E419">
        <v>10</v>
      </c>
      <c r="F419">
        <v>0</v>
      </c>
      <c r="G419" s="2">
        <v>0</v>
      </c>
      <c r="H419" s="3">
        <v>0</v>
      </c>
      <c r="I419" s="3" t="s">
        <v>213</v>
      </c>
      <c r="J419" s="3">
        <v>0</v>
      </c>
    </row>
    <row r="420" spans="1:10" x14ac:dyDescent="0.3">
      <c r="A420" t="s">
        <v>376</v>
      </c>
      <c r="B420" t="s">
        <v>221</v>
      </c>
      <c r="C420">
        <v>133</v>
      </c>
      <c r="D420" s="1">
        <v>3.7599999999999995E-2</v>
      </c>
      <c r="E420">
        <v>5</v>
      </c>
      <c r="F420">
        <v>0</v>
      </c>
      <c r="G420" s="2">
        <v>0</v>
      </c>
      <c r="H420" s="3">
        <v>0</v>
      </c>
      <c r="I420" s="3" t="s">
        <v>213</v>
      </c>
      <c r="J420" s="3">
        <v>0</v>
      </c>
    </row>
    <row r="421" spans="1:10" x14ac:dyDescent="0.3">
      <c r="A421" t="s">
        <v>406</v>
      </c>
      <c r="B421" t="s">
        <v>223</v>
      </c>
      <c r="C421">
        <v>133</v>
      </c>
      <c r="D421" s="1">
        <v>7.4999999999999997E-3</v>
      </c>
      <c r="E421">
        <v>1</v>
      </c>
      <c r="F421">
        <v>0</v>
      </c>
      <c r="G421" s="2">
        <v>0</v>
      </c>
      <c r="H421" s="3">
        <v>0</v>
      </c>
      <c r="I421" s="3" t="s">
        <v>213</v>
      </c>
      <c r="J421" s="3">
        <v>0</v>
      </c>
    </row>
    <row r="422" spans="1:10" x14ac:dyDescent="0.3">
      <c r="A422" t="s">
        <v>76</v>
      </c>
      <c r="B422" t="s">
        <v>229</v>
      </c>
      <c r="C422">
        <v>133</v>
      </c>
      <c r="D422" s="1">
        <v>3.0099999999999998E-2</v>
      </c>
      <c r="E422">
        <v>4</v>
      </c>
      <c r="F422">
        <v>0</v>
      </c>
      <c r="G422" s="2">
        <v>0</v>
      </c>
      <c r="H422" s="3">
        <v>0</v>
      </c>
      <c r="I422" s="3" t="s">
        <v>213</v>
      </c>
      <c r="J422" s="3">
        <v>0</v>
      </c>
    </row>
    <row r="423" spans="1:10" x14ac:dyDescent="0.3">
      <c r="A423" t="s">
        <v>121</v>
      </c>
      <c r="B423" t="s">
        <v>272</v>
      </c>
      <c r="C423">
        <v>132</v>
      </c>
      <c r="D423" s="1">
        <v>1.52E-2</v>
      </c>
      <c r="E423">
        <v>2</v>
      </c>
      <c r="F423">
        <v>0</v>
      </c>
      <c r="G423" s="2">
        <v>0</v>
      </c>
      <c r="H423" s="3">
        <v>0</v>
      </c>
      <c r="I423" s="3" t="s">
        <v>213</v>
      </c>
      <c r="J423" s="3">
        <v>0</v>
      </c>
    </row>
    <row r="424" spans="1:10" x14ac:dyDescent="0.3">
      <c r="A424" t="s">
        <v>11</v>
      </c>
      <c r="B424" t="s">
        <v>219</v>
      </c>
      <c r="C424">
        <v>132</v>
      </c>
      <c r="D424" s="1">
        <v>8.3299999999999999E-2</v>
      </c>
      <c r="E424">
        <v>11</v>
      </c>
      <c r="F424">
        <v>1</v>
      </c>
      <c r="G424" s="2">
        <v>9.0899999999999995E-2</v>
      </c>
      <c r="H424" s="3">
        <v>1.52</v>
      </c>
      <c r="I424" s="3">
        <v>16.7</v>
      </c>
      <c r="J424" s="3">
        <v>16.7</v>
      </c>
    </row>
    <row r="425" spans="1:10" x14ac:dyDescent="0.3">
      <c r="A425" t="s">
        <v>329</v>
      </c>
      <c r="B425" t="s">
        <v>215</v>
      </c>
      <c r="C425">
        <v>132</v>
      </c>
      <c r="D425" s="1">
        <v>3.7900000000000003E-2</v>
      </c>
      <c r="E425">
        <v>5</v>
      </c>
      <c r="F425">
        <v>0</v>
      </c>
      <c r="G425" s="2">
        <v>0</v>
      </c>
      <c r="H425" s="3">
        <v>0</v>
      </c>
      <c r="I425" s="3" t="s">
        <v>213</v>
      </c>
      <c r="J425" s="3">
        <v>0</v>
      </c>
    </row>
    <row r="426" spans="1:10" x14ac:dyDescent="0.3">
      <c r="A426" t="s">
        <v>96</v>
      </c>
      <c r="B426" t="s">
        <v>247</v>
      </c>
      <c r="C426">
        <v>132</v>
      </c>
      <c r="D426" s="1">
        <v>6.8199999999999997E-2</v>
      </c>
      <c r="E426">
        <v>9</v>
      </c>
      <c r="F426">
        <v>0</v>
      </c>
      <c r="G426" s="2">
        <v>0</v>
      </c>
      <c r="H426" s="3">
        <v>0</v>
      </c>
      <c r="I426" s="3" t="s">
        <v>213</v>
      </c>
      <c r="J426" s="3">
        <v>0</v>
      </c>
    </row>
    <row r="427" spans="1:10" x14ac:dyDescent="0.3">
      <c r="A427" t="s">
        <v>290</v>
      </c>
      <c r="B427" t="s">
        <v>273</v>
      </c>
      <c r="C427">
        <v>131</v>
      </c>
      <c r="D427" s="1">
        <v>4.58E-2</v>
      </c>
      <c r="E427">
        <v>6</v>
      </c>
      <c r="F427">
        <v>0</v>
      </c>
      <c r="G427" s="2">
        <v>0</v>
      </c>
      <c r="H427" s="3">
        <v>0</v>
      </c>
      <c r="I427" s="3" t="s">
        <v>213</v>
      </c>
      <c r="J427" s="3">
        <v>0</v>
      </c>
    </row>
    <row r="428" spans="1:10" x14ac:dyDescent="0.3">
      <c r="A428" t="s">
        <v>70</v>
      </c>
      <c r="B428" t="s">
        <v>226</v>
      </c>
      <c r="C428">
        <v>131</v>
      </c>
      <c r="D428" s="1">
        <v>7.6299999999999993E-2</v>
      </c>
      <c r="E428">
        <v>10</v>
      </c>
      <c r="F428">
        <v>0</v>
      </c>
      <c r="G428" s="2">
        <v>0</v>
      </c>
      <c r="H428" s="3">
        <v>0</v>
      </c>
      <c r="I428" s="3" t="s">
        <v>213</v>
      </c>
      <c r="J428" s="3">
        <v>0</v>
      </c>
    </row>
    <row r="429" spans="1:10" x14ac:dyDescent="0.3">
      <c r="A429" t="s">
        <v>11</v>
      </c>
      <c r="B429" t="s">
        <v>235</v>
      </c>
      <c r="C429">
        <v>130</v>
      </c>
      <c r="D429" s="1">
        <v>9.2300000000000007E-2</v>
      </c>
      <c r="E429">
        <v>12</v>
      </c>
      <c r="F429">
        <v>2</v>
      </c>
      <c r="G429" s="2">
        <v>0.16670000000000001</v>
      </c>
      <c r="H429" s="3">
        <v>1.0900000000000001</v>
      </c>
      <c r="I429" s="3">
        <v>6.54</v>
      </c>
      <c r="J429" s="3">
        <v>13.08</v>
      </c>
    </row>
    <row r="430" spans="1:10" x14ac:dyDescent="0.3">
      <c r="A430" t="s">
        <v>376</v>
      </c>
      <c r="B430" t="s">
        <v>223</v>
      </c>
      <c r="C430">
        <v>130</v>
      </c>
      <c r="D430" s="1">
        <v>1.54E-2</v>
      </c>
      <c r="E430">
        <v>2</v>
      </c>
      <c r="F430">
        <v>0</v>
      </c>
      <c r="G430" s="2">
        <v>0</v>
      </c>
      <c r="H430" s="3">
        <v>0</v>
      </c>
      <c r="I430" s="3" t="s">
        <v>213</v>
      </c>
      <c r="J430" s="3">
        <v>0</v>
      </c>
    </row>
    <row r="431" spans="1:10" x14ac:dyDescent="0.3">
      <c r="A431" t="s">
        <v>383</v>
      </c>
      <c r="B431" t="s">
        <v>235</v>
      </c>
      <c r="C431">
        <v>130</v>
      </c>
      <c r="D431" s="1">
        <v>0.1</v>
      </c>
      <c r="E431">
        <v>13</v>
      </c>
      <c r="F431">
        <v>2</v>
      </c>
      <c r="G431" s="2">
        <v>0.15380000000000002</v>
      </c>
      <c r="H431" s="3">
        <v>1.51</v>
      </c>
      <c r="I431" s="3">
        <v>9.7899999999999991</v>
      </c>
      <c r="J431" s="3">
        <v>19.579999999999998</v>
      </c>
    </row>
    <row r="432" spans="1:10" x14ac:dyDescent="0.3">
      <c r="A432" t="s">
        <v>336</v>
      </c>
      <c r="B432" t="s">
        <v>221</v>
      </c>
      <c r="C432">
        <v>129</v>
      </c>
      <c r="D432" s="1">
        <v>7.7499999999999999E-2</v>
      </c>
      <c r="E432">
        <v>10</v>
      </c>
      <c r="F432">
        <v>1</v>
      </c>
      <c r="G432" s="2">
        <v>0.1</v>
      </c>
      <c r="H432" s="3">
        <v>1.5</v>
      </c>
      <c r="I432" s="3">
        <v>15.04</v>
      </c>
      <c r="J432" s="3">
        <v>15.04</v>
      </c>
    </row>
    <row r="433" spans="1:10" x14ac:dyDescent="0.3">
      <c r="A433" t="s">
        <v>428</v>
      </c>
      <c r="B433" t="s">
        <v>221</v>
      </c>
      <c r="C433">
        <v>129</v>
      </c>
      <c r="D433" s="1">
        <v>2.3300000000000001E-2</v>
      </c>
      <c r="E433">
        <v>3</v>
      </c>
      <c r="F433">
        <v>0</v>
      </c>
      <c r="G433" s="2">
        <v>0</v>
      </c>
      <c r="H433" s="3">
        <v>0</v>
      </c>
      <c r="I433" s="3" t="s">
        <v>213</v>
      </c>
      <c r="J433" s="3">
        <v>0</v>
      </c>
    </row>
    <row r="434" spans="1:10" x14ac:dyDescent="0.3">
      <c r="A434" t="s">
        <v>76</v>
      </c>
      <c r="B434" t="s">
        <v>239</v>
      </c>
      <c r="C434">
        <v>129</v>
      </c>
      <c r="D434" s="1">
        <v>3.1E-2</v>
      </c>
      <c r="E434">
        <v>4</v>
      </c>
      <c r="F434">
        <v>0</v>
      </c>
      <c r="G434" s="2">
        <v>0</v>
      </c>
      <c r="H434" s="3">
        <v>0</v>
      </c>
      <c r="I434" s="3" t="s">
        <v>213</v>
      </c>
      <c r="J434" s="3">
        <v>0</v>
      </c>
    </row>
    <row r="435" spans="1:10" x14ac:dyDescent="0.3">
      <c r="A435" t="s">
        <v>369</v>
      </c>
      <c r="B435" t="s">
        <v>313</v>
      </c>
      <c r="C435">
        <v>128</v>
      </c>
      <c r="D435" s="1">
        <v>4.6900000000000004E-2</v>
      </c>
      <c r="E435">
        <v>6</v>
      </c>
      <c r="F435">
        <v>1</v>
      </c>
      <c r="G435" s="2">
        <v>0.16670000000000001</v>
      </c>
      <c r="H435" s="3">
        <v>2.15</v>
      </c>
      <c r="I435" s="3">
        <v>12.91</v>
      </c>
      <c r="J435" s="3">
        <v>12.91</v>
      </c>
    </row>
    <row r="436" spans="1:10" x14ac:dyDescent="0.3">
      <c r="A436" t="s">
        <v>170</v>
      </c>
      <c r="B436" t="s">
        <v>244</v>
      </c>
      <c r="C436">
        <v>128</v>
      </c>
      <c r="D436" s="1">
        <v>5.4699999999999999E-2</v>
      </c>
      <c r="E436">
        <v>7</v>
      </c>
      <c r="F436">
        <v>1</v>
      </c>
      <c r="G436" s="2">
        <v>0.1429</v>
      </c>
      <c r="H436" s="3">
        <v>0.28999999999999998</v>
      </c>
      <c r="I436" s="3">
        <v>2.06</v>
      </c>
      <c r="J436" s="3">
        <v>2.06</v>
      </c>
    </row>
    <row r="437" spans="1:10" x14ac:dyDescent="0.3">
      <c r="A437" t="s">
        <v>343</v>
      </c>
      <c r="B437" t="s">
        <v>215</v>
      </c>
      <c r="C437">
        <v>127</v>
      </c>
      <c r="D437" s="1">
        <v>5.5099999999999996E-2</v>
      </c>
      <c r="E437">
        <v>7</v>
      </c>
      <c r="F437">
        <v>1</v>
      </c>
      <c r="G437" s="2">
        <v>0.1429</v>
      </c>
      <c r="H437" s="3">
        <v>0.9</v>
      </c>
      <c r="I437" s="3">
        <v>6.3</v>
      </c>
      <c r="J437" s="3">
        <v>6.3</v>
      </c>
    </row>
    <row r="438" spans="1:10" x14ac:dyDescent="0.3">
      <c r="A438" t="s">
        <v>393</v>
      </c>
      <c r="B438" t="s">
        <v>239</v>
      </c>
      <c r="C438">
        <v>127</v>
      </c>
      <c r="D438" s="1">
        <v>7.8700000000000006E-2</v>
      </c>
      <c r="E438">
        <v>10</v>
      </c>
      <c r="F438">
        <v>1</v>
      </c>
      <c r="G438" s="2">
        <v>0.1</v>
      </c>
      <c r="H438" s="3">
        <v>0.44</v>
      </c>
      <c r="I438" s="3">
        <v>4.38</v>
      </c>
      <c r="J438" s="3">
        <v>4.38</v>
      </c>
    </row>
    <row r="439" spans="1:10" x14ac:dyDescent="0.3">
      <c r="A439" t="s">
        <v>375</v>
      </c>
      <c r="B439" t="s">
        <v>221</v>
      </c>
      <c r="C439">
        <v>126</v>
      </c>
      <c r="D439" s="1">
        <v>2.3799999999999998E-2</v>
      </c>
      <c r="E439">
        <v>3</v>
      </c>
      <c r="F439">
        <v>0</v>
      </c>
      <c r="G439" s="2">
        <v>0</v>
      </c>
      <c r="H439" s="3">
        <v>0</v>
      </c>
      <c r="I439" s="3" t="s">
        <v>213</v>
      </c>
      <c r="J439" s="3">
        <v>0</v>
      </c>
    </row>
    <row r="440" spans="1:10" x14ac:dyDescent="0.3">
      <c r="A440" t="s">
        <v>369</v>
      </c>
      <c r="B440" t="s">
        <v>316</v>
      </c>
      <c r="C440">
        <v>125</v>
      </c>
      <c r="D440" s="1">
        <v>5.5999999999999994E-2</v>
      </c>
      <c r="E440">
        <v>7</v>
      </c>
      <c r="F440">
        <v>1</v>
      </c>
      <c r="G440" s="2">
        <v>0.1429</v>
      </c>
      <c r="H440" s="3">
        <v>1.5</v>
      </c>
      <c r="I440" s="3">
        <v>10.52</v>
      </c>
      <c r="J440" s="3">
        <v>10.52</v>
      </c>
    </row>
    <row r="441" spans="1:10" x14ac:dyDescent="0.3">
      <c r="A441" t="s">
        <v>164</v>
      </c>
      <c r="B441" t="s">
        <v>238</v>
      </c>
      <c r="C441">
        <v>125</v>
      </c>
      <c r="D441" s="1">
        <v>7.2000000000000008E-2</v>
      </c>
      <c r="E441">
        <v>9</v>
      </c>
      <c r="F441">
        <v>0</v>
      </c>
      <c r="G441" s="2">
        <v>0</v>
      </c>
      <c r="H441" s="3">
        <v>0</v>
      </c>
      <c r="I441" s="3" t="s">
        <v>213</v>
      </c>
      <c r="J441" s="3">
        <v>0</v>
      </c>
    </row>
    <row r="442" spans="1:10" x14ac:dyDescent="0.3">
      <c r="A442" t="s">
        <v>21</v>
      </c>
      <c r="B442" t="s">
        <v>315</v>
      </c>
      <c r="C442">
        <v>124</v>
      </c>
      <c r="D442" s="1">
        <v>0.121</v>
      </c>
      <c r="E442">
        <v>15</v>
      </c>
      <c r="F442">
        <v>1</v>
      </c>
      <c r="G442" s="2">
        <v>6.6699999999999995E-2</v>
      </c>
      <c r="H442" s="3">
        <v>0.64</v>
      </c>
      <c r="I442" s="3">
        <v>9.5500000000000007</v>
      </c>
      <c r="J442" s="3">
        <v>9.5500000000000007</v>
      </c>
    </row>
    <row r="443" spans="1:10" x14ac:dyDescent="0.3">
      <c r="A443" t="s">
        <v>67</v>
      </c>
      <c r="B443" t="s">
        <v>223</v>
      </c>
      <c r="C443">
        <v>124</v>
      </c>
      <c r="D443" s="1">
        <v>5.6500000000000002E-2</v>
      </c>
      <c r="E443">
        <v>7</v>
      </c>
      <c r="F443">
        <v>1</v>
      </c>
      <c r="G443" s="2">
        <v>0.1429</v>
      </c>
      <c r="H443" s="3">
        <v>0.95</v>
      </c>
      <c r="I443" s="3">
        <v>6.67</v>
      </c>
      <c r="J443" s="3">
        <v>6.67</v>
      </c>
    </row>
    <row r="444" spans="1:10" x14ac:dyDescent="0.3">
      <c r="A444" t="s">
        <v>72</v>
      </c>
      <c r="B444" t="s">
        <v>248</v>
      </c>
      <c r="C444">
        <v>123</v>
      </c>
      <c r="D444" s="1">
        <v>0.13819999999999999</v>
      </c>
      <c r="E444">
        <v>17</v>
      </c>
      <c r="F444">
        <v>2</v>
      </c>
      <c r="G444" s="2">
        <v>0.1176</v>
      </c>
      <c r="H444" s="3">
        <v>0.28000000000000003</v>
      </c>
      <c r="I444" s="3">
        <v>2.34</v>
      </c>
      <c r="J444" s="3">
        <v>4.68</v>
      </c>
    </row>
    <row r="445" spans="1:10" x14ac:dyDescent="0.3">
      <c r="A445" t="s">
        <v>302</v>
      </c>
      <c r="B445" t="s">
        <v>221</v>
      </c>
      <c r="C445">
        <v>123</v>
      </c>
      <c r="D445" s="1">
        <v>4.07E-2</v>
      </c>
      <c r="E445">
        <v>5</v>
      </c>
      <c r="F445">
        <v>0</v>
      </c>
      <c r="G445" s="2">
        <v>0</v>
      </c>
      <c r="H445" s="3">
        <v>0</v>
      </c>
      <c r="I445" s="3" t="s">
        <v>213</v>
      </c>
      <c r="J445" s="3">
        <v>0</v>
      </c>
    </row>
    <row r="446" spans="1:10" x14ac:dyDescent="0.3">
      <c r="A446" t="s">
        <v>75</v>
      </c>
      <c r="B446" t="s">
        <v>259</v>
      </c>
      <c r="C446">
        <v>123</v>
      </c>
      <c r="D446" s="1">
        <v>0.13819999999999999</v>
      </c>
      <c r="E446">
        <v>17</v>
      </c>
      <c r="F446">
        <v>0</v>
      </c>
      <c r="G446" s="2">
        <v>0</v>
      </c>
      <c r="H446" s="3">
        <v>0</v>
      </c>
      <c r="I446" s="3" t="s">
        <v>213</v>
      </c>
      <c r="J446" s="3">
        <v>0</v>
      </c>
    </row>
    <row r="447" spans="1:10" x14ac:dyDescent="0.3">
      <c r="A447" t="s">
        <v>480</v>
      </c>
      <c r="B447" t="s">
        <v>282</v>
      </c>
      <c r="C447">
        <v>123</v>
      </c>
      <c r="D447" s="1">
        <v>4.07E-2</v>
      </c>
      <c r="E447">
        <v>5</v>
      </c>
      <c r="F447">
        <v>1</v>
      </c>
      <c r="G447" s="2">
        <v>0.2</v>
      </c>
      <c r="H447" s="3">
        <v>2.16</v>
      </c>
      <c r="I447" s="3">
        <v>10.78</v>
      </c>
      <c r="J447" s="3">
        <v>10.78</v>
      </c>
    </row>
    <row r="448" spans="1:10" x14ac:dyDescent="0.3">
      <c r="A448" t="s">
        <v>216</v>
      </c>
      <c r="B448" t="s">
        <v>217</v>
      </c>
      <c r="C448">
        <v>122</v>
      </c>
      <c r="D448" s="1">
        <v>6.5599999999999992E-2</v>
      </c>
      <c r="E448">
        <v>8</v>
      </c>
      <c r="F448">
        <v>1</v>
      </c>
      <c r="G448" s="2">
        <v>0.125</v>
      </c>
      <c r="H448" s="3">
        <v>0.35</v>
      </c>
      <c r="I448" s="3">
        <v>2.81</v>
      </c>
      <c r="J448" s="3">
        <v>2.81</v>
      </c>
    </row>
    <row r="449" spans="1:10" x14ac:dyDescent="0.3">
      <c r="A449" t="s">
        <v>383</v>
      </c>
      <c r="B449" t="s">
        <v>372</v>
      </c>
      <c r="C449">
        <v>122</v>
      </c>
      <c r="D449" s="1">
        <v>7.3800000000000004E-2</v>
      </c>
      <c r="E449">
        <v>9</v>
      </c>
      <c r="F449">
        <v>1</v>
      </c>
      <c r="G449" s="2">
        <v>0.11109999999999999</v>
      </c>
      <c r="H449" s="3">
        <v>0.38</v>
      </c>
      <c r="I449" s="3">
        <v>3.45</v>
      </c>
      <c r="J449" s="3">
        <v>3.45</v>
      </c>
    </row>
    <row r="450" spans="1:10" x14ac:dyDescent="0.3">
      <c r="A450" t="s">
        <v>76</v>
      </c>
      <c r="B450" t="s">
        <v>286</v>
      </c>
      <c r="C450">
        <v>122</v>
      </c>
      <c r="D450" s="1">
        <v>4.0999999999999995E-2</v>
      </c>
      <c r="E450">
        <v>5</v>
      </c>
      <c r="F450">
        <v>0</v>
      </c>
      <c r="G450" s="2">
        <v>0</v>
      </c>
      <c r="H450" s="3">
        <v>0</v>
      </c>
      <c r="I450" s="3" t="s">
        <v>213</v>
      </c>
      <c r="J450" s="3">
        <v>0</v>
      </c>
    </row>
    <row r="451" spans="1:10" x14ac:dyDescent="0.3">
      <c r="A451" t="s">
        <v>11</v>
      </c>
      <c r="B451" t="s">
        <v>314</v>
      </c>
      <c r="C451">
        <v>121</v>
      </c>
      <c r="D451" s="1">
        <v>2.4799999999999999E-2</v>
      </c>
      <c r="E451">
        <v>3</v>
      </c>
      <c r="F451">
        <v>0</v>
      </c>
      <c r="G451" s="2">
        <v>0</v>
      </c>
      <c r="H451" s="3">
        <v>0</v>
      </c>
      <c r="I451" s="3" t="s">
        <v>213</v>
      </c>
      <c r="J451" s="3">
        <v>0</v>
      </c>
    </row>
    <row r="452" spans="1:10" x14ac:dyDescent="0.3">
      <c r="A452" t="s">
        <v>292</v>
      </c>
      <c r="B452" t="s">
        <v>215</v>
      </c>
      <c r="C452">
        <v>120</v>
      </c>
      <c r="D452" s="1">
        <v>9.1700000000000004E-2</v>
      </c>
      <c r="E452">
        <v>11</v>
      </c>
      <c r="F452">
        <v>1</v>
      </c>
      <c r="G452" s="2">
        <v>9.0899999999999995E-2</v>
      </c>
      <c r="H452" s="3">
        <v>1.19</v>
      </c>
      <c r="I452" s="3">
        <v>13.07</v>
      </c>
      <c r="J452" s="3">
        <v>13.07</v>
      </c>
    </row>
    <row r="453" spans="1:10" x14ac:dyDescent="0.3">
      <c r="A453" t="s">
        <v>472</v>
      </c>
      <c r="B453" t="s">
        <v>315</v>
      </c>
      <c r="C453">
        <v>120</v>
      </c>
      <c r="D453" s="1">
        <v>6.6699999999999995E-2</v>
      </c>
      <c r="E453">
        <v>8</v>
      </c>
      <c r="F453">
        <v>0</v>
      </c>
      <c r="G453" s="2">
        <v>0</v>
      </c>
      <c r="H453" s="3">
        <v>0</v>
      </c>
      <c r="I453" s="3" t="s">
        <v>213</v>
      </c>
      <c r="J453" s="3">
        <v>0</v>
      </c>
    </row>
    <row r="454" spans="1:10" x14ac:dyDescent="0.3">
      <c r="A454" t="s">
        <v>327</v>
      </c>
      <c r="B454" t="s">
        <v>215</v>
      </c>
      <c r="C454">
        <v>119</v>
      </c>
      <c r="D454" s="1">
        <v>0.1008</v>
      </c>
      <c r="E454">
        <v>12</v>
      </c>
      <c r="F454">
        <v>1</v>
      </c>
      <c r="G454" s="2">
        <v>8.3299999999999999E-2</v>
      </c>
      <c r="H454" s="3">
        <v>0.56000000000000005</v>
      </c>
      <c r="I454" s="3">
        <v>6.68</v>
      </c>
      <c r="J454" s="3">
        <v>6.68</v>
      </c>
    </row>
    <row r="455" spans="1:10" x14ac:dyDescent="0.3">
      <c r="A455" t="s">
        <v>406</v>
      </c>
      <c r="B455" t="s">
        <v>223</v>
      </c>
      <c r="C455">
        <v>119</v>
      </c>
      <c r="D455" s="1">
        <v>6.7199999999999996E-2</v>
      </c>
      <c r="E455">
        <v>8</v>
      </c>
      <c r="F455">
        <v>0</v>
      </c>
      <c r="G455" s="2">
        <v>0</v>
      </c>
      <c r="H455" s="3">
        <v>0</v>
      </c>
      <c r="I455" s="3" t="s">
        <v>213</v>
      </c>
      <c r="J455" s="3">
        <v>0</v>
      </c>
    </row>
    <row r="456" spans="1:10" x14ac:dyDescent="0.3">
      <c r="A456" t="s">
        <v>16</v>
      </c>
      <c r="B456" t="s">
        <v>233</v>
      </c>
      <c r="C456">
        <v>118</v>
      </c>
      <c r="D456" s="1">
        <v>0.17800000000000002</v>
      </c>
      <c r="E456">
        <v>21</v>
      </c>
      <c r="F456">
        <v>2</v>
      </c>
      <c r="G456" s="2">
        <v>9.5199999999999993E-2</v>
      </c>
      <c r="H456" s="3">
        <v>0.48</v>
      </c>
      <c r="I456" s="3">
        <v>5.09</v>
      </c>
      <c r="J456" s="3">
        <v>10.17</v>
      </c>
    </row>
    <row r="457" spans="1:10" x14ac:dyDescent="0.3">
      <c r="A457" t="s">
        <v>383</v>
      </c>
      <c r="B457" t="s">
        <v>372</v>
      </c>
      <c r="C457">
        <v>118</v>
      </c>
      <c r="D457" s="1">
        <v>5.9299999999999999E-2</v>
      </c>
      <c r="E457">
        <v>7</v>
      </c>
      <c r="F457">
        <v>1</v>
      </c>
      <c r="G457" s="2">
        <v>0.1429</v>
      </c>
      <c r="H457" s="3">
        <v>1.48</v>
      </c>
      <c r="I457" s="3">
        <v>10.38</v>
      </c>
      <c r="J457" s="3">
        <v>10.38</v>
      </c>
    </row>
    <row r="458" spans="1:10" x14ac:dyDescent="0.3">
      <c r="A458" t="s">
        <v>409</v>
      </c>
      <c r="B458" t="s">
        <v>221</v>
      </c>
      <c r="C458">
        <v>118</v>
      </c>
      <c r="D458" s="1">
        <v>8.5000000000000006E-3</v>
      </c>
      <c r="E458">
        <v>1</v>
      </c>
      <c r="F458">
        <v>0</v>
      </c>
      <c r="G458" s="2">
        <v>0</v>
      </c>
      <c r="H458" s="3">
        <v>0</v>
      </c>
      <c r="I458" s="3" t="s">
        <v>213</v>
      </c>
      <c r="J458" s="3">
        <v>0</v>
      </c>
    </row>
    <row r="459" spans="1:10" x14ac:dyDescent="0.3">
      <c r="A459" t="s">
        <v>419</v>
      </c>
      <c r="B459" t="s">
        <v>218</v>
      </c>
      <c r="C459">
        <v>118</v>
      </c>
      <c r="D459" s="1">
        <v>0.1186</v>
      </c>
      <c r="E459">
        <v>14</v>
      </c>
      <c r="F459">
        <v>1</v>
      </c>
      <c r="G459" s="2">
        <v>7.1399999999999991E-2</v>
      </c>
      <c r="H459" s="3">
        <v>0.88</v>
      </c>
      <c r="I459" s="3">
        <v>12.28</v>
      </c>
      <c r="J459" s="3">
        <v>12.28</v>
      </c>
    </row>
    <row r="460" spans="1:10" x14ac:dyDescent="0.3">
      <c r="A460" t="s">
        <v>11</v>
      </c>
      <c r="B460" t="s">
        <v>286</v>
      </c>
      <c r="C460">
        <v>117</v>
      </c>
      <c r="D460" s="1">
        <v>3.4200000000000001E-2</v>
      </c>
      <c r="E460">
        <v>4</v>
      </c>
      <c r="F460">
        <v>0</v>
      </c>
      <c r="G460" s="2">
        <v>0</v>
      </c>
      <c r="H460" s="3">
        <v>0</v>
      </c>
      <c r="I460" s="3" t="s">
        <v>213</v>
      </c>
      <c r="J460" s="3">
        <v>0</v>
      </c>
    </row>
    <row r="461" spans="1:10" x14ac:dyDescent="0.3">
      <c r="A461" t="s">
        <v>388</v>
      </c>
      <c r="B461" t="s">
        <v>261</v>
      </c>
      <c r="C461">
        <v>117</v>
      </c>
      <c r="D461" s="1">
        <v>5.1299999999999998E-2</v>
      </c>
      <c r="E461">
        <v>6</v>
      </c>
      <c r="F461">
        <v>0</v>
      </c>
      <c r="G461" s="2">
        <v>0</v>
      </c>
      <c r="H461" s="3">
        <v>0</v>
      </c>
      <c r="I461" s="3" t="s">
        <v>213</v>
      </c>
      <c r="J461" s="3">
        <v>0</v>
      </c>
    </row>
    <row r="462" spans="1:10" x14ac:dyDescent="0.3">
      <c r="A462" t="s">
        <v>89</v>
      </c>
      <c r="B462" t="s">
        <v>276</v>
      </c>
      <c r="C462">
        <v>116</v>
      </c>
      <c r="D462" s="1">
        <v>0.1293</v>
      </c>
      <c r="E462">
        <v>15</v>
      </c>
      <c r="F462">
        <v>0</v>
      </c>
      <c r="G462" s="2">
        <v>0</v>
      </c>
      <c r="H462" s="3">
        <v>0</v>
      </c>
      <c r="I462" s="3" t="s">
        <v>213</v>
      </c>
      <c r="J462" s="3">
        <v>0</v>
      </c>
    </row>
    <row r="463" spans="1:10" x14ac:dyDescent="0.3">
      <c r="A463" t="s">
        <v>299</v>
      </c>
      <c r="B463" t="s">
        <v>215</v>
      </c>
      <c r="C463">
        <v>115</v>
      </c>
      <c r="D463" s="1">
        <v>6.0899999999999996E-2</v>
      </c>
      <c r="E463">
        <v>7</v>
      </c>
      <c r="F463">
        <v>0</v>
      </c>
      <c r="G463" s="2">
        <v>0</v>
      </c>
      <c r="H463" s="3">
        <v>0</v>
      </c>
      <c r="I463" s="3" t="s">
        <v>213</v>
      </c>
      <c r="J463" s="3">
        <v>0</v>
      </c>
    </row>
    <row r="464" spans="1:10" x14ac:dyDescent="0.3">
      <c r="A464" t="s">
        <v>383</v>
      </c>
      <c r="B464" t="s">
        <v>316</v>
      </c>
      <c r="C464">
        <v>115</v>
      </c>
      <c r="D464" s="1">
        <v>4.3499999999999997E-2</v>
      </c>
      <c r="E464">
        <v>5</v>
      </c>
      <c r="F464">
        <v>1</v>
      </c>
      <c r="G464" s="2">
        <v>0.2</v>
      </c>
      <c r="H464" s="3">
        <v>2.57</v>
      </c>
      <c r="I464" s="3">
        <v>12.83</v>
      </c>
      <c r="J464" s="3">
        <v>12.83</v>
      </c>
    </row>
    <row r="465" spans="1:10" x14ac:dyDescent="0.3">
      <c r="A465" t="s">
        <v>383</v>
      </c>
      <c r="B465" t="s">
        <v>289</v>
      </c>
      <c r="C465">
        <v>115</v>
      </c>
      <c r="D465" s="1">
        <v>5.2199999999999996E-2</v>
      </c>
      <c r="E465">
        <v>6</v>
      </c>
      <c r="F465">
        <v>0</v>
      </c>
      <c r="G465" s="2">
        <v>0</v>
      </c>
      <c r="H465" s="3">
        <v>0</v>
      </c>
      <c r="I465" s="3" t="s">
        <v>213</v>
      </c>
      <c r="J465" s="3">
        <v>0</v>
      </c>
    </row>
    <row r="466" spans="1:10" x14ac:dyDescent="0.3">
      <c r="A466" t="s">
        <v>406</v>
      </c>
      <c r="B466" t="s">
        <v>215</v>
      </c>
      <c r="C466">
        <v>115</v>
      </c>
      <c r="D466" s="1">
        <v>6.9599999999999995E-2</v>
      </c>
      <c r="E466">
        <v>8</v>
      </c>
      <c r="F466">
        <v>1</v>
      </c>
      <c r="G466" s="2">
        <v>0.125</v>
      </c>
      <c r="H466" s="3">
        <v>0.83</v>
      </c>
      <c r="I466" s="3">
        <v>6.6</v>
      </c>
      <c r="J466" s="3">
        <v>6.6</v>
      </c>
    </row>
    <row r="467" spans="1:10" x14ac:dyDescent="0.3">
      <c r="A467" t="s">
        <v>389</v>
      </c>
      <c r="B467" t="s">
        <v>239</v>
      </c>
      <c r="C467">
        <v>114</v>
      </c>
      <c r="D467" s="1">
        <v>6.1399999999999996E-2</v>
      </c>
      <c r="E467">
        <v>7</v>
      </c>
      <c r="F467">
        <v>0</v>
      </c>
      <c r="G467" s="2">
        <v>0</v>
      </c>
      <c r="H467" s="3">
        <v>0</v>
      </c>
      <c r="I467" s="3" t="s">
        <v>213</v>
      </c>
      <c r="J467" s="3">
        <v>0</v>
      </c>
    </row>
    <row r="468" spans="1:10" x14ac:dyDescent="0.3">
      <c r="A468" t="s">
        <v>418</v>
      </c>
      <c r="B468" t="s">
        <v>212</v>
      </c>
      <c r="C468">
        <v>114</v>
      </c>
      <c r="D468" s="1">
        <v>7.0199999999999999E-2</v>
      </c>
      <c r="E468">
        <v>8</v>
      </c>
      <c r="F468">
        <v>1</v>
      </c>
      <c r="G468" s="2">
        <v>0.125</v>
      </c>
      <c r="H468" s="3">
        <v>0.43</v>
      </c>
      <c r="I468" s="3">
        <v>3.47</v>
      </c>
      <c r="J468" s="3">
        <v>3.47</v>
      </c>
    </row>
    <row r="469" spans="1:10" x14ac:dyDescent="0.3">
      <c r="A469" t="s">
        <v>76</v>
      </c>
      <c r="B469" t="s">
        <v>316</v>
      </c>
      <c r="C469">
        <v>114</v>
      </c>
      <c r="D469" s="1">
        <v>3.5099999999999999E-2</v>
      </c>
      <c r="E469">
        <v>4</v>
      </c>
      <c r="F469">
        <v>0</v>
      </c>
      <c r="G469" s="2">
        <v>0</v>
      </c>
      <c r="H469" s="3">
        <v>0</v>
      </c>
      <c r="I469" s="3" t="s">
        <v>213</v>
      </c>
      <c r="J469" s="3">
        <v>0</v>
      </c>
    </row>
    <row r="470" spans="1:10" x14ac:dyDescent="0.3">
      <c r="A470" t="s">
        <v>401</v>
      </c>
      <c r="B470" t="s">
        <v>242</v>
      </c>
      <c r="C470">
        <v>113</v>
      </c>
      <c r="D470" s="1">
        <v>0</v>
      </c>
      <c r="E470">
        <v>0</v>
      </c>
      <c r="F470">
        <v>0</v>
      </c>
      <c r="G470" s="2" t="e">
        <v>#VALUE!</v>
      </c>
      <c r="H470" s="3" t="s">
        <v>213</v>
      </c>
      <c r="I470" s="3" t="s">
        <v>213</v>
      </c>
      <c r="J470" s="3">
        <v>0</v>
      </c>
    </row>
    <row r="471" spans="1:10" x14ac:dyDescent="0.3">
      <c r="A471" t="s">
        <v>102</v>
      </c>
      <c r="B471" t="s">
        <v>218</v>
      </c>
      <c r="C471">
        <v>112</v>
      </c>
      <c r="D471" s="1">
        <v>0.1429</v>
      </c>
      <c r="E471">
        <v>16</v>
      </c>
      <c r="F471">
        <v>1</v>
      </c>
      <c r="G471" s="2">
        <v>6.25E-2</v>
      </c>
      <c r="H471" s="3">
        <v>0</v>
      </c>
      <c r="I471" s="3">
        <v>0</v>
      </c>
      <c r="J471" s="3">
        <v>0</v>
      </c>
    </row>
    <row r="472" spans="1:10" x14ac:dyDescent="0.3">
      <c r="A472" t="s">
        <v>336</v>
      </c>
      <c r="B472" t="s">
        <v>221</v>
      </c>
      <c r="C472">
        <v>112</v>
      </c>
      <c r="D472" s="1">
        <v>7.1399999999999991E-2</v>
      </c>
      <c r="E472">
        <v>8</v>
      </c>
      <c r="F472">
        <v>1</v>
      </c>
      <c r="G472" s="2">
        <v>0.125</v>
      </c>
      <c r="H472" s="3">
        <v>1.48</v>
      </c>
      <c r="I472" s="3">
        <v>11.81</v>
      </c>
      <c r="J472" s="3">
        <v>11.81</v>
      </c>
    </row>
    <row r="473" spans="1:10" x14ac:dyDescent="0.3">
      <c r="A473" t="s">
        <v>80</v>
      </c>
      <c r="B473" t="s">
        <v>223</v>
      </c>
      <c r="C473">
        <v>112</v>
      </c>
      <c r="D473" s="1">
        <v>7.1399999999999991E-2</v>
      </c>
      <c r="E473">
        <v>8</v>
      </c>
      <c r="F473">
        <v>0</v>
      </c>
      <c r="G473" s="2">
        <v>0</v>
      </c>
      <c r="H473" s="3">
        <v>0</v>
      </c>
      <c r="I473" s="3" t="s">
        <v>213</v>
      </c>
      <c r="J473" s="3">
        <v>0</v>
      </c>
    </row>
    <row r="474" spans="1:10" x14ac:dyDescent="0.3">
      <c r="A474" t="s">
        <v>334</v>
      </c>
      <c r="B474" t="s">
        <v>221</v>
      </c>
      <c r="C474">
        <v>111</v>
      </c>
      <c r="D474" s="1">
        <v>4.4999999999999998E-2</v>
      </c>
      <c r="E474">
        <v>5</v>
      </c>
      <c r="F474">
        <v>0</v>
      </c>
      <c r="G474" s="2">
        <v>0</v>
      </c>
      <c r="H474" s="3">
        <v>0</v>
      </c>
      <c r="I474" s="3" t="s">
        <v>213</v>
      </c>
      <c r="J474" s="3">
        <v>0</v>
      </c>
    </row>
    <row r="475" spans="1:10" x14ac:dyDescent="0.3">
      <c r="A475" t="s">
        <v>472</v>
      </c>
      <c r="B475" t="s">
        <v>239</v>
      </c>
      <c r="C475">
        <v>111</v>
      </c>
      <c r="D475" s="1">
        <v>3.6000000000000004E-2</v>
      </c>
      <c r="E475">
        <v>4</v>
      </c>
      <c r="F475">
        <v>0</v>
      </c>
      <c r="G475" s="2">
        <v>0</v>
      </c>
      <c r="H475" s="3">
        <v>0</v>
      </c>
      <c r="I475" s="3" t="s">
        <v>213</v>
      </c>
      <c r="J475" s="3">
        <v>0</v>
      </c>
    </row>
    <row r="476" spans="1:10" x14ac:dyDescent="0.3">
      <c r="A476" t="s">
        <v>480</v>
      </c>
      <c r="B476" t="s">
        <v>231</v>
      </c>
      <c r="C476">
        <v>111</v>
      </c>
      <c r="D476" s="1">
        <v>0.11710000000000001</v>
      </c>
      <c r="E476">
        <v>13</v>
      </c>
      <c r="F476">
        <v>0</v>
      </c>
      <c r="G476" s="2">
        <v>0</v>
      </c>
      <c r="H476" s="3">
        <v>0</v>
      </c>
      <c r="I476" s="3" t="s">
        <v>213</v>
      </c>
      <c r="J476" s="3">
        <v>0</v>
      </c>
    </row>
    <row r="477" spans="1:10" x14ac:dyDescent="0.3">
      <c r="A477" t="s">
        <v>240</v>
      </c>
      <c r="B477" t="s">
        <v>221</v>
      </c>
      <c r="C477">
        <v>110</v>
      </c>
      <c r="D477" s="1">
        <v>9.0899999999999995E-2</v>
      </c>
      <c r="E477">
        <v>10</v>
      </c>
      <c r="F477">
        <v>3</v>
      </c>
      <c r="G477" s="2">
        <v>0.3</v>
      </c>
      <c r="H477" s="3">
        <v>3.62</v>
      </c>
      <c r="I477" s="3">
        <v>12.07</v>
      </c>
      <c r="J477" s="3">
        <v>36.22</v>
      </c>
    </row>
    <row r="478" spans="1:10" x14ac:dyDescent="0.3">
      <c r="A478" t="s">
        <v>302</v>
      </c>
      <c r="B478" t="s">
        <v>221</v>
      </c>
      <c r="C478">
        <v>110</v>
      </c>
      <c r="D478" s="1">
        <v>6.3600000000000004E-2</v>
      </c>
      <c r="E478">
        <v>7</v>
      </c>
      <c r="F478">
        <v>1</v>
      </c>
      <c r="G478" s="2">
        <v>0.1429</v>
      </c>
      <c r="H478" s="3">
        <v>3.01</v>
      </c>
      <c r="I478" s="3">
        <v>21.08</v>
      </c>
      <c r="J478" s="3">
        <v>21.08</v>
      </c>
    </row>
    <row r="479" spans="1:10" x14ac:dyDescent="0.3">
      <c r="A479" t="s">
        <v>373</v>
      </c>
      <c r="B479" t="s">
        <v>221</v>
      </c>
      <c r="C479">
        <v>110</v>
      </c>
      <c r="D479" s="1">
        <v>4.5499999999999999E-2</v>
      </c>
      <c r="E479">
        <v>5</v>
      </c>
      <c r="F479">
        <v>0</v>
      </c>
      <c r="G479" s="2">
        <v>0</v>
      </c>
      <c r="H479" s="3">
        <v>0</v>
      </c>
      <c r="I479" s="3" t="s">
        <v>213</v>
      </c>
      <c r="J479" s="3">
        <v>0</v>
      </c>
    </row>
    <row r="480" spans="1:10" x14ac:dyDescent="0.3">
      <c r="A480" t="s">
        <v>409</v>
      </c>
      <c r="B480" t="s">
        <v>221</v>
      </c>
      <c r="C480">
        <v>110</v>
      </c>
      <c r="D480" s="1">
        <v>4.5499999999999999E-2</v>
      </c>
      <c r="E480">
        <v>5</v>
      </c>
      <c r="F480">
        <v>0</v>
      </c>
      <c r="G480" s="2">
        <v>0</v>
      </c>
      <c r="H480" s="3">
        <v>0</v>
      </c>
      <c r="I480" s="3" t="s">
        <v>213</v>
      </c>
      <c r="J480" s="3">
        <v>0</v>
      </c>
    </row>
    <row r="481" spans="1:10" x14ac:dyDescent="0.3">
      <c r="A481" t="s">
        <v>425</v>
      </c>
      <c r="B481" t="s">
        <v>272</v>
      </c>
      <c r="C481">
        <v>110</v>
      </c>
      <c r="D481" s="1">
        <v>4.5499999999999999E-2</v>
      </c>
      <c r="E481">
        <v>5</v>
      </c>
      <c r="F481">
        <v>0</v>
      </c>
      <c r="G481" s="2">
        <v>0</v>
      </c>
      <c r="H481" s="3">
        <v>0</v>
      </c>
      <c r="I481" s="3" t="s">
        <v>213</v>
      </c>
      <c r="J481" s="3">
        <v>0</v>
      </c>
    </row>
    <row r="482" spans="1:10" x14ac:dyDescent="0.3">
      <c r="A482" t="s">
        <v>19</v>
      </c>
      <c r="B482" t="s">
        <v>322</v>
      </c>
      <c r="C482">
        <v>110</v>
      </c>
      <c r="D482" s="1">
        <v>0.20910000000000001</v>
      </c>
      <c r="E482">
        <v>23</v>
      </c>
      <c r="F482">
        <v>1</v>
      </c>
      <c r="G482" s="2">
        <v>4.3499999999999997E-2</v>
      </c>
      <c r="H482" s="3">
        <v>7.0000000000000007E-2</v>
      </c>
      <c r="I482" s="3">
        <v>1.7</v>
      </c>
      <c r="J482" s="3">
        <v>1.7</v>
      </c>
    </row>
    <row r="483" spans="1:10" x14ac:dyDescent="0.3">
      <c r="A483" t="s">
        <v>11</v>
      </c>
      <c r="B483" t="s">
        <v>313</v>
      </c>
      <c r="C483">
        <v>109</v>
      </c>
      <c r="D483" s="1">
        <v>8.2599999999999993E-2</v>
      </c>
      <c r="E483">
        <v>9</v>
      </c>
      <c r="F483">
        <v>2</v>
      </c>
      <c r="G483" s="2">
        <v>0.22219999999999998</v>
      </c>
      <c r="H483" s="3">
        <v>1.96</v>
      </c>
      <c r="I483" s="3">
        <v>8.84</v>
      </c>
      <c r="J483" s="3">
        <v>17.670000000000002</v>
      </c>
    </row>
    <row r="484" spans="1:10" x14ac:dyDescent="0.3">
      <c r="A484" t="s">
        <v>299</v>
      </c>
      <c r="B484" t="s">
        <v>223</v>
      </c>
      <c r="C484">
        <v>108</v>
      </c>
      <c r="D484" s="1">
        <v>5.5599999999999997E-2</v>
      </c>
      <c r="E484">
        <v>6</v>
      </c>
      <c r="F484">
        <v>0</v>
      </c>
      <c r="G484" s="2">
        <v>0</v>
      </c>
      <c r="H484" s="3">
        <v>0</v>
      </c>
      <c r="I484" s="3" t="s">
        <v>213</v>
      </c>
      <c r="J484" s="3">
        <v>0</v>
      </c>
    </row>
    <row r="485" spans="1:10" x14ac:dyDescent="0.3">
      <c r="A485" t="s">
        <v>11</v>
      </c>
      <c r="B485" t="s">
        <v>313</v>
      </c>
      <c r="C485">
        <v>108</v>
      </c>
      <c r="D485" s="1">
        <v>8.3299999999999999E-2</v>
      </c>
      <c r="E485">
        <v>9</v>
      </c>
      <c r="F485">
        <v>0</v>
      </c>
      <c r="G485" s="2">
        <v>0</v>
      </c>
      <c r="H485" s="3">
        <v>0</v>
      </c>
      <c r="I485" s="3" t="s">
        <v>213</v>
      </c>
      <c r="J485" s="3">
        <v>0</v>
      </c>
    </row>
    <row r="486" spans="1:10" x14ac:dyDescent="0.3">
      <c r="A486" t="s">
        <v>335</v>
      </c>
      <c r="B486" t="s">
        <v>221</v>
      </c>
      <c r="C486">
        <v>108</v>
      </c>
      <c r="D486" s="1">
        <v>2.7799999999999998E-2</v>
      </c>
      <c r="E486">
        <v>3</v>
      </c>
      <c r="F486">
        <v>0</v>
      </c>
      <c r="G486" s="2">
        <v>0</v>
      </c>
      <c r="H486" s="3">
        <v>0</v>
      </c>
      <c r="I486" s="3" t="s">
        <v>213</v>
      </c>
      <c r="J486" s="3">
        <v>0</v>
      </c>
    </row>
    <row r="487" spans="1:10" x14ac:dyDescent="0.3">
      <c r="A487" t="s">
        <v>369</v>
      </c>
      <c r="B487" t="s">
        <v>227</v>
      </c>
      <c r="C487">
        <v>107</v>
      </c>
      <c r="D487" s="1">
        <v>2.7999999999999997E-2</v>
      </c>
      <c r="E487">
        <v>3</v>
      </c>
      <c r="F487">
        <v>0</v>
      </c>
      <c r="G487" s="2">
        <v>0</v>
      </c>
      <c r="H487" s="3">
        <v>0</v>
      </c>
      <c r="I487" s="3" t="s">
        <v>213</v>
      </c>
      <c r="J487" s="3">
        <v>0</v>
      </c>
    </row>
    <row r="488" spans="1:10" x14ac:dyDescent="0.3">
      <c r="A488" t="s">
        <v>389</v>
      </c>
      <c r="B488" t="s">
        <v>235</v>
      </c>
      <c r="C488">
        <v>107</v>
      </c>
      <c r="D488" s="1">
        <v>5.6100000000000004E-2</v>
      </c>
      <c r="E488">
        <v>6</v>
      </c>
      <c r="F488">
        <v>0</v>
      </c>
      <c r="G488" s="2">
        <v>0</v>
      </c>
      <c r="H488" s="3">
        <v>0</v>
      </c>
      <c r="I488" s="3" t="s">
        <v>213</v>
      </c>
      <c r="J488" s="3">
        <v>0</v>
      </c>
    </row>
    <row r="489" spans="1:10" x14ac:dyDescent="0.3">
      <c r="A489" t="s">
        <v>16</v>
      </c>
      <c r="B489" t="s">
        <v>232</v>
      </c>
      <c r="C489">
        <v>106</v>
      </c>
      <c r="D489" s="1">
        <v>0.11320000000000001</v>
      </c>
      <c r="E489">
        <v>12</v>
      </c>
      <c r="F489">
        <v>1</v>
      </c>
      <c r="G489" s="2">
        <v>8.3299999999999999E-2</v>
      </c>
      <c r="H489" s="3">
        <v>1.22</v>
      </c>
      <c r="I489" s="3">
        <v>14.67</v>
      </c>
      <c r="J489" s="3">
        <v>14.67</v>
      </c>
    </row>
    <row r="490" spans="1:10" x14ac:dyDescent="0.3">
      <c r="A490" t="s">
        <v>378</v>
      </c>
      <c r="B490" t="s">
        <v>212</v>
      </c>
      <c r="C490">
        <v>106</v>
      </c>
      <c r="D490" s="1">
        <v>0.11320000000000001</v>
      </c>
      <c r="E490">
        <v>12</v>
      </c>
      <c r="F490">
        <v>1</v>
      </c>
      <c r="G490" s="2">
        <v>8.3299999999999999E-2</v>
      </c>
      <c r="H490" s="3">
        <v>0.27</v>
      </c>
      <c r="I490" s="3">
        <v>3.27</v>
      </c>
      <c r="J490" s="3">
        <v>3.27</v>
      </c>
    </row>
    <row r="491" spans="1:10" x14ac:dyDescent="0.3">
      <c r="A491" t="s">
        <v>419</v>
      </c>
      <c r="B491" t="s">
        <v>248</v>
      </c>
      <c r="C491">
        <v>106</v>
      </c>
      <c r="D491" s="1">
        <v>0.1226</v>
      </c>
      <c r="E491">
        <v>13</v>
      </c>
      <c r="F491">
        <v>2</v>
      </c>
      <c r="G491" s="2">
        <v>0.15380000000000002</v>
      </c>
      <c r="H491" s="3">
        <v>1.2</v>
      </c>
      <c r="I491" s="3">
        <v>7.79</v>
      </c>
      <c r="J491" s="3">
        <v>15.58</v>
      </c>
    </row>
    <row r="492" spans="1:10" x14ac:dyDescent="0.3">
      <c r="A492" t="s">
        <v>470</v>
      </c>
      <c r="B492" t="s">
        <v>217</v>
      </c>
      <c r="C492">
        <v>106</v>
      </c>
      <c r="D492" s="1">
        <v>6.6000000000000003E-2</v>
      </c>
      <c r="E492">
        <v>7</v>
      </c>
      <c r="F492">
        <v>1</v>
      </c>
      <c r="G492" s="2">
        <v>0.1429</v>
      </c>
      <c r="H492" s="3">
        <v>1.43</v>
      </c>
      <c r="I492" s="3">
        <v>10.02</v>
      </c>
      <c r="J492" s="3">
        <v>10.02</v>
      </c>
    </row>
    <row r="493" spans="1:10" x14ac:dyDescent="0.3">
      <c r="A493" t="s">
        <v>389</v>
      </c>
      <c r="B493" t="s">
        <v>314</v>
      </c>
      <c r="C493">
        <v>105</v>
      </c>
      <c r="D493" s="1">
        <v>6.6699999999999995E-2</v>
      </c>
      <c r="E493">
        <v>7</v>
      </c>
      <c r="F493">
        <v>0</v>
      </c>
      <c r="G493" s="2">
        <v>0</v>
      </c>
      <c r="H493" s="3">
        <v>0</v>
      </c>
      <c r="I493" s="3" t="s">
        <v>213</v>
      </c>
      <c r="J493" s="3">
        <v>0</v>
      </c>
    </row>
    <row r="494" spans="1:10" x14ac:dyDescent="0.3">
      <c r="A494" t="s">
        <v>76</v>
      </c>
      <c r="B494" t="s">
        <v>317</v>
      </c>
      <c r="C494">
        <v>105</v>
      </c>
      <c r="D494" s="1">
        <v>5.7099999999999998E-2</v>
      </c>
      <c r="E494">
        <v>6</v>
      </c>
      <c r="F494">
        <v>2</v>
      </c>
      <c r="G494" s="2">
        <v>0.33329999999999999</v>
      </c>
      <c r="H494" s="3">
        <v>2.8</v>
      </c>
      <c r="I494" s="3">
        <v>8.4</v>
      </c>
      <c r="J494" s="3">
        <v>16.8</v>
      </c>
    </row>
    <row r="495" spans="1:10" x14ac:dyDescent="0.3">
      <c r="A495" t="s">
        <v>76</v>
      </c>
      <c r="B495" t="s">
        <v>288</v>
      </c>
      <c r="C495">
        <v>105</v>
      </c>
      <c r="D495" s="1">
        <v>5.7099999999999998E-2</v>
      </c>
      <c r="E495">
        <v>6</v>
      </c>
      <c r="F495">
        <v>0</v>
      </c>
      <c r="G495" s="2">
        <v>0</v>
      </c>
      <c r="H495" s="3">
        <v>0</v>
      </c>
      <c r="I495" s="3" t="s">
        <v>213</v>
      </c>
      <c r="J495" s="3">
        <v>0</v>
      </c>
    </row>
    <row r="496" spans="1:10" x14ac:dyDescent="0.3">
      <c r="A496" t="s">
        <v>472</v>
      </c>
      <c r="B496" t="s">
        <v>316</v>
      </c>
      <c r="C496">
        <v>105</v>
      </c>
      <c r="D496" s="1">
        <v>6.6699999999999995E-2</v>
      </c>
      <c r="E496">
        <v>7</v>
      </c>
      <c r="F496">
        <v>0</v>
      </c>
      <c r="G496" s="2">
        <v>0</v>
      </c>
      <c r="H496" s="3">
        <v>0</v>
      </c>
      <c r="I496" s="3" t="s">
        <v>213</v>
      </c>
      <c r="J496" s="3">
        <v>0</v>
      </c>
    </row>
    <row r="497" spans="1:10" x14ac:dyDescent="0.3">
      <c r="A497" t="s">
        <v>349</v>
      </c>
      <c r="B497" t="s">
        <v>215</v>
      </c>
      <c r="C497">
        <v>104</v>
      </c>
      <c r="D497" s="1">
        <v>2.8799999999999999E-2</v>
      </c>
      <c r="E497">
        <v>3</v>
      </c>
      <c r="F497">
        <v>1</v>
      </c>
      <c r="G497" s="2">
        <v>0.33329999999999999</v>
      </c>
      <c r="H497" s="3">
        <v>2.13</v>
      </c>
      <c r="I497" s="3">
        <v>6.38</v>
      </c>
      <c r="J497" s="3">
        <v>6.38</v>
      </c>
    </row>
    <row r="498" spans="1:10" x14ac:dyDescent="0.3">
      <c r="A498" t="s">
        <v>382</v>
      </c>
      <c r="B498" t="s">
        <v>223</v>
      </c>
      <c r="C498">
        <v>104</v>
      </c>
      <c r="D498" s="1">
        <v>3.85E-2</v>
      </c>
      <c r="E498">
        <v>4</v>
      </c>
      <c r="F498">
        <v>0</v>
      </c>
      <c r="G498" s="2">
        <v>0</v>
      </c>
      <c r="H498" s="3">
        <v>0</v>
      </c>
      <c r="I498" s="3" t="s">
        <v>213</v>
      </c>
      <c r="J498" s="3">
        <v>0</v>
      </c>
    </row>
    <row r="499" spans="1:10" x14ac:dyDescent="0.3">
      <c r="A499" t="s">
        <v>430</v>
      </c>
      <c r="B499" t="s">
        <v>235</v>
      </c>
      <c r="C499">
        <v>104</v>
      </c>
      <c r="D499" s="1">
        <v>1.9199999999999998E-2</v>
      </c>
      <c r="E499">
        <v>2</v>
      </c>
      <c r="F499">
        <v>0</v>
      </c>
      <c r="G499" s="2">
        <v>0</v>
      </c>
      <c r="H499" s="3">
        <v>0</v>
      </c>
      <c r="I499" s="3" t="s">
        <v>213</v>
      </c>
      <c r="J499" s="3">
        <v>0</v>
      </c>
    </row>
    <row r="500" spans="1:10" x14ac:dyDescent="0.3">
      <c r="A500" t="s">
        <v>469</v>
      </c>
      <c r="B500" t="s">
        <v>223</v>
      </c>
      <c r="C500">
        <v>104</v>
      </c>
      <c r="D500" s="1">
        <v>9.6199999999999994E-2</v>
      </c>
      <c r="E500">
        <v>10</v>
      </c>
      <c r="F500">
        <v>1</v>
      </c>
      <c r="G500" s="2">
        <v>0.1</v>
      </c>
      <c r="H500" s="3">
        <v>0.39</v>
      </c>
      <c r="I500" s="3">
        <v>3.93</v>
      </c>
      <c r="J500" s="3">
        <v>3.93</v>
      </c>
    </row>
    <row r="501" spans="1:10" x14ac:dyDescent="0.3">
      <c r="A501" t="s">
        <v>19</v>
      </c>
      <c r="B501" t="s">
        <v>215</v>
      </c>
      <c r="C501">
        <v>103</v>
      </c>
      <c r="D501" s="1">
        <v>6.8000000000000005E-2</v>
      </c>
      <c r="E501">
        <v>7</v>
      </c>
      <c r="F501">
        <v>3</v>
      </c>
      <c r="G501" s="2">
        <v>0.42859999999999998</v>
      </c>
      <c r="H501" s="3">
        <v>2.59</v>
      </c>
      <c r="I501" s="3">
        <v>6.03</v>
      </c>
      <c r="J501" s="3">
        <v>18.100000000000001</v>
      </c>
    </row>
    <row r="502" spans="1:10" x14ac:dyDescent="0.3">
      <c r="A502" t="s">
        <v>240</v>
      </c>
      <c r="B502" t="s">
        <v>221</v>
      </c>
      <c r="C502">
        <v>102</v>
      </c>
      <c r="D502" s="1">
        <v>0.1176</v>
      </c>
      <c r="E502">
        <v>12</v>
      </c>
      <c r="F502">
        <v>3</v>
      </c>
      <c r="G502" s="2">
        <v>0.25</v>
      </c>
      <c r="H502" s="3">
        <v>3.87</v>
      </c>
      <c r="I502" s="3">
        <v>15.48</v>
      </c>
      <c r="J502" s="3">
        <v>46.44</v>
      </c>
    </row>
    <row r="503" spans="1:10" x14ac:dyDescent="0.3">
      <c r="A503" t="s">
        <v>76</v>
      </c>
      <c r="B503" t="s">
        <v>314</v>
      </c>
      <c r="C503">
        <v>102</v>
      </c>
      <c r="D503" s="1">
        <v>5.8799999999999998E-2</v>
      </c>
      <c r="E503">
        <v>6</v>
      </c>
      <c r="F503">
        <v>0</v>
      </c>
      <c r="G503" s="2">
        <v>0</v>
      </c>
      <c r="H503" s="3">
        <v>0</v>
      </c>
      <c r="I503" s="3" t="s">
        <v>213</v>
      </c>
      <c r="J503" s="3">
        <v>0</v>
      </c>
    </row>
    <row r="504" spans="1:10" x14ac:dyDescent="0.3">
      <c r="A504" t="s">
        <v>11</v>
      </c>
      <c r="B504" t="s">
        <v>276</v>
      </c>
      <c r="C504">
        <v>101</v>
      </c>
      <c r="D504" s="1">
        <v>4.9500000000000002E-2</v>
      </c>
      <c r="E504">
        <v>5</v>
      </c>
      <c r="F504">
        <v>2</v>
      </c>
      <c r="G504" s="2">
        <v>0.4</v>
      </c>
      <c r="H504" s="3">
        <v>6.17</v>
      </c>
      <c r="I504" s="3">
        <v>15.43</v>
      </c>
      <c r="J504" s="3">
        <v>30.85</v>
      </c>
    </row>
    <row r="505" spans="1:10" x14ac:dyDescent="0.3">
      <c r="A505" t="s">
        <v>92</v>
      </c>
      <c r="B505" t="s">
        <v>242</v>
      </c>
      <c r="C505">
        <v>101</v>
      </c>
      <c r="D505" s="1">
        <v>0.1386</v>
      </c>
      <c r="E505">
        <v>14</v>
      </c>
      <c r="F505">
        <v>2</v>
      </c>
      <c r="G505" s="2">
        <v>0.1429</v>
      </c>
      <c r="H505" s="3">
        <v>0.28000000000000003</v>
      </c>
      <c r="I505" s="3">
        <v>1.96</v>
      </c>
      <c r="J505" s="3">
        <v>3.92</v>
      </c>
    </row>
    <row r="506" spans="1:10" x14ac:dyDescent="0.3">
      <c r="A506" t="s">
        <v>388</v>
      </c>
      <c r="B506" t="s">
        <v>261</v>
      </c>
      <c r="C506">
        <v>101</v>
      </c>
      <c r="D506" s="1">
        <v>4.9500000000000002E-2</v>
      </c>
      <c r="E506">
        <v>5</v>
      </c>
      <c r="F506">
        <v>2</v>
      </c>
      <c r="G506" s="2">
        <v>0.4</v>
      </c>
      <c r="H506" s="3">
        <v>1.56</v>
      </c>
      <c r="I506" s="3">
        <v>3.9</v>
      </c>
      <c r="J506" s="3">
        <v>7.8</v>
      </c>
    </row>
    <row r="507" spans="1:10" x14ac:dyDescent="0.3">
      <c r="A507" t="s">
        <v>398</v>
      </c>
      <c r="B507" t="s">
        <v>272</v>
      </c>
      <c r="C507">
        <v>101</v>
      </c>
      <c r="D507" s="1">
        <v>6.93E-2</v>
      </c>
      <c r="E507">
        <v>7</v>
      </c>
      <c r="F507">
        <v>0</v>
      </c>
      <c r="G507" s="2">
        <v>0</v>
      </c>
      <c r="H507" s="3">
        <v>0</v>
      </c>
      <c r="I507" s="3" t="s">
        <v>213</v>
      </c>
      <c r="J507" s="3">
        <v>0</v>
      </c>
    </row>
    <row r="508" spans="1:10" x14ac:dyDescent="0.3">
      <c r="A508" t="s">
        <v>472</v>
      </c>
      <c r="B508" t="s">
        <v>313</v>
      </c>
      <c r="C508">
        <v>101</v>
      </c>
      <c r="D508" s="1">
        <v>5.9400000000000001E-2</v>
      </c>
      <c r="E508">
        <v>6</v>
      </c>
      <c r="F508">
        <v>1</v>
      </c>
      <c r="G508" s="2">
        <v>0.16670000000000001</v>
      </c>
      <c r="H508" s="3">
        <v>1.64</v>
      </c>
      <c r="I508" s="3">
        <v>9.83</v>
      </c>
      <c r="J508" s="3">
        <v>9.83</v>
      </c>
    </row>
    <row r="509" spans="1:10" x14ac:dyDescent="0.3">
      <c r="A509" t="s">
        <v>76</v>
      </c>
      <c r="B509" t="s">
        <v>455</v>
      </c>
      <c r="C509">
        <v>100</v>
      </c>
      <c r="D509" s="1">
        <v>0.04</v>
      </c>
      <c r="E509">
        <v>4</v>
      </c>
      <c r="F509">
        <v>1</v>
      </c>
      <c r="G509" s="2">
        <v>0.25</v>
      </c>
      <c r="H509" s="3">
        <v>0.74</v>
      </c>
      <c r="I509" s="3">
        <v>2.95</v>
      </c>
      <c r="J509" s="3">
        <v>2.95</v>
      </c>
    </row>
    <row r="510" spans="1:10" x14ac:dyDescent="0.3">
      <c r="A510" t="s">
        <v>480</v>
      </c>
      <c r="B510" t="s">
        <v>286</v>
      </c>
      <c r="C510">
        <v>100</v>
      </c>
      <c r="D510" s="1">
        <v>0.14000000000000001</v>
      </c>
      <c r="E510">
        <v>14</v>
      </c>
      <c r="F510">
        <v>0</v>
      </c>
      <c r="G510" s="2">
        <v>0</v>
      </c>
      <c r="H510" s="3">
        <v>0</v>
      </c>
      <c r="I510" s="3" t="s">
        <v>213</v>
      </c>
      <c r="J510" s="3">
        <v>0</v>
      </c>
    </row>
    <row r="511" spans="1:10" x14ac:dyDescent="0.3">
      <c r="A511" t="s">
        <v>363</v>
      </c>
      <c r="B511" t="s">
        <v>365</v>
      </c>
      <c r="C511">
        <v>99</v>
      </c>
      <c r="D511" s="1">
        <v>3.0299999999999997E-2</v>
      </c>
      <c r="E511">
        <v>3</v>
      </c>
      <c r="F511">
        <v>0</v>
      </c>
      <c r="G511" s="2">
        <v>0</v>
      </c>
      <c r="H511" s="3">
        <v>0</v>
      </c>
      <c r="I511" s="3" t="s">
        <v>213</v>
      </c>
      <c r="J511" s="3">
        <v>0</v>
      </c>
    </row>
    <row r="512" spans="1:10" x14ac:dyDescent="0.3">
      <c r="A512" t="s">
        <v>383</v>
      </c>
      <c r="B512" t="s">
        <v>316</v>
      </c>
      <c r="C512">
        <v>99</v>
      </c>
      <c r="D512" s="1">
        <v>8.0799999999999997E-2</v>
      </c>
      <c r="E512">
        <v>8</v>
      </c>
      <c r="F512">
        <v>1</v>
      </c>
      <c r="G512" s="2">
        <v>0.125</v>
      </c>
      <c r="H512" s="3">
        <v>1.19</v>
      </c>
      <c r="I512" s="3">
        <v>9.48</v>
      </c>
      <c r="J512" s="3">
        <v>9.48</v>
      </c>
    </row>
    <row r="513" spans="1:10" x14ac:dyDescent="0.3">
      <c r="A513" t="s">
        <v>8</v>
      </c>
      <c r="B513" t="s">
        <v>221</v>
      </c>
      <c r="C513">
        <v>99</v>
      </c>
      <c r="D513" s="1">
        <v>4.0399999999999998E-2</v>
      </c>
      <c r="E513">
        <v>4</v>
      </c>
      <c r="F513">
        <v>0</v>
      </c>
      <c r="G513" s="2">
        <v>0</v>
      </c>
      <c r="H513" s="3">
        <v>0</v>
      </c>
      <c r="I513" s="3" t="s">
        <v>213</v>
      </c>
      <c r="J513" s="3">
        <v>0</v>
      </c>
    </row>
    <row r="514" spans="1:10" x14ac:dyDescent="0.3">
      <c r="A514" t="s">
        <v>11</v>
      </c>
      <c r="B514" t="s">
        <v>286</v>
      </c>
      <c r="C514">
        <v>98</v>
      </c>
      <c r="D514" s="1">
        <v>0.10199999999999999</v>
      </c>
      <c r="E514">
        <v>10</v>
      </c>
      <c r="F514">
        <v>0</v>
      </c>
      <c r="G514" s="2">
        <v>0</v>
      </c>
      <c r="H514" s="3">
        <v>0</v>
      </c>
      <c r="I514" s="3" t="s">
        <v>213</v>
      </c>
      <c r="J514" s="3">
        <v>0</v>
      </c>
    </row>
    <row r="515" spans="1:10" x14ac:dyDescent="0.3">
      <c r="A515" t="s">
        <v>326</v>
      </c>
      <c r="B515" t="s">
        <v>215</v>
      </c>
      <c r="C515">
        <v>98</v>
      </c>
      <c r="D515" s="1">
        <v>4.0800000000000003E-2</v>
      </c>
      <c r="E515">
        <v>4</v>
      </c>
      <c r="F515">
        <v>0</v>
      </c>
      <c r="G515" s="2">
        <v>0</v>
      </c>
      <c r="H515" s="3">
        <v>0</v>
      </c>
      <c r="I515" s="3" t="s">
        <v>213</v>
      </c>
      <c r="J515" s="3">
        <v>0</v>
      </c>
    </row>
    <row r="516" spans="1:10" x14ac:dyDescent="0.3">
      <c r="A516" t="s">
        <v>11</v>
      </c>
      <c r="B516" t="s">
        <v>212</v>
      </c>
      <c r="C516">
        <v>97</v>
      </c>
      <c r="D516" s="1">
        <v>0.1134</v>
      </c>
      <c r="E516">
        <v>11</v>
      </c>
      <c r="F516">
        <v>0</v>
      </c>
      <c r="G516" s="2">
        <v>0</v>
      </c>
      <c r="H516" s="3">
        <v>0</v>
      </c>
      <c r="I516" s="3" t="s">
        <v>213</v>
      </c>
      <c r="J516" s="3">
        <v>0</v>
      </c>
    </row>
    <row r="517" spans="1:10" x14ac:dyDescent="0.3">
      <c r="A517" t="s">
        <v>448</v>
      </c>
      <c r="B517" t="s">
        <v>227</v>
      </c>
      <c r="C517">
        <v>97</v>
      </c>
      <c r="D517" s="1">
        <v>0.10310000000000001</v>
      </c>
      <c r="E517">
        <v>10</v>
      </c>
      <c r="F517">
        <v>0</v>
      </c>
      <c r="G517" s="2">
        <v>0</v>
      </c>
      <c r="H517" s="3">
        <v>0</v>
      </c>
      <c r="I517" s="3" t="s">
        <v>213</v>
      </c>
      <c r="J517" s="3">
        <v>0</v>
      </c>
    </row>
    <row r="518" spans="1:10" x14ac:dyDescent="0.3">
      <c r="A518" t="s">
        <v>375</v>
      </c>
      <c r="B518" t="s">
        <v>223</v>
      </c>
      <c r="C518">
        <v>96</v>
      </c>
      <c r="D518" s="1">
        <v>4.1700000000000001E-2</v>
      </c>
      <c r="E518">
        <v>4</v>
      </c>
      <c r="F518">
        <v>0</v>
      </c>
      <c r="G518" s="2">
        <v>0</v>
      </c>
      <c r="H518" s="3">
        <v>0</v>
      </c>
      <c r="I518" s="3" t="s">
        <v>213</v>
      </c>
      <c r="J518" s="3">
        <v>0</v>
      </c>
    </row>
    <row r="519" spans="1:10" x14ac:dyDescent="0.3">
      <c r="A519" t="s">
        <v>377</v>
      </c>
      <c r="B519" t="s">
        <v>215</v>
      </c>
      <c r="C519">
        <v>96</v>
      </c>
      <c r="D519" s="1">
        <v>0.11460000000000001</v>
      </c>
      <c r="E519">
        <v>11</v>
      </c>
      <c r="F519">
        <v>3</v>
      </c>
      <c r="G519" s="2">
        <v>0.2727</v>
      </c>
      <c r="H519" s="3">
        <v>1.35</v>
      </c>
      <c r="I519" s="3">
        <v>4.9400000000000004</v>
      </c>
      <c r="J519" s="3">
        <v>14.81</v>
      </c>
    </row>
    <row r="520" spans="1:10" x14ac:dyDescent="0.3">
      <c r="A520" t="s">
        <v>408</v>
      </c>
      <c r="B520" t="s">
        <v>217</v>
      </c>
      <c r="C520">
        <v>96</v>
      </c>
      <c r="D520" s="1">
        <v>1.04E-2</v>
      </c>
      <c r="E520">
        <v>1</v>
      </c>
      <c r="F520">
        <v>0</v>
      </c>
      <c r="G520" s="2">
        <v>0</v>
      </c>
      <c r="H520" s="3">
        <v>0</v>
      </c>
      <c r="I520" s="3" t="s">
        <v>213</v>
      </c>
      <c r="J520" s="3">
        <v>0</v>
      </c>
    </row>
    <row r="521" spans="1:10" x14ac:dyDescent="0.3">
      <c r="A521" t="s">
        <v>76</v>
      </c>
      <c r="B521" t="s">
        <v>225</v>
      </c>
      <c r="C521">
        <v>96</v>
      </c>
      <c r="D521" s="1">
        <v>4.1700000000000001E-2</v>
      </c>
      <c r="E521">
        <v>4</v>
      </c>
      <c r="F521">
        <v>1</v>
      </c>
      <c r="G521" s="2">
        <v>0.25</v>
      </c>
      <c r="H521" s="3">
        <v>4.99</v>
      </c>
      <c r="I521" s="3">
        <v>19.96</v>
      </c>
      <c r="J521" s="3">
        <v>19.96</v>
      </c>
    </row>
    <row r="522" spans="1:10" x14ac:dyDescent="0.3">
      <c r="A522" t="s">
        <v>471</v>
      </c>
      <c r="B522" t="s">
        <v>217</v>
      </c>
      <c r="C522">
        <v>96</v>
      </c>
      <c r="D522" s="1">
        <v>7.2900000000000006E-2</v>
      </c>
      <c r="E522">
        <v>7</v>
      </c>
      <c r="F522">
        <v>0</v>
      </c>
      <c r="G522" s="2">
        <v>0</v>
      </c>
      <c r="H522" s="3">
        <v>0</v>
      </c>
      <c r="I522" s="3" t="s">
        <v>213</v>
      </c>
      <c r="J522" s="3">
        <v>0</v>
      </c>
    </row>
    <row r="523" spans="1:10" x14ac:dyDescent="0.3">
      <c r="A523" t="s">
        <v>70</v>
      </c>
      <c r="B523" t="s">
        <v>227</v>
      </c>
      <c r="C523">
        <v>95</v>
      </c>
      <c r="D523" s="1">
        <v>2.1099999999999997E-2</v>
      </c>
      <c r="E523">
        <v>2</v>
      </c>
      <c r="F523">
        <v>0</v>
      </c>
      <c r="G523" s="2">
        <v>0</v>
      </c>
      <c r="H523" s="3">
        <v>0</v>
      </c>
      <c r="I523" s="3" t="s">
        <v>213</v>
      </c>
      <c r="J523" s="3">
        <v>0</v>
      </c>
    </row>
    <row r="524" spans="1:10" x14ac:dyDescent="0.3">
      <c r="A524" t="s">
        <v>21</v>
      </c>
      <c r="B524" t="s">
        <v>235</v>
      </c>
      <c r="C524">
        <v>95</v>
      </c>
      <c r="D524" s="1">
        <v>0.10529999999999999</v>
      </c>
      <c r="E524">
        <v>10</v>
      </c>
      <c r="F524">
        <v>2</v>
      </c>
      <c r="G524" s="2">
        <v>0.2</v>
      </c>
      <c r="H524" s="3">
        <v>1.54</v>
      </c>
      <c r="I524" s="3">
        <v>7.69</v>
      </c>
      <c r="J524" s="3">
        <v>15.38</v>
      </c>
    </row>
    <row r="525" spans="1:10" x14ac:dyDescent="0.3">
      <c r="A525" t="s">
        <v>448</v>
      </c>
      <c r="B525" t="s">
        <v>227</v>
      </c>
      <c r="C525">
        <v>95</v>
      </c>
      <c r="D525" s="1">
        <v>0.1368</v>
      </c>
      <c r="E525">
        <v>13</v>
      </c>
      <c r="F525">
        <v>0</v>
      </c>
      <c r="G525" s="2">
        <v>0</v>
      </c>
      <c r="H525" s="3">
        <v>0</v>
      </c>
      <c r="I525" s="3" t="s">
        <v>213</v>
      </c>
      <c r="J525" s="3">
        <v>0</v>
      </c>
    </row>
    <row r="526" spans="1:10" x14ac:dyDescent="0.3">
      <c r="A526" t="s">
        <v>305</v>
      </c>
      <c r="B526" t="s">
        <v>221</v>
      </c>
      <c r="C526">
        <v>94</v>
      </c>
      <c r="D526" s="1">
        <v>3.1899999999999998E-2</v>
      </c>
      <c r="E526">
        <v>3</v>
      </c>
      <c r="F526">
        <v>1</v>
      </c>
      <c r="G526" s="2">
        <v>0.33329999999999999</v>
      </c>
      <c r="H526" s="3">
        <v>0</v>
      </c>
      <c r="I526" s="3">
        <v>0</v>
      </c>
      <c r="J526" s="3">
        <v>0</v>
      </c>
    </row>
    <row r="527" spans="1:10" x14ac:dyDescent="0.3">
      <c r="A527" t="s">
        <v>409</v>
      </c>
      <c r="B527" t="s">
        <v>223</v>
      </c>
      <c r="C527">
        <v>94</v>
      </c>
      <c r="D527" s="1">
        <v>2.1299999999999999E-2</v>
      </c>
      <c r="E527">
        <v>2</v>
      </c>
      <c r="F527">
        <v>1</v>
      </c>
      <c r="G527" s="2">
        <v>0.5</v>
      </c>
      <c r="H527" s="3">
        <v>4.08</v>
      </c>
      <c r="I527" s="3">
        <v>8.15</v>
      </c>
      <c r="J527" s="3">
        <v>8.15</v>
      </c>
    </row>
    <row r="528" spans="1:10" x14ac:dyDescent="0.3">
      <c r="A528" t="s">
        <v>76</v>
      </c>
      <c r="B528" t="s">
        <v>315</v>
      </c>
      <c r="C528">
        <v>94</v>
      </c>
      <c r="D528" s="1">
        <v>5.3200000000000004E-2</v>
      </c>
      <c r="E528">
        <v>5</v>
      </c>
      <c r="F528">
        <v>1</v>
      </c>
      <c r="G528" s="2">
        <v>0.2</v>
      </c>
      <c r="H528" s="3">
        <v>1.94</v>
      </c>
      <c r="I528" s="3">
        <v>9.7100000000000009</v>
      </c>
      <c r="J528" s="3">
        <v>9.7100000000000009</v>
      </c>
    </row>
    <row r="529" spans="1:10" x14ac:dyDescent="0.3">
      <c r="A529" t="s">
        <v>19</v>
      </c>
      <c r="B529" t="s">
        <v>221</v>
      </c>
      <c r="C529">
        <v>94</v>
      </c>
      <c r="D529" s="1">
        <v>9.5700000000000007E-2</v>
      </c>
      <c r="E529">
        <v>9</v>
      </c>
      <c r="F529">
        <v>1</v>
      </c>
      <c r="G529" s="2">
        <v>0.11109999999999999</v>
      </c>
      <c r="H529" s="3">
        <v>0</v>
      </c>
      <c r="I529" s="3">
        <v>0</v>
      </c>
      <c r="J529" s="3">
        <v>0</v>
      </c>
    </row>
    <row r="530" spans="1:10" x14ac:dyDescent="0.3">
      <c r="A530" t="s">
        <v>369</v>
      </c>
      <c r="B530" t="s">
        <v>239</v>
      </c>
      <c r="C530">
        <v>93</v>
      </c>
      <c r="D530" s="1">
        <v>6.4500000000000002E-2</v>
      </c>
      <c r="E530">
        <v>6</v>
      </c>
      <c r="F530">
        <v>0</v>
      </c>
      <c r="G530" s="2">
        <v>0</v>
      </c>
      <c r="H530" s="3">
        <v>0</v>
      </c>
      <c r="I530" s="3" t="s">
        <v>213</v>
      </c>
      <c r="J530" s="3">
        <v>0</v>
      </c>
    </row>
    <row r="531" spans="1:10" x14ac:dyDescent="0.3">
      <c r="A531" t="s">
        <v>440</v>
      </c>
      <c r="B531" t="s">
        <v>441</v>
      </c>
      <c r="C531">
        <v>93</v>
      </c>
      <c r="D531" s="1">
        <v>0.1075</v>
      </c>
      <c r="E531">
        <v>10</v>
      </c>
      <c r="F531">
        <v>1</v>
      </c>
      <c r="G531" s="2">
        <v>0.1</v>
      </c>
      <c r="H531" s="3">
        <v>1.03</v>
      </c>
      <c r="I531" s="3">
        <v>10.32</v>
      </c>
      <c r="J531" s="3">
        <v>10.32</v>
      </c>
    </row>
    <row r="532" spans="1:10" x14ac:dyDescent="0.3">
      <c r="A532" t="s">
        <v>349</v>
      </c>
      <c r="B532" t="s">
        <v>223</v>
      </c>
      <c r="C532">
        <v>92</v>
      </c>
      <c r="D532" s="1">
        <v>6.5199999999999994E-2</v>
      </c>
      <c r="E532">
        <v>6</v>
      </c>
      <c r="F532">
        <v>0</v>
      </c>
      <c r="G532" s="2">
        <v>0</v>
      </c>
      <c r="H532" s="3">
        <v>0</v>
      </c>
      <c r="I532" s="3" t="s">
        <v>213</v>
      </c>
      <c r="J532" s="3">
        <v>0</v>
      </c>
    </row>
    <row r="533" spans="1:10" x14ac:dyDescent="0.3">
      <c r="A533" t="s">
        <v>68</v>
      </c>
      <c r="B533" t="s">
        <v>223</v>
      </c>
      <c r="C533">
        <v>92</v>
      </c>
      <c r="D533" s="1">
        <v>8.6999999999999994E-2</v>
      </c>
      <c r="E533">
        <v>8</v>
      </c>
      <c r="F533" t="e">
        <v>#VALUE!</v>
      </c>
      <c r="G533" s="2">
        <v>0</v>
      </c>
      <c r="H533" s="3">
        <v>5.22</v>
      </c>
      <c r="I533" s="3">
        <v>8.34</v>
      </c>
      <c r="J533" s="3">
        <v>41.72</v>
      </c>
    </row>
    <row r="534" spans="1:10" x14ac:dyDescent="0.3">
      <c r="A534" t="s">
        <v>344</v>
      </c>
      <c r="B534" t="s">
        <v>221</v>
      </c>
      <c r="C534">
        <v>91</v>
      </c>
      <c r="D534" s="1">
        <v>5.4900000000000004E-2</v>
      </c>
      <c r="E534">
        <v>5</v>
      </c>
      <c r="F534">
        <v>1</v>
      </c>
      <c r="G534" s="2">
        <v>0.2</v>
      </c>
      <c r="H534" s="3">
        <v>4.75</v>
      </c>
      <c r="I534" s="3">
        <v>23.74</v>
      </c>
      <c r="J534" s="3">
        <v>23.74</v>
      </c>
    </row>
    <row r="535" spans="1:10" x14ac:dyDescent="0.3">
      <c r="A535" t="s">
        <v>369</v>
      </c>
      <c r="B535" t="s">
        <v>371</v>
      </c>
      <c r="C535">
        <v>91</v>
      </c>
      <c r="D535" s="1">
        <v>3.3000000000000002E-2</v>
      </c>
      <c r="E535">
        <v>3</v>
      </c>
      <c r="F535">
        <v>0</v>
      </c>
      <c r="G535" s="2">
        <v>0</v>
      </c>
      <c r="H535" s="3">
        <v>0</v>
      </c>
      <c r="I535" s="3" t="s">
        <v>213</v>
      </c>
      <c r="J535" s="3">
        <v>0</v>
      </c>
    </row>
    <row r="536" spans="1:10" x14ac:dyDescent="0.3">
      <c r="A536" t="s">
        <v>267</v>
      </c>
      <c r="B536" t="s">
        <v>248</v>
      </c>
      <c r="C536">
        <v>90</v>
      </c>
      <c r="D536" s="1">
        <v>0.1</v>
      </c>
      <c r="E536">
        <v>9</v>
      </c>
      <c r="F536">
        <v>2</v>
      </c>
      <c r="G536" s="2">
        <v>0.22219999999999998</v>
      </c>
      <c r="H536" s="3">
        <v>1.01</v>
      </c>
      <c r="I536" s="3">
        <v>4.55</v>
      </c>
      <c r="J536" s="3">
        <v>9.09</v>
      </c>
    </row>
    <row r="537" spans="1:10" x14ac:dyDescent="0.3">
      <c r="A537" t="s">
        <v>298</v>
      </c>
      <c r="B537" t="s">
        <v>223</v>
      </c>
      <c r="C537">
        <v>90</v>
      </c>
      <c r="D537" s="1">
        <v>3.3300000000000003E-2</v>
      </c>
      <c r="E537">
        <v>3</v>
      </c>
      <c r="F537">
        <v>2</v>
      </c>
      <c r="G537" s="2">
        <v>0.66670000000000007</v>
      </c>
      <c r="H537" s="3">
        <v>13.64</v>
      </c>
      <c r="I537" s="3">
        <v>20.46</v>
      </c>
      <c r="J537" s="3">
        <v>40.92</v>
      </c>
    </row>
    <row r="538" spans="1:10" x14ac:dyDescent="0.3">
      <c r="A538" t="s">
        <v>52</v>
      </c>
      <c r="B538" t="s">
        <v>252</v>
      </c>
      <c r="C538">
        <v>90</v>
      </c>
      <c r="D538" s="1">
        <v>6.6699999999999995E-2</v>
      </c>
      <c r="E538">
        <v>6</v>
      </c>
      <c r="F538">
        <v>1</v>
      </c>
      <c r="G538" s="2">
        <v>0.16670000000000001</v>
      </c>
      <c r="H538" s="3">
        <v>2.0699999999999998</v>
      </c>
      <c r="I538" s="3">
        <v>12.43</v>
      </c>
      <c r="J538" s="3">
        <v>12.43</v>
      </c>
    </row>
    <row r="539" spans="1:10" x14ac:dyDescent="0.3">
      <c r="A539" t="s">
        <v>393</v>
      </c>
      <c r="B539" t="s">
        <v>315</v>
      </c>
      <c r="C539">
        <v>90</v>
      </c>
      <c r="D539" s="1">
        <v>4.4400000000000002E-2</v>
      </c>
      <c r="E539">
        <v>4</v>
      </c>
      <c r="F539">
        <v>1</v>
      </c>
      <c r="G539" s="2">
        <v>0.25</v>
      </c>
      <c r="H539" s="3">
        <v>2.0299999999999998</v>
      </c>
      <c r="I539" s="3">
        <v>8.1300000000000008</v>
      </c>
      <c r="J539" s="3">
        <v>8.1300000000000008</v>
      </c>
    </row>
    <row r="540" spans="1:10" x14ac:dyDescent="0.3">
      <c r="A540" t="s">
        <v>423</v>
      </c>
      <c r="B540" t="s">
        <v>215</v>
      </c>
      <c r="C540">
        <v>90</v>
      </c>
      <c r="D540" s="1">
        <v>6.6699999999999995E-2</v>
      </c>
      <c r="E540">
        <v>6</v>
      </c>
      <c r="F540">
        <v>0</v>
      </c>
      <c r="G540" s="2">
        <v>0</v>
      </c>
      <c r="H540" s="3">
        <v>0</v>
      </c>
      <c r="I540" s="3" t="s">
        <v>213</v>
      </c>
      <c r="J540" s="3">
        <v>0</v>
      </c>
    </row>
    <row r="541" spans="1:10" x14ac:dyDescent="0.3">
      <c r="A541" t="s">
        <v>423</v>
      </c>
      <c r="B541" t="s">
        <v>212</v>
      </c>
      <c r="C541">
        <v>90</v>
      </c>
      <c r="D541" s="1">
        <v>5.5599999999999997E-2</v>
      </c>
      <c r="E541">
        <v>5</v>
      </c>
      <c r="F541">
        <v>0</v>
      </c>
      <c r="G541" s="2">
        <v>0</v>
      </c>
      <c r="H541" s="3">
        <v>0</v>
      </c>
      <c r="I541" s="3" t="s">
        <v>213</v>
      </c>
      <c r="J541" s="3">
        <v>0</v>
      </c>
    </row>
    <row r="542" spans="1:10" x14ac:dyDescent="0.3">
      <c r="A542" t="s">
        <v>11</v>
      </c>
      <c r="B542" t="s">
        <v>226</v>
      </c>
      <c r="C542">
        <v>89</v>
      </c>
      <c r="D542" s="1">
        <v>7.8700000000000006E-2</v>
      </c>
      <c r="E542">
        <v>7</v>
      </c>
      <c r="F542">
        <v>0</v>
      </c>
      <c r="G542" s="2">
        <v>0</v>
      </c>
      <c r="H542" s="3">
        <v>0</v>
      </c>
      <c r="I542" s="3" t="s">
        <v>213</v>
      </c>
      <c r="J542" s="3">
        <v>0</v>
      </c>
    </row>
    <row r="543" spans="1:10" x14ac:dyDescent="0.3">
      <c r="A543" t="s">
        <v>76</v>
      </c>
      <c r="B543" t="s">
        <v>288</v>
      </c>
      <c r="C543">
        <v>89</v>
      </c>
      <c r="D543" s="1">
        <v>5.62E-2</v>
      </c>
      <c r="E543">
        <v>5</v>
      </c>
      <c r="F543">
        <v>0</v>
      </c>
      <c r="G543" s="2">
        <v>0</v>
      </c>
      <c r="H543" s="3">
        <v>0</v>
      </c>
      <c r="I543" s="3" t="s">
        <v>213</v>
      </c>
      <c r="J543" s="3">
        <v>0</v>
      </c>
    </row>
    <row r="544" spans="1:10" x14ac:dyDescent="0.3">
      <c r="A544" t="s">
        <v>472</v>
      </c>
      <c r="B544" t="s">
        <v>390</v>
      </c>
      <c r="C544">
        <v>89</v>
      </c>
      <c r="D544" s="1">
        <v>5.62E-2</v>
      </c>
      <c r="E544">
        <v>5</v>
      </c>
      <c r="F544">
        <v>0</v>
      </c>
      <c r="G544" s="2">
        <v>0</v>
      </c>
      <c r="H544" s="3">
        <v>0</v>
      </c>
      <c r="I544" s="3" t="s">
        <v>213</v>
      </c>
      <c r="J544" s="3">
        <v>0</v>
      </c>
    </row>
    <row r="545" spans="1:10" x14ac:dyDescent="0.3">
      <c r="A545" t="s">
        <v>472</v>
      </c>
      <c r="B545" t="s">
        <v>390</v>
      </c>
      <c r="C545">
        <v>89</v>
      </c>
      <c r="D545" s="1">
        <v>1.1200000000000002E-2</v>
      </c>
      <c r="E545">
        <v>1</v>
      </c>
      <c r="F545">
        <v>0</v>
      </c>
      <c r="G545" s="2">
        <v>0</v>
      </c>
      <c r="H545" s="3">
        <v>0</v>
      </c>
      <c r="I545" s="3" t="s">
        <v>213</v>
      </c>
      <c r="J545" s="3">
        <v>0</v>
      </c>
    </row>
    <row r="546" spans="1:10" x14ac:dyDescent="0.3">
      <c r="A546" t="s">
        <v>87</v>
      </c>
      <c r="B546" t="s">
        <v>252</v>
      </c>
      <c r="C546">
        <v>88</v>
      </c>
      <c r="D546" s="1">
        <v>7.9500000000000001E-2</v>
      </c>
      <c r="E546">
        <v>7</v>
      </c>
      <c r="F546">
        <v>0</v>
      </c>
      <c r="G546" s="2">
        <v>0</v>
      </c>
      <c r="H546" s="3">
        <v>0</v>
      </c>
      <c r="I546" s="3" t="s">
        <v>213</v>
      </c>
      <c r="J546" s="3">
        <v>0</v>
      </c>
    </row>
    <row r="547" spans="1:10" x14ac:dyDescent="0.3">
      <c r="A547" t="s">
        <v>348</v>
      </c>
      <c r="B547" t="s">
        <v>215</v>
      </c>
      <c r="C547">
        <v>88</v>
      </c>
      <c r="D547" s="1">
        <v>4.5499999999999999E-2</v>
      </c>
      <c r="E547">
        <v>4</v>
      </c>
      <c r="F547">
        <v>0</v>
      </c>
      <c r="G547" s="2">
        <v>0</v>
      </c>
      <c r="H547" s="3">
        <v>0</v>
      </c>
      <c r="I547" s="3" t="s">
        <v>213</v>
      </c>
      <c r="J547" s="3">
        <v>0</v>
      </c>
    </row>
    <row r="548" spans="1:10" x14ac:dyDescent="0.3">
      <c r="A548" t="s">
        <v>383</v>
      </c>
      <c r="B548" t="s">
        <v>256</v>
      </c>
      <c r="C548">
        <v>88</v>
      </c>
      <c r="D548" s="1">
        <v>4.5499999999999999E-2</v>
      </c>
      <c r="E548">
        <v>4</v>
      </c>
      <c r="F548">
        <v>1</v>
      </c>
      <c r="G548" s="2">
        <v>0.25</v>
      </c>
      <c r="H548" s="3">
        <v>2.64</v>
      </c>
      <c r="I548" s="3">
        <v>10.55</v>
      </c>
      <c r="J548" s="3">
        <v>10.55</v>
      </c>
    </row>
    <row r="549" spans="1:10" x14ac:dyDescent="0.3">
      <c r="A549" t="s">
        <v>422</v>
      </c>
      <c r="B549" t="s">
        <v>212</v>
      </c>
      <c r="C549">
        <v>88</v>
      </c>
      <c r="D549" s="1">
        <v>1.1399999999999999E-2</v>
      </c>
      <c r="E549">
        <v>1</v>
      </c>
      <c r="F549">
        <v>0</v>
      </c>
      <c r="G549" s="2">
        <v>0</v>
      </c>
      <c r="H549" s="3">
        <v>0</v>
      </c>
      <c r="I549" s="3" t="s">
        <v>213</v>
      </c>
      <c r="J549" s="3">
        <v>0</v>
      </c>
    </row>
    <row r="550" spans="1:10" x14ac:dyDescent="0.3">
      <c r="A550" t="s">
        <v>76</v>
      </c>
      <c r="B550" t="s">
        <v>312</v>
      </c>
      <c r="C550">
        <v>88</v>
      </c>
      <c r="D550" s="1">
        <v>7.9500000000000001E-2</v>
      </c>
      <c r="E550">
        <v>7</v>
      </c>
      <c r="F550">
        <v>1</v>
      </c>
      <c r="G550" s="2">
        <v>0.1429</v>
      </c>
      <c r="H550" s="3">
        <v>1.55</v>
      </c>
      <c r="I550" s="3">
        <v>10.87</v>
      </c>
      <c r="J550" s="3">
        <v>10.87</v>
      </c>
    </row>
    <row r="551" spans="1:10" x14ac:dyDescent="0.3">
      <c r="A551" t="s">
        <v>19</v>
      </c>
      <c r="B551" t="s">
        <v>223</v>
      </c>
      <c r="C551">
        <v>87</v>
      </c>
      <c r="D551" s="1">
        <v>4.5999999999999999E-2</v>
      </c>
      <c r="E551">
        <v>4</v>
      </c>
      <c r="F551">
        <v>1</v>
      </c>
      <c r="G551" s="2">
        <v>0.25</v>
      </c>
      <c r="H551" s="3">
        <v>0.43</v>
      </c>
      <c r="I551" s="3">
        <v>1.7</v>
      </c>
      <c r="J551" s="3">
        <v>1.7</v>
      </c>
    </row>
    <row r="552" spans="1:10" x14ac:dyDescent="0.3">
      <c r="A552" t="s">
        <v>472</v>
      </c>
      <c r="B552" t="s">
        <v>232</v>
      </c>
      <c r="C552">
        <v>87</v>
      </c>
      <c r="D552" s="1">
        <v>6.9000000000000006E-2</v>
      </c>
      <c r="E552">
        <v>6</v>
      </c>
      <c r="F552">
        <v>0</v>
      </c>
      <c r="G552" s="2">
        <v>0</v>
      </c>
      <c r="H552" s="3">
        <v>0</v>
      </c>
      <c r="I552" s="3" t="s">
        <v>213</v>
      </c>
      <c r="J552" s="3">
        <v>0</v>
      </c>
    </row>
    <row r="553" spans="1:10" x14ac:dyDescent="0.3">
      <c r="A553" t="s">
        <v>473</v>
      </c>
      <c r="B553" t="s">
        <v>316</v>
      </c>
      <c r="C553">
        <v>87</v>
      </c>
      <c r="D553" s="1">
        <v>6.9000000000000006E-2</v>
      </c>
      <c r="E553">
        <v>6</v>
      </c>
      <c r="F553">
        <v>0</v>
      </c>
      <c r="G553" s="2">
        <v>0</v>
      </c>
      <c r="H553" s="3">
        <v>0</v>
      </c>
      <c r="I553" s="3" t="s">
        <v>213</v>
      </c>
      <c r="J553" s="3">
        <v>0</v>
      </c>
    </row>
    <row r="554" spans="1:10" x14ac:dyDescent="0.3">
      <c r="A554" t="s">
        <v>480</v>
      </c>
      <c r="B554" t="s">
        <v>481</v>
      </c>
      <c r="C554">
        <v>87</v>
      </c>
      <c r="D554" s="1">
        <v>0.10339999999999999</v>
      </c>
      <c r="E554">
        <v>9</v>
      </c>
      <c r="F554">
        <v>1</v>
      </c>
      <c r="G554" s="2">
        <v>0.11109999999999999</v>
      </c>
      <c r="H554" s="3">
        <v>3.07</v>
      </c>
      <c r="I554" s="3">
        <v>27.66</v>
      </c>
      <c r="J554" s="3">
        <v>27.66</v>
      </c>
    </row>
    <row r="555" spans="1:10" x14ac:dyDescent="0.3">
      <c r="A555" t="s">
        <v>40</v>
      </c>
      <c r="B555" t="s">
        <v>215</v>
      </c>
      <c r="C555">
        <v>86</v>
      </c>
      <c r="D555" s="1">
        <v>0.13949999999999999</v>
      </c>
      <c r="E555">
        <v>12</v>
      </c>
      <c r="F555">
        <v>4</v>
      </c>
      <c r="G555" s="2">
        <v>0.33329999999999999</v>
      </c>
      <c r="H555" s="3">
        <v>1.27</v>
      </c>
      <c r="I555" s="3">
        <v>3.8</v>
      </c>
      <c r="J555" s="3">
        <v>15.18</v>
      </c>
    </row>
    <row r="556" spans="1:10" x14ac:dyDescent="0.3">
      <c r="A556" t="s">
        <v>367</v>
      </c>
      <c r="B556" t="s">
        <v>215</v>
      </c>
      <c r="C556">
        <v>85</v>
      </c>
      <c r="D556" s="1">
        <v>7.0599999999999996E-2</v>
      </c>
      <c r="E556">
        <v>6</v>
      </c>
      <c r="F556">
        <v>0</v>
      </c>
      <c r="G556" s="2">
        <v>0</v>
      </c>
      <c r="H556" s="3">
        <v>0</v>
      </c>
      <c r="I556" s="3" t="s">
        <v>213</v>
      </c>
      <c r="J556" s="3">
        <v>0</v>
      </c>
    </row>
    <row r="557" spans="1:10" x14ac:dyDescent="0.3">
      <c r="A557" t="s">
        <v>383</v>
      </c>
      <c r="B557" t="s">
        <v>286</v>
      </c>
      <c r="C557">
        <v>85</v>
      </c>
      <c r="D557" s="1">
        <v>7.0599999999999996E-2</v>
      </c>
      <c r="E557">
        <v>6</v>
      </c>
      <c r="F557">
        <v>3</v>
      </c>
      <c r="G557" s="2">
        <v>0.5</v>
      </c>
      <c r="H557" s="3">
        <v>7.15</v>
      </c>
      <c r="I557" s="3">
        <v>14.3</v>
      </c>
      <c r="J557" s="3">
        <v>42.9</v>
      </c>
    </row>
    <row r="558" spans="1:10" x14ac:dyDescent="0.3">
      <c r="A558" t="s">
        <v>116</v>
      </c>
      <c r="B558" t="s">
        <v>212</v>
      </c>
      <c r="C558">
        <v>84</v>
      </c>
      <c r="D558" s="1">
        <v>7.1399999999999991E-2</v>
      </c>
      <c r="E558">
        <v>6</v>
      </c>
      <c r="F558">
        <v>0</v>
      </c>
      <c r="G558" s="2">
        <v>0</v>
      </c>
      <c r="H558" s="3">
        <v>0</v>
      </c>
      <c r="I558" s="3" t="s">
        <v>213</v>
      </c>
      <c r="J558" s="3">
        <v>0</v>
      </c>
    </row>
    <row r="559" spans="1:10" x14ac:dyDescent="0.3">
      <c r="A559" t="s">
        <v>373</v>
      </c>
      <c r="B559" t="s">
        <v>221</v>
      </c>
      <c r="C559">
        <v>84</v>
      </c>
      <c r="D559" s="1">
        <v>7.1399999999999991E-2</v>
      </c>
      <c r="E559">
        <v>6</v>
      </c>
      <c r="F559">
        <v>1</v>
      </c>
      <c r="G559" s="2">
        <v>0.16670000000000001</v>
      </c>
      <c r="H559" s="3">
        <v>2.16</v>
      </c>
      <c r="I559" s="3">
        <v>12.94</v>
      </c>
      <c r="J559" s="3">
        <v>12.94</v>
      </c>
    </row>
    <row r="560" spans="1:10" x14ac:dyDescent="0.3">
      <c r="A560" t="s">
        <v>395</v>
      </c>
      <c r="B560" t="s">
        <v>215</v>
      </c>
      <c r="C560">
        <v>84</v>
      </c>
      <c r="D560" s="1">
        <v>5.9500000000000004E-2</v>
      </c>
      <c r="E560">
        <v>5</v>
      </c>
      <c r="F560">
        <v>0</v>
      </c>
      <c r="G560" s="2">
        <v>0</v>
      </c>
      <c r="H560" s="3">
        <v>0</v>
      </c>
      <c r="I560" s="3" t="s">
        <v>213</v>
      </c>
      <c r="J560" s="3">
        <v>0</v>
      </c>
    </row>
    <row r="561" spans="1:10" x14ac:dyDescent="0.3">
      <c r="A561" t="s">
        <v>410</v>
      </c>
      <c r="B561" t="s">
        <v>411</v>
      </c>
      <c r="C561">
        <v>84</v>
      </c>
      <c r="D561" s="1">
        <v>5.9500000000000004E-2</v>
      </c>
      <c r="E561">
        <v>5</v>
      </c>
      <c r="F561">
        <v>0</v>
      </c>
      <c r="G561" s="2">
        <v>0</v>
      </c>
      <c r="H561" s="3">
        <v>0</v>
      </c>
      <c r="I561" s="3" t="s">
        <v>213</v>
      </c>
      <c r="J561" s="3">
        <v>0</v>
      </c>
    </row>
    <row r="562" spans="1:10" x14ac:dyDescent="0.3">
      <c r="A562" t="s">
        <v>267</v>
      </c>
      <c r="B562" t="s">
        <v>248</v>
      </c>
      <c r="C562">
        <v>83</v>
      </c>
      <c r="D562" s="1">
        <v>0.1084</v>
      </c>
      <c r="E562">
        <v>9</v>
      </c>
      <c r="F562">
        <v>1</v>
      </c>
      <c r="G562" s="2">
        <v>0.11109999999999999</v>
      </c>
      <c r="H562" s="3">
        <v>0.38</v>
      </c>
      <c r="I562" s="3">
        <v>3.38</v>
      </c>
      <c r="J562" s="3">
        <v>3.38</v>
      </c>
    </row>
    <row r="563" spans="1:10" x14ac:dyDescent="0.3">
      <c r="A563" t="s">
        <v>11</v>
      </c>
      <c r="B563" t="s">
        <v>289</v>
      </c>
      <c r="C563">
        <v>83</v>
      </c>
      <c r="D563" s="1">
        <v>6.0199999999999997E-2</v>
      </c>
      <c r="E563">
        <v>5</v>
      </c>
      <c r="F563">
        <v>0</v>
      </c>
      <c r="G563" s="2">
        <v>0</v>
      </c>
      <c r="H563" s="3">
        <v>0</v>
      </c>
      <c r="I563" s="3" t="s">
        <v>213</v>
      </c>
      <c r="J563" s="3">
        <v>0</v>
      </c>
    </row>
    <row r="564" spans="1:10" x14ac:dyDescent="0.3">
      <c r="A564" t="s">
        <v>348</v>
      </c>
      <c r="B564" t="s">
        <v>223</v>
      </c>
      <c r="C564">
        <v>83</v>
      </c>
      <c r="D564" s="1">
        <v>3.61E-2</v>
      </c>
      <c r="E564">
        <v>3</v>
      </c>
      <c r="F564">
        <v>0</v>
      </c>
      <c r="G564" s="2">
        <v>0</v>
      </c>
      <c r="H564" s="3">
        <v>0</v>
      </c>
      <c r="I564" s="3" t="s">
        <v>213</v>
      </c>
      <c r="J564" s="3">
        <v>0</v>
      </c>
    </row>
    <row r="565" spans="1:10" x14ac:dyDescent="0.3">
      <c r="A565" t="s">
        <v>487</v>
      </c>
      <c r="B565" t="s">
        <v>215</v>
      </c>
      <c r="C565">
        <v>83</v>
      </c>
      <c r="D565" s="1">
        <v>6.0199999999999997E-2</v>
      </c>
      <c r="E565">
        <v>5</v>
      </c>
      <c r="F565">
        <v>0</v>
      </c>
      <c r="G565" s="2">
        <v>0</v>
      </c>
      <c r="H565" s="3">
        <v>0</v>
      </c>
      <c r="I565" s="3" t="s">
        <v>213</v>
      </c>
      <c r="J565" s="3">
        <v>0</v>
      </c>
    </row>
    <row r="566" spans="1:10" x14ac:dyDescent="0.3">
      <c r="A566" t="s">
        <v>345</v>
      </c>
      <c r="B566" t="s">
        <v>221</v>
      </c>
      <c r="C566">
        <v>82</v>
      </c>
      <c r="D566" s="1">
        <v>1.2199999999999999E-2</v>
      </c>
      <c r="E566">
        <v>1</v>
      </c>
      <c r="F566">
        <v>0</v>
      </c>
      <c r="G566" s="2">
        <v>0</v>
      </c>
      <c r="H566" s="3">
        <v>0</v>
      </c>
      <c r="I566" s="3" t="s">
        <v>213</v>
      </c>
      <c r="J566" s="3">
        <v>0</v>
      </c>
    </row>
    <row r="567" spans="1:10" x14ac:dyDescent="0.3">
      <c r="A567" t="s">
        <v>333</v>
      </c>
      <c r="B567" t="s">
        <v>212</v>
      </c>
      <c r="C567">
        <v>81</v>
      </c>
      <c r="D567" s="1">
        <v>9.8800000000000013E-2</v>
      </c>
      <c r="E567">
        <v>8</v>
      </c>
      <c r="F567">
        <v>0</v>
      </c>
      <c r="G567" s="2">
        <v>0</v>
      </c>
      <c r="H567" s="3">
        <v>0</v>
      </c>
      <c r="I567" s="3" t="s">
        <v>213</v>
      </c>
      <c r="J567" s="3">
        <v>0</v>
      </c>
    </row>
    <row r="568" spans="1:10" x14ac:dyDescent="0.3">
      <c r="A568" t="s">
        <v>376</v>
      </c>
      <c r="B568" t="s">
        <v>221</v>
      </c>
      <c r="C568">
        <v>81</v>
      </c>
      <c r="D568" s="1">
        <v>7.4099999999999999E-2</v>
      </c>
      <c r="E568">
        <v>6</v>
      </c>
      <c r="F568">
        <v>0</v>
      </c>
      <c r="G568" s="2">
        <v>0</v>
      </c>
      <c r="H568" s="3">
        <v>0</v>
      </c>
      <c r="I568" s="3" t="s">
        <v>213</v>
      </c>
      <c r="J568" s="3">
        <v>0</v>
      </c>
    </row>
    <row r="569" spans="1:10" x14ac:dyDescent="0.3">
      <c r="A569" t="s">
        <v>11</v>
      </c>
      <c r="B569" t="s">
        <v>221</v>
      </c>
      <c r="C569">
        <v>80</v>
      </c>
      <c r="D569" s="1">
        <v>7.4999999999999997E-2</v>
      </c>
      <c r="E569">
        <v>6</v>
      </c>
      <c r="F569">
        <v>0</v>
      </c>
      <c r="G569" s="2">
        <v>0</v>
      </c>
      <c r="H569" s="3">
        <v>0</v>
      </c>
      <c r="I569" s="3" t="s">
        <v>213</v>
      </c>
      <c r="J569" s="3">
        <v>0</v>
      </c>
    </row>
    <row r="570" spans="1:10" x14ac:dyDescent="0.3">
      <c r="A570" t="s">
        <v>389</v>
      </c>
      <c r="B570" t="s">
        <v>315</v>
      </c>
      <c r="C570">
        <v>80</v>
      </c>
      <c r="D570" s="1">
        <v>6.25E-2</v>
      </c>
      <c r="E570">
        <v>5</v>
      </c>
      <c r="F570">
        <v>0</v>
      </c>
      <c r="G570" s="2">
        <v>0</v>
      </c>
      <c r="H570" s="3">
        <v>0</v>
      </c>
      <c r="I570" s="3" t="s">
        <v>213</v>
      </c>
      <c r="J570" s="3">
        <v>0</v>
      </c>
    </row>
    <row r="571" spans="1:10" x14ac:dyDescent="0.3">
      <c r="A571" t="s">
        <v>76</v>
      </c>
      <c r="B571" t="s">
        <v>282</v>
      </c>
      <c r="C571">
        <v>80</v>
      </c>
      <c r="D571" s="1">
        <v>7.4999999999999997E-2</v>
      </c>
      <c r="E571">
        <v>6</v>
      </c>
      <c r="F571">
        <v>0</v>
      </c>
      <c r="G571" s="2">
        <v>0</v>
      </c>
      <c r="H571" s="3">
        <v>0</v>
      </c>
      <c r="I571" s="3" t="s">
        <v>213</v>
      </c>
      <c r="J571" s="3">
        <v>0</v>
      </c>
    </row>
    <row r="572" spans="1:10" x14ac:dyDescent="0.3">
      <c r="A572" t="s">
        <v>103</v>
      </c>
      <c r="B572" t="s">
        <v>219</v>
      </c>
      <c r="C572">
        <v>79</v>
      </c>
      <c r="D572" s="1">
        <v>0.1013</v>
      </c>
      <c r="E572">
        <v>8</v>
      </c>
      <c r="F572">
        <v>0</v>
      </c>
      <c r="G572" s="2">
        <v>0</v>
      </c>
      <c r="H572" s="3">
        <v>0</v>
      </c>
      <c r="I572" s="3" t="s">
        <v>213</v>
      </c>
      <c r="J572" s="3">
        <v>0</v>
      </c>
    </row>
    <row r="573" spans="1:10" x14ac:dyDescent="0.3">
      <c r="A573" t="s">
        <v>11</v>
      </c>
      <c r="B573" t="s">
        <v>318</v>
      </c>
      <c r="C573">
        <v>79</v>
      </c>
      <c r="D573" s="1">
        <v>1.2699999999999999E-2</v>
      </c>
      <c r="E573">
        <v>1</v>
      </c>
      <c r="F573">
        <v>0</v>
      </c>
      <c r="G573" s="2">
        <v>0</v>
      </c>
      <c r="H573" s="3">
        <v>0</v>
      </c>
      <c r="I573" s="3" t="s">
        <v>213</v>
      </c>
      <c r="J573" s="3">
        <v>0</v>
      </c>
    </row>
    <row r="574" spans="1:10" x14ac:dyDescent="0.3">
      <c r="A574" t="s">
        <v>27</v>
      </c>
      <c r="B574" t="s">
        <v>223</v>
      </c>
      <c r="C574">
        <v>79</v>
      </c>
      <c r="D574" s="1">
        <v>0.1646</v>
      </c>
      <c r="E574">
        <v>13</v>
      </c>
      <c r="F574">
        <v>0</v>
      </c>
      <c r="G574" s="2">
        <v>0</v>
      </c>
      <c r="H574" s="3">
        <v>0</v>
      </c>
      <c r="I574" s="3" t="s">
        <v>213</v>
      </c>
      <c r="J574" s="3">
        <v>0</v>
      </c>
    </row>
    <row r="575" spans="1:10" x14ac:dyDescent="0.3">
      <c r="A575" t="s">
        <v>428</v>
      </c>
      <c r="B575" t="s">
        <v>221</v>
      </c>
      <c r="C575">
        <v>79</v>
      </c>
      <c r="D575" s="1">
        <v>0</v>
      </c>
      <c r="E575">
        <v>0</v>
      </c>
      <c r="F575">
        <v>0</v>
      </c>
      <c r="G575" s="2" t="e">
        <v>#VALUE!</v>
      </c>
      <c r="H575" s="3" t="s">
        <v>213</v>
      </c>
      <c r="I575" s="3" t="s">
        <v>213</v>
      </c>
      <c r="J575" s="3">
        <v>0</v>
      </c>
    </row>
    <row r="576" spans="1:10" x14ac:dyDescent="0.3">
      <c r="A576" t="s">
        <v>142</v>
      </c>
      <c r="B576" t="s">
        <v>215</v>
      </c>
      <c r="C576">
        <v>78</v>
      </c>
      <c r="D576" s="1">
        <v>3.85E-2</v>
      </c>
      <c r="E576">
        <v>3</v>
      </c>
      <c r="F576">
        <v>0</v>
      </c>
      <c r="G576" s="2">
        <v>0</v>
      </c>
      <c r="H576" s="3">
        <v>0</v>
      </c>
      <c r="I576" s="3" t="s">
        <v>213</v>
      </c>
      <c r="J576" s="3">
        <v>0</v>
      </c>
    </row>
    <row r="577" spans="1:10" x14ac:dyDescent="0.3">
      <c r="A577" t="s">
        <v>409</v>
      </c>
      <c r="B577" t="s">
        <v>223</v>
      </c>
      <c r="C577">
        <v>78</v>
      </c>
      <c r="D577" s="1">
        <v>2.5600000000000001E-2</v>
      </c>
      <c r="E577">
        <v>2</v>
      </c>
      <c r="F577">
        <v>0</v>
      </c>
      <c r="G577" s="2">
        <v>0</v>
      </c>
      <c r="H577" s="3">
        <v>0</v>
      </c>
      <c r="I577" s="3" t="s">
        <v>213</v>
      </c>
      <c r="J577" s="3">
        <v>0</v>
      </c>
    </row>
    <row r="578" spans="1:10" x14ac:dyDescent="0.3">
      <c r="A578" t="s">
        <v>11</v>
      </c>
      <c r="B578" t="s">
        <v>219</v>
      </c>
      <c r="C578">
        <v>77</v>
      </c>
      <c r="D578" s="1">
        <v>0.11689999999999999</v>
      </c>
      <c r="E578">
        <v>9</v>
      </c>
      <c r="F578">
        <v>0</v>
      </c>
      <c r="G578" s="2">
        <v>0</v>
      </c>
      <c r="H578" s="3">
        <v>0</v>
      </c>
      <c r="I578" s="3" t="s">
        <v>213</v>
      </c>
      <c r="J578" s="3">
        <v>0</v>
      </c>
    </row>
    <row r="579" spans="1:10" x14ac:dyDescent="0.3">
      <c r="A579" t="s">
        <v>11</v>
      </c>
      <c r="B579" t="s">
        <v>264</v>
      </c>
      <c r="C579">
        <v>77</v>
      </c>
      <c r="D579" s="1">
        <v>2.6000000000000002E-2</v>
      </c>
      <c r="E579">
        <v>2</v>
      </c>
      <c r="F579">
        <v>0</v>
      </c>
      <c r="G579" s="2">
        <v>0</v>
      </c>
      <c r="H579" s="3">
        <v>0</v>
      </c>
      <c r="I579" s="3" t="s">
        <v>213</v>
      </c>
      <c r="J579" s="3">
        <v>0</v>
      </c>
    </row>
    <row r="580" spans="1:10" x14ac:dyDescent="0.3">
      <c r="A580" t="s">
        <v>368</v>
      </c>
      <c r="B580" t="s">
        <v>215</v>
      </c>
      <c r="C580">
        <v>77</v>
      </c>
      <c r="D580" s="1">
        <v>5.1900000000000002E-2</v>
      </c>
      <c r="E580">
        <v>4</v>
      </c>
      <c r="F580">
        <v>1</v>
      </c>
      <c r="G580" s="2">
        <v>0.25</v>
      </c>
      <c r="H580" s="3">
        <v>2.89</v>
      </c>
      <c r="I580" s="3">
        <v>11.57</v>
      </c>
      <c r="J580" s="3">
        <v>11.57</v>
      </c>
    </row>
    <row r="581" spans="1:10" x14ac:dyDescent="0.3">
      <c r="A581" t="s">
        <v>383</v>
      </c>
      <c r="B581" t="s">
        <v>239</v>
      </c>
      <c r="C581">
        <v>77</v>
      </c>
      <c r="D581" s="1">
        <v>0.1429</v>
      </c>
      <c r="E581">
        <v>11</v>
      </c>
      <c r="F581">
        <v>3</v>
      </c>
      <c r="G581" s="2">
        <v>0.2727</v>
      </c>
      <c r="H581" s="3">
        <v>1.23</v>
      </c>
      <c r="I581" s="3">
        <v>4.5199999999999996</v>
      </c>
      <c r="J581" s="3">
        <v>13.55</v>
      </c>
    </row>
    <row r="582" spans="1:10" x14ac:dyDescent="0.3">
      <c r="A582" t="s">
        <v>393</v>
      </c>
      <c r="B582" t="s">
        <v>248</v>
      </c>
      <c r="C582">
        <v>77</v>
      </c>
      <c r="D582" s="1">
        <v>5.1900000000000002E-2</v>
      </c>
      <c r="E582">
        <v>4</v>
      </c>
      <c r="F582">
        <v>0</v>
      </c>
      <c r="G582" s="2">
        <v>0</v>
      </c>
      <c r="H582" s="3">
        <v>0</v>
      </c>
      <c r="I582" s="3" t="s">
        <v>213</v>
      </c>
      <c r="J582" s="3">
        <v>0</v>
      </c>
    </row>
    <row r="583" spans="1:10" x14ac:dyDescent="0.3">
      <c r="A583" t="s">
        <v>399</v>
      </c>
      <c r="B583" t="s">
        <v>233</v>
      </c>
      <c r="C583">
        <v>77</v>
      </c>
      <c r="D583" s="1">
        <v>6.4899999999999999E-2</v>
      </c>
      <c r="E583">
        <v>5</v>
      </c>
      <c r="F583">
        <v>0</v>
      </c>
      <c r="G583" s="2">
        <v>0</v>
      </c>
      <c r="H583" s="3">
        <v>0</v>
      </c>
      <c r="I583" s="3" t="s">
        <v>213</v>
      </c>
      <c r="J583" s="3">
        <v>0</v>
      </c>
    </row>
    <row r="584" spans="1:10" x14ac:dyDescent="0.3">
      <c r="A584" t="s">
        <v>28</v>
      </c>
      <c r="B584" t="s">
        <v>227</v>
      </c>
      <c r="C584">
        <v>76</v>
      </c>
      <c r="D584" s="1">
        <v>0.11840000000000001</v>
      </c>
      <c r="E584">
        <v>9</v>
      </c>
      <c r="F584">
        <v>0</v>
      </c>
      <c r="G584" s="2">
        <v>0</v>
      </c>
      <c r="H584" s="3">
        <v>0</v>
      </c>
      <c r="I584" s="3" t="s">
        <v>213</v>
      </c>
      <c r="J584" s="3">
        <v>0</v>
      </c>
    </row>
    <row r="585" spans="1:10" x14ac:dyDescent="0.3">
      <c r="A585" t="s">
        <v>15</v>
      </c>
      <c r="B585" t="s">
        <v>268</v>
      </c>
      <c r="C585">
        <v>75</v>
      </c>
      <c r="D585" s="1">
        <v>9.3299999999999994E-2</v>
      </c>
      <c r="E585">
        <v>7</v>
      </c>
      <c r="F585">
        <v>1</v>
      </c>
      <c r="G585" s="2">
        <v>0.1429</v>
      </c>
      <c r="H585" s="3">
        <v>1.05</v>
      </c>
      <c r="I585" s="3">
        <v>7.32</v>
      </c>
      <c r="J585" s="3">
        <v>7.32</v>
      </c>
    </row>
    <row r="586" spans="1:10" x14ac:dyDescent="0.3">
      <c r="A586" t="s">
        <v>11</v>
      </c>
      <c r="B586" t="s">
        <v>317</v>
      </c>
      <c r="C586">
        <v>74</v>
      </c>
      <c r="D586" s="1">
        <v>5.4100000000000002E-2</v>
      </c>
      <c r="E586">
        <v>4</v>
      </c>
      <c r="F586">
        <v>0</v>
      </c>
      <c r="G586" s="2">
        <v>0</v>
      </c>
      <c r="H586" s="3">
        <v>0</v>
      </c>
      <c r="I586" s="3" t="s">
        <v>213</v>
      </c>
      <c r="J586" s="3">
        <v>0</v>
      </c>
    </row>
    <row r="587" spans="1:10" x14ac:dyDescent="0.3">
      <c r="A587" t="s">
        <v>11</v>
      </c>
      <c r="B587" t="s">
        <v>235</v>
      </c>
      <c r="C587">
        <v>74</v>
      </c>
      <c r="D587" s="1">
        <v>5.4100000000000002E-2</v>
      </c>
      <c r="E587">
        <v>4</v>
      </c>
      <c r="F587">
        <v>0</v>
      </c>
      <c r="G587" s="2">
        <v>0</v>
      </c>
      <c r="H587" s="3">
        <v>0</v>
      </c>
      <c r="I587" s="3" t="s">
        <v>213</v>
      </c>
      <c r="J587" s="3">
        <v>0</v>
      </c>
    </row>
    <row r="588" spans="1:10" x14ac:dyDescent="0.3">
      <c r="A588" t="s">
        <v>11</v>
      </c>
      <c r="B588" t="s">
        <v>286</v>
      </c>
      <c r="C588">
        <v>74</v>
      </c>
      <c r="D588" s="1">
        <v>4.0500000000000001E-2</v>
      </c>
      <c r="E588">
        <v>3</v>
      </c>
      <c r="F588">
        <v>0</v>
      </c>
      <c r="G588" s="2">
        <v>0</v>
      </c>
      <c r="H588" s="3">
        <v>0</v>
      </c>
      <c r="I588" s="3" t="s">
        <v>213</v>
      </c>
      <c r="J588" s="3">
        <v>0</v>
      </c>
    </row>
    <row r="589" spans="1:10" x14ac:dyDescent="0.3">
      <c r="A589" t="s">
        <v>335</v>
      </c>
      <c r="B589" t="s">
        <v>215</v>
      </c>
      <c r="C589">
        <v>74</v>
      </c>
      <c r="D589" s="1">
        <v>6.7599999999999993E-2</v>
      </c>
      <c r="E589">
        <v>5</v>
      </c>
      <c r="F589">
        <v>0</v>
      </c>
      <c r="G589" s="2">
        <v>0</v>
      </c>
      <c r="H589" s="3">
        <v>0</v>
      </c>
      <c r="I589" s="3" t="s">
        <v>213</v>
      </c>
      <c r="J589" s="3">
        <v>0</v>
      </c>
    </row>
    <row r="590" spans="1:10" x14ac:dyDescent="0.3">
      <c r="A590" t="s">
        <v>376</v>
      </c>
      <c r="B590" t="s">
        <v>221</v>
      </c>
      <c r="C590">
        <v>74</v>
      </c>
      <c r="D590" s="1">
        <v>6.7599999999999993E-2</v>
      </c>
      <c r="E590">
        <v>5</v>
      </c>
      <c r="F590">
        <v>0</v>
      </c>
      <c r="G590" s="2">
        <v>0</v>
      </c>
      <c r="H590" s="3">
        <v>0</v>
      </c>
      <c r="I590" s="3" t="s">
        <v>213</v>
      </c>
      <c r="J590" s="3">
        <v>0</v>
      </c>
    </row>
    <row r="591" spans="1:10" x14ac:dyDescent="0.3">
      <c r="A591" t="s">
        <v>20</v>
      </c>
      <c r="B591" t="s">
        <v>228</v>
      </c>
      <c r="C591">
        <v>74</v>
      </c>
      <c r="D591" s="1">
        <v>5.4100000000000002E-2</v>
      </c>
      <c r="E591">
        <v>4</v>
      </c>
      <c r="F591">
        <v>0</v>
      </c>
      <c r="G591" s="2">
        <v>0</v>
      </c>
      <c r="H591" s="3">
        <v>0</v>
      </c>
      <c r="I591" s="3" t="s">
        <v>213</v>
      </c>
      <c r="J591" s="3">
        <v>0</v>
      </c>
    </row>
    <row r="592" spans="1:10" x14ac:dyDescent="0.3">
      <c r="A592" t="s">
        <v>429</v>
      </c>
      <c r="B592" t="s">
        <v>221</v>
      </c>
      <c r="C592">
        <v>74</v>
      </c>
      <c r="D592" s="1">
        <v>1.3500000000000002E-2</v>
      </c>
      <c r="E592">
        <v>1</v>
      </c>
      <c r="F592">
        <v>0</v>
      </c>
      <c r="G592" s="2">
        <v>0</v>
      </c>
      <c r="H592" s="3">
        <v>0</v>
      </c>
      <c r="I592" s="3" t="s">
        <v>213</v>
      </c>
      <c r="J592" s="3">
        <v>0</v>
      </c>
    </row>
    <row r="593" spans="1:10" x14ac:dyDescent="0.3">
      <c r="A593" t="s">
        <v>76</v>
      </c>
      <c r="B593" t="s">
        <v>317</v>
      </c>
      <c r="C593">
        <v>74</v>
      </c>
      <c r="D593" s="1">
        <v>8.1099999999999992E-2</v>
      </c>
      <c r="E593">
        <v>6</v>
      </c>
      <c r="F593">
        <v>0</v>
      </c>
      <c r="G593" s="2">
        <v>0</v>
      </c>
      <c r="H593" s="3">
        <v>0</v>
      </c>
      <c r="I593" s="3" t="s">
        <v>213</v>
      </c>
      <c r="J593" s="3">
        <v>0</v>
      </c>
    </row>
    <row r="594" spans="1:10" x14ac:dyDescent="0.3">
      <c r="A594" t="s">
        <v>488</v>
      </c>
      <c r="B594" t="s">
        <v>215</v>
      </c>
      <c r="C594">
        <v>74</v>
      </c>
      <c r="D594" s="1">
        <v>2.7000000000000003E-2</v>
      </c>
      <c r="E594">
        <v>2</v>
      </c>
      <c r="F594">
        <v>0</v>
      </c>
      <c r="G594" s="2">
        <v>0</v>
      </c>
      <c r="H594" s="3">
        <v>0</v>
      </c>
      <c r="I594" s="3" t="s">
        <v>213</v>
      </c>
      <c r="J594" s="3">
        <v>0</v>
      </c>
    </row>
    <row r="595" spans="1:10" x14ac:dyDescent="0.3">
      <c r="A595" t="s">
        <v>305</v>
      </c>
      <c r="B595" t="s">
        <v>221</v>
      </c>
      <c r="C595">
        <v>73</v>
      </c>
      <c r="D595" s="1">
        <v>4.1100000000000005E-2</v>
      </c>
      <c r="E595">
        <v>3</v>
      </c>
      <c r="F595">
        <v>0</v>
      </c>
      <c r="G595" s="2">
        <v>0</v>
      </c>
      <c r="H595" s="3">
        <v>0</v>
      </c>
      <c r="I595" s="3" t="s">
        <v>213</v>
      </c>
      <c r="J595" s="3">
        <v>0</v>
      </c>
    </row>
    <row r="596" spans="1:10" x14ac:dyDescent="0.3">
      <c r="A596" t="s">
        <v>11</v>
      </c>
      <c r="B596" t="s">
        <v>268</v>
      </c>
      <c r="C596">
        <v>73</v>
      </c>
      <c r="D596" s="1">
        <v>0.1507</v>
      </c>
      <c r="E596">
        <v>11</v>
      </c>
      <c r="F596">
        <v>0</v>
      </c>
      <c r="G596" s="2">
        <v>0</v>
      </c>
      <c r="H596" s="3">
        <v>0</v>
      </c>
      <c r="I596" s="3" t="s">
        <v>213</v>
      </c>
      <c r="J596" s="3">
        <v>0</v>
      </c>
    </row>
    <row r="597" spans="1:10" x14ac:dyDescent="0.3">
      <c r="A597" t="s">
        <v>389</v>
      </c>
      <c r="B597" t="s">
        <v>313</v>
      </c>
      <c r="C597">
        <v>73</v>
      </c>
      <c r="D597" s="1">
        <v>9.5899999999999999E-2</v>
      </c>
      <c r="E597">
        <v>7</v>
      </c>
      <c r="F597">
        <v>0</v>
      </c>
      <c r="G597" s="2">
        <v>0</v>
      </c>
      <c r="H597" s="3">
        <v>0</v>
      </c>
      <c r="I597" s="3" t="s">
        <v>213</v>
      </c>
      <c r="J597" s="3">
        <v>0</v>
      </c>
    </row>
    <row r="598" spans="1:10" x14ac:dyDescent="0.3">
      <c r="A598" t="s">
        <v>393</v>
      </c>
      <c r="B598" t="s">
        <v>313</v>
      </c>
      <c r="C598">
        <v>73</v>
      </c>
      <c r="D598" s="1">
        <v>5.4800000000000001E-2</v>
      </c>
      <c r="E598">
        <v>4</v>
      </c>
      <c r="F598">
        <v>1</v>
      </c>
      <c r="G598" s="2">
        <v>0.25</v>
      </c>
      <c r="H598" s="3">
        <v>2.0299999999999998</v>
      </c>
      <c r="I598" s="3">
        <v>8.1300000000000008</v>
      </c>
      <c r="J598" s="3">
        <v>8.1300000000000008</v>
      </c>
    </row>
    <row r="599" spans="1:10" x14ac:dyDescent="0.3">
      <c r="A599" t="s">
        <v>428</v>
      </c>
      <c r="B599" t="s">
        <v>221</v>
      </c>
      <c r="C599">
        <v>73</v>
      </c>
      <c r="D599" s="1">
        <v>2.7400000000000001E-2</v>
      </c>
      <c r="E599">
        <v>2</v>
      </c>
      <c r="F599">
        <v>0</v>
      </c>
      <c r="G599" s="2">
        <v>0</v>
      </c>
      <c r="H599" s="3">
        <v>0</v>
      </c>
      <c r="I599" s="3" t="s">
        <v>213</v>
      </c>
      <c r="J599" s="3">
        <v>0</v>
      </c>
    </row>
    <row r="600" spans="1:10" x14ac:dyDescent="0.3">
      <c r="A600" t="s">
        <v>40</v>
      </c>
      <c r="B600" t="s">
        <v>223</v>
      </c>
      <c r="C600">
        <v>72</v>
      </c>
      <c r="D600" s="1">
        <v>0.18059999999999998</v>
      </c>
      <c r="E600">
        <v>13</v>
      </c>
      <c r="F600">
        <v>1</v>
      </c>
      <c r="G600" s="2">
        <v>7.690000000000001E-2</v>
      </c>
      <c r="H600" s="3">
        <v>0.88</v>
      </c>
      <c r="I600" s="3">
        <v>11.42</v>
      </c>
      <c r="J600" s="3">
        <v>11.42</v>
      </c>
    </row>
    <row r="601" spans="1:10" x14ac:dyDescent="0.3">
      <c r="A601" t="s">
        <v>11</v>
      </c>
      <c r="B601" t="s">
        <v>288</v>
      </c>
      <c r="C601">
        <v>72</v>
      </c>
      <c r="D601" s="1">
        <v>4.1700000000000001E-2</v>
      </c>
      <c r="E601">
        <v>3</v>
      </c>
      <c r="F601">
        <v>0</v>
      </c>
      <c r="G601" s="2">
        <v>0</v>
      </c>
      <c r="H601" s="3">
        <v>0</v>
      </c>
      <c r="I601" s="3" t="s">
        <v>213</v>
      </c>
      <c r="J601" s="3">
        <v>0</v>
      </c>
    </row>
    <row r="602" spans="1:10" x14ac:dyDescent="0.3">
      <c r="A602" t="s">
        <v>383</v>
      </c>
      <c r="B602" t="s">
        <v>227</v>
      </c>
      <c r="C602">
        <v>72</v>
      </c>
      <c r="D602" s="1">
        <v>1.3899999999999999E-2</v>
      </c>
      <c r="E602">
        <v>1</v>
      </c>
      <c r="F602">
        <v>0</v>
      </c>
      <c r="G602" s="2">
        <v>0</v>
      </c>
      <c r="H602" s="3">
        <v>0</v>
      </c>
      <c r="I602" s="3" t="s">
        <v>213</v>
      </c>
      <c r="J602" s="3">
        <v>0</v>
      </c>
    </row>
    <row r="603" spans="1:10" x14ac:dyDescent="0.3">
      <c r="A603" t="s">
        <v>76</v>
      </c>
      <c r="B603" t="s">
        <v>245</v>
      </c>
      <c r="C603">
        <v>72</v>
      </c>
      <c r="D603" s="1">
        <v>5.5599999999999997E-2</v>
      </c>
      <c r="E603">
        <v>4</v>
      </c>
      <c r="F603">
        <v>0</v>
      </c>
      <c r="G603" s="2">
        <v>0</v>
      </c>
      <c r="H603" s="3">
        <v>0</v>
      </c>
      <c r="I603" s="3" t="s">
        <v>213</v>
      </c>
      <c r="J603" s="3">
        <v>0</v>
      </c>
    </row>
    <row r="604" spans="1:10" x14ac:dyDescent="0.3">
      <c r="A604" t="s">
        <v>11</v>
      </c>
      <c r="B604" t="s">
        <v>316</v>
      </c>
      <c r="C604">
        <v>71</v>
      </c>
      <c r="D604" s="1">
        <v>4.2300000000000004E-2</v>
      </c>
      <c r="E604">
        <v>3</v>
      </c>
      <c r="F604">
        <v>0</v>
      </c>
      <c r="G604" s="2">
        <v>0</v>
      </c>
      <c r="H604" s="3">
        <v>0</v>
      </c>
      <c r="I604" s="3" t="s">
        <v>213</v>
      </c>
      <c r="J604" s="3">
        <v>0</v>
      </c>
    </row>
    <row r="605" spans="1:10" x14ac:dyDescent="0.3">
      <c r="A605" t="s">
        <v>338</v>
      </c>
      <c r="B605" t="s">
        <v>212</v>
      </c>
      <c r="C605">
        <v>71</v>
      </c>
      <c r="D605" s="1">
        <v>4.2300000000000004E-2</v>
      </c>
      <c r="E605">
        <v>3</v>
      </c>
      <c r="F605">
        <v>1</v>
      </c>
      <c r="G605" s="2">
        <v>0.33329999999999999</v>
      </c>
      <c r="H605" s="3">
        <v>2.1</v>
      </c>
      <c r="I605" s="3">
        <v>6.29</v>
      </c>
      <c r="J605" s="3">
        <v>6.29</v>
      </c>
    </row>
    <row r="606" spans="1:10" x14ac:dyDescent="0.3">
      <c r="A606" t="s">
        <v>347</v>
      </c>
      <c r="B606" t="s">
        <v>215</v>
      </c>
      <c r="C606">
        <v>71</v>
      </c>
      <c r="D606" s="1">
        <v>5.6299999999999996E-2</v>
      </c>
      <c r="E606">
        <v>4</v>
      </c>
      <c r="F606">
        <v>0</v>
      </c>
      <c r="G606" s="2">
        <v>0</v>
      </c>
      <c r="H606" s="3">
        <v>0</v>
      </c>
      <c r="I606" s="3" t="s">
        <v>213</v>
      </c>
      <c r="J606" s="3">
        <v>0</v>
      </c>
    </row>
    <row r="607" spans="1:10" x14ac:dyDescent="0.3">
      <c r="A607" t="s">
        <v>76</v>
      </c>
      <c r="B607" t="s">
        <v>225</v>
      </c>
      <c r="C607">
        <v>71</v>
      </c>
      <c r="D607" s="1">
        <v>7.0400000000000004E-2</v>
      </c>
      <c r="E607">
        <v>5</v>
      </c>
      <c r="F607">
        <v>1</v>
      </c>
      <c r="G607" s="2">
        <v>0.2</v>
      </c>
      <c r="H607" s="3">
        <v>0.56000000000000005</v>
      </c>
      <c r="I607" s="3">
        <v>2.82</v>
      </c>
      <c r="J607" s="3">
        <v>2.82</v>
      </c>
    </row>
    <row r="608" spans="1:10" x14ac:dyDescent="0.3">
      <c r="A608" t="s">
        <v>299</v>
      </c>
      <c r="B608" t="s">
        <v>212</v>
      </c>
      <c r="C608">
        <v>70</v>
      </c>
      <c r="D608" s="1">
        <v>0.12859999999999999</v>
      </c>
      <c r="E608">
        <v>9</v>
      </c>
      <c r="F608">
        <v>0</v>
      </c>
      <c r="G608" s="2">
        <v>0</v>
      </c>
      <c r="H608" s="3">
        <v>0</v>
      </c>
      <c r="I608" s="3" t="s">
        <v>213</v>
      </c>
      <c r="J608" s="3">
        <v>0</v>
      </c>
    </row>
    <row r="609" spans="1:10" x14ac:dyDescent="0.3">
      <c r="A609" t="s">
        <v>346</v>
      </c>
      <c r="B609" t="s">
        <v>221</v>
      </c>
      <c r="C609">
        <v>70</v>
      </c>
      <c r="D609" s="1">
        <v>2.86E-2</v>
      </c>
      <c r="E609">
        <v>2</v>
      </c>
      <c r="F609">
        <v>0</v>
      </c>
      <c r="G609" s="2">
        <v>0</v>
      </c>
      <c r="H609" s="3">
        <v>0</v>
      </c>
      <c r="I609" s="3" t="s">
        <v>213</v>
      </c>
      <c r="J609" s="3">
        <v>0</v>
      </c>
    </row>
    <row r="610" spans="1:10" x14ac:dyDescent="0.3">
      <c r="A610" t="s">
        <v>346</v>
      </c>
      <c r="B610" t="s">
        <v>223</v>
      </c>
      <c r="C610">
        <v>70</v>
      </c>
      <c r="D610" s="1">
        <v>0</v>
      </c>
      <c r="E610">
        <v>0</v>
      </c>
      <c r="F610">
        <v>0</v>
      </c>
      <c r="G610" s="2" t="e">
        <v>#VALUE!</v>
      </c>
      <c r="H610" s="3" t="s">
        <v>213</v>
      </c>
      <c r="I610" s="3" t="s">
        <v>213</v>
      </c>
      <c r="J610" s="3">
        <v>0</v>
      </c>
    </row>
    <row r="611" spans="1:10" x14ac:dyDescent="0.3">
      <c r="A611" t="s">
        <v>57</v>
      </c>
      <c r="B611" t="s">
        <v>235</v>
      </c>
      <c r="C611">
        <v>70</v>
      </c>
      <c r="D611" s="1">
        <v>5.7099999999999998E-2</v>
      </c>
      <c r="E611">
        <v>4</v>
      </c>
      <c r="F611">
        <v>1</v>
      </c>
      <c r="G611" s="2">
        <v>0.25</v>
      </c>
      <c r="H611" s="3">
        <v>2</v>
      </c>
      <c r="I611" s="3">
        <v>7.98</v>
      </c>
      <c r="J611" s="3">
        <v>7.98</v>
      </c>
    </row>
    <row r="612" spans="1:10" x14ac:dyDescent="0.3">
      <c r="A612" t="s">
        <v>76</v>
      </c>
      <c r="B612" t="s">
        <v>225</v>
      </c>
      <c r="C612">
        <v>70</v>
      </c>
      <c r="D612" s="1">
        <v>5.7099999999999998E-2</v>
      </c>
      <c r="E612">
        <v>4</v>
      </c>
      <c r="F612">
        <v>0</v>
      </c>
      <c r="G612" s="2">
        <v>0</v>
      </c>
      <c r="H612" s="3">
        <v>0</v>
      </c>
      <c r="I612" s="3" t="s">
        <v>213</v>
      </c>
      <c r="J612" s="3">
        <v>0</v>
      </c>
    </row>
    <row r="613" spans="1:10" x14ac:dyDescent="0.3">
      <c r="A613" t="s">
        <v>456</v>
      </c>
      <c r="B613" t="s">
        <v>221</v>
      </c>
      <c r="C613">
        <v>70</v>
      </c>
      <c r="D613" s="1">
        <v>4.2900000000000001E-2</v>
      </c>
      <c r="E613">
        <v>3</v>
      </c>
      <c r="F613">
        <v>0</v>
      </c>
      <c r="G613" s="2">
        <v>0</v>
      </c>
      <c r="H613" s="3">
        <v>0</v>
      </c>
      <c r="I613" s="3" t="s">
        <v>213</v>
      </c>
      <c r="J613" s="3">
        <v>0</v>
      </c>
    </row>
    <row r="614" spans="1:10" x14ac:dyDescent="0.3">
      <c r="A614" t="s">
        <v>473</v>
      </c>
      <c r="B614" t="s">
        <v>313</v>
      </c>
      <c r="C614">
        <v>70</v>
      </c>
      <c r="D614" s="1">
        <v>7.1399999999999991E-2</v>
      </c>
      <c r="E614">
        <v>5</v>
      </c>
      <c r="F614">
        <v>0</v>
      </c>
      <c r="G614" s="2">
        <v>0</v>
      </c>
      <c r="H614" s="3">
        <v>0</v>
      </c>
      <c r="I614" s="3" t="s">
        <v>213</v>
      </c>
      <c r="J614" s="3">
        <v>0</v>
      </c>
    </row>
    <row r="615" spans="1:10" x14ac:dyDescent="0.3">
      <c r="A615" t="s">
        <v>293</v>
      </c>
      <c r="B615" t="s">
        <v>215</v>
      </c>
      <c r="C615">
        <v>69</v>
      </c>
      <c r="D615" s="1">
        <v>0.1449</v>
      </c>
      <c r="E615">
        <v>10</v>
      </c>
      <c r="F615">
        <v>4</v>
      </c>
      <c r="G615" s="2">
        <v>0.4</v>
      </c>
      <c r="H615" s="3">
        <v>1.65</v>
      </c>
      <c r="I615" s="3">
        <v>4.1100000000000003</v>
      </c>
      <c r="J615" s="3">
        <v>16.45</v>
      </c>
    </row>
    <row r="616" spans="1:10" x14ac:dyDescent="0.3">
      <c r="A616" t="s">
        <v>369</v>
      </c>
      <c r="B616" t="s">
        <v>315</v>
      </c>
      <c r="C616">
        <v>69</v>
      </c>
      <c r="D616" s="1">
        <v>4.3499999999999997E-2</v>
      </c>
      <c r="E616">
        <v>3</v>
      </c>
      <c r="F616">
        <v>0</v>
      </c>
      <c r="G616" s="2">
        <v>0</v>
      </c>
      <c r="H616" s="3">
        <v>0</v>
      </c>
      <c r="I616" s="3" t="s">
        <v>213</v>
      </c>
      <c r="J616" s="3">
        <v>0</v>
      </c>
    </row>
    <row r="617" spans="1:10" x14ac:dyDescent="0.3">
      <c r="A617" t="s">
        <v>369</v>
      </c>
      <c r="B617" t="s">
        <v>372</v>
      </c>
      <c r="C617">
        <v>69</v>
      </c>
      <c r="D617" s="1">
        <v>4.3499999999999997E-2</v>
      </c>
      <c r="E617">
        <v>3</v>
      </c>
      <c r="F617">
        <v>0</v>
      </c>
      <c r="G617" s="2">
        <v>0</v>
      </c>
      <c r="H617" s="3">
        <v>0</v>
      </c>
      <c r="I617" s="3" t="s">
        <v>213</v>
      </c>
      <c r="J617" s="3">
        <v>0</v>
      </c>
    </row>
    <row r="618" spans="1:10" x14ac:dyDescent="0.3">
      <c r="A618" t="s">
        <v>473</v>
      </c>
      <c r="B618" t="s">
        <v>315</v>
      </c>
      <c r="C618">
        <v>69</v>
      </c>
      <c r="D618" s="1">
        <v>2.8999999999999998E-2</v>
      </c>
      <c r="E618">
        <v>2</v>
      </c>
      <c r="F618">
        <v>0</v>
      </c>
      <c r="G618" s="2">
        <v>0</v>
      </c>
      <c r="H618" s="3">
        <v>0</v>
      </c>
      <c r="I618" s="3" t="s">
        <v>213</v>
      </c>
      <c r="J618" s="3">
        <v>0</v>
      </c>
    </row>
    <row r="619" spans="1:10" x14ac:dyDescent="0.3">
      <c r="A619" t="s">
        <v>337</v>
      </c>
      <c r="B619" t="s">
        <v>223</v>
      </c>
      <c r="C619">
        <v>68</v>
      </c>
      <c r="D619" s="1">
        <v>4.41E-2</v>
      </c>
      <c r="E619">
        <v>3</v>
      </c>
      <c r="F619">
        <v>0</v>
      </c>
      <c r="G619" s="2">
        <v>0</v>
      </c>
      <c r="H619" s="3">
        <v>0</v>
      </c>
      <c r="I619" s="3" t="s">
        <v>213</v>
      </c>
      <c r="J619" s="3">
        <v>0</v>
      </c>
    </row>
    <row r="620" spans="1:10" x14ac:dyDescent="0.3">
      <c r="A620" t="s">
        <v>346</v>
      </c>
      <c r="B620" t="s">
        <v>221</v>
      </c>
      <c r="C620">
        <v>68</v>
      </c>
      <c r="D620" s="1">
        <v>0</v>
      </c>
      <c r="E620">
        <v>0</v>
      </c>
      <c r="F620">
        <v>0</v>
      </c>
      <c r="G620" s="2" t="e">
        <v>#VALUE!</v>
      </c>
      <c r="H620" s="3" t="s">
        <v>213</v>
      </c>
      <c r="I620" s="3" t="s">
        <v>213</v>
      </c>
      <c r="J620" s="3">
        <v>0</v>
      </c>
    </row>
    <row r="621" spans="1:10" x14ac:dyDescent="0.3">
      <c r="A621" t="s">
        <v>383</v>
      </c>
      <c r="B621" t="s">
        <v>313</v>
      </c>
      <c r="C621">
        <v>68</v>
      </c>
      <c r="D621" s="1">
        <v>1.47E-2</v>
      </c>
      <c r="E621">
        <v>1</v>
      </c>
      <c r="F621">
        <v>0</v>
      </c>
      <c r="G621" s="2">
        <v>0</v>
      </c>
      <c r="H621" s="3">
        <v>0</v>
      </c>
      <c r="I621" s="3" t="s">
        <v>213</v>
      </c>
      <c r="J621" s="3">
        <v>0</v>
      </c>
    </row>
    <row r="622" spans="1:10" x14ac:dyDescent="0.3">
      <c r="A622" t="s">
        <v>476</v>
      </c>
      <c r="B622" t="s">
        <v>251</v>
      </c>
      <c r="C622">
        <v>68</v>
      </c>
      <c r="D622" s="1">
        <v>8.8200000000000001E-2</v>
      </c>
      <c r="E622">
        <v>6</v>
      </c>
      <c r="F622">
        <v>0</v>
      </c>
      <c r="G622" s="2">
        <v>0</v>
      </c>
      <c r="H622" s="3">
        <v>0</v>
      </c>
      <c r="I622" s="3" t="s">
        <v>213</v>
      </c>
      <c r="J622" s="3">
        <v>0</v>
      </c>
    </row>
    <row r="623" spans="1:10" x14ac:dyDescent="0.3">
      <c r="A623" t="s">
        <v>11</v>
      </c>
      <c r="B623" t="s">
        <v>276</v>
      </c>
      <c r="C623">
        <v>67</v>
      </c>
      <c r="D623" s="1">
        <v>7.46E-2</v>
      </c>
      <c r="E623">
        <v>5</v>
      </c>
      <c r="F623">
        <v>0</v>
      </c>
      <c r="G623" s="2">
        <v>0</v>
      </c>
      <c r="H623" s="3">
        <v>0</v>
      </c>
      <c r="I623" s="3" t="s">
        <v>213</v>
      </c>
      <c r="J623" s="3">
        <v>0</v>
      </c>
    </row>
    <row r="624" spans="1:10" x14ac:dyDescent="0.3">
      <c r="A624" t="s">
        <v>75</v>
      </c>
      <c r="B624" t="s">
        <v>259</v>
      </c>
      <c r="C624">
        <v>67</v>
      </c>
      <c r="D624" s="1">
        <v>7.46E-2</v>
      </c>
      <c r="E624">
        <v>5</v>
      </c>
      <c r="F624">
        <v>1</v>
      </c>
      <c r="G624" s="2">
        <v>0.2</v>
      </c>
      <c r="H624" s="3">
        <v>1.54</v>
      </c>
      <c r="I624" s="3">
        <v>7.71</v>
      </c>
      <c r="J624" s="3">
        <v>7.71</v>
      </c>
    </row>
    <row r="625" spans="1:10" x14ac:dyDescent="0.3">
      <c r="A625" t="s">
        <v>41</v>
      </c>
      <c r="B625" t="s">
        <v>227</v>
      </c>
      <c r="C625">
        <v>67</v>
      </c>
      <c r="D625" s="1">
        <v>8.9600000000000013E-2</v>
      </c>
      <c r="E625">
        <v>6</v>
      </c>
      <c r="F625">
        <v>1</v>
      </c>
      <c r="G625" s="2">
        <v>0.16670000000000001</v>
      </c>
      <c r="H625" s="3">
        <v>0.42</v>
      </c>
      <c r="I625" s="3">
        <v>2.54</v>
      </c>
      <c r="J625" s="3">
        <v>2.54</v>
      </c>
    </row>
    <row r="626" spans="1:10" x14ac:dyDescent="0.3">
      <c r="A626" t="s">
        <v>19</v>
      </c>
      <c r="B626" t="s">
        <v>468</v>
      </c>
      <c r="C626">
        <v>67</v>
      </c>
      <c r="D626" s="1">
        <v>2.9900000000000003E-2</v>
      </c>
      <c r="E626">
        <v>2</v>
      </c>
      <c r="F626">
        <v>0</v>
      </c>
      <c r="G626" s="2">
        <v>0</v>
      </c>
      <c r="H626" s="3">
        <v>0</v>
      </c>
      <c r="I626" s="3" t="s">
        <v>213</v>
      </c>
      <c r="J626" s="3">
        <v>0</v>
      </c>
    </row>
    <row r="627" spans="1:10" x14ac:dyDescent="0.3">
      <c r="A627" t="s">
        <v>409</v>
      </c>
      <c r="B627" t="s">
        <v>223</v>
      </c>
      <c r="C627">
        <v>66</v>
      </c>
      <c r="D627" s="1">
        <v>4.5499999999999999E-2</v>
      </c>
      <c r="E627">
        <v>3</v>
      </c>
      <c r="F627">
        <v>0</v>
      </c>
      <c r="G627" s="2">
        <v>0</v>
      </c>
      <c r="H627" s="3">
        <v>0</v>
      </c>
      <c r="I627" s="3" t="s">
        <v>213</v>
      </c>
      <c r="J627" s="3">
        <v>0</v>
      </c>
    </row>
    <row r="628" spans="1:10" x14ac:dyDescent="0.3">
      <c r="A628" t="s">
        <v>334</v>
      </c>
      <c r="B628" t="s">
        <v>221</v>
      </c>
      <c r="C628">
        <v>65</v>
      </c>
      <c r="D628" s="1">
        <v>3.0800000000000001E-2</v>
      </c>
      <c r="E628">
        <v>2</v>
      </c>
      <c r="F628">
        <v>0</v>
      </c>
      <c r="G628" s="2">
        <v>0</v>
      </c>
      <c r="H628" s="3">
        <v>0</v>
      </c>
      <c r="I628" s="3" t="s">
        <v>213</v>
      </c>
      <c r="J628" s="3">
        <v>0</v>
      </c>
    </row>
    <row r="629" spans="1:10" x14ac:dyDescent="0.3">
      <c r="A629" t="s">
        <v>335</v>
      </c>
      <c r="B629" t="s">
        <v>221</v>
      </c>
      <c r="C629">
        <v>64</v>
      </c>
      <c r="D629" s="1">
        <v>4.6900000000000004E-2</v>
      </c>
      <c r="E629">
        <v>3</v>
      </c>
      <c r="F629">
        <v>0</v>
      </c>
      <c r="G629" s="2">
        <v>0</v>
      </c>
      <c r="H629" s="3">
        <v>0</v>
      </c>
      <c r="I629" s="3" t="s">
        <v>213</v>
      </c>
      <c r="J629" s="3">
        <v>0</v>
      </c>
    </row>
    <row r="630" spans="1:10" x14ac:dyDescent="0.3">
      <c r="A630" t="s">
        <v>11</v>
      </c>
      <c r="B630" t="s">
        <v>226</v>
      </c>
      <c r="C630">
        <v>63</v>
      </c>
      <c r="D630" s="1">
        <v>7.9399999999999998E-2</v>
      </c>
      <c r="E630">
        <v>5</v>
      </c>
      <c r="F630">
        <v>0</v>
      </c>
      <c r="G630" s="2">
        <v>0</v>
      </c>
      <c r="H630" s="3">
        <v>0</v>
      </c>
      <c r="I630" s="3" t="s">
        <v>213</v>
      </c>
      <c r="J630" s="3">
        <v>0</v>
      </c>
    </row>
    <row r="631" spans="1:10" x14ac:dyDescent="0.3">
      <c r="A631" t="s">
        <v>486</v>
      </c>
      <c r="B631" t="s">
        <v>215</v>
      </c>
      <c r="C631">
        <v>63</v>
      </c>
      <c r="D631" s="1">
        <v>9.5199999999999993E-2</v>
      </c>
      <c r="E631">
        <v>6</v>
      </c>
      <c r="F631">
        <v>0</v>
      </c>
      <c r="G631" s="2">
        <v>0</v>
      </c>
      <c r="H631" s="3">
        <v>0</v>
      </c>
      <c r="I631" s="3" t="s">
        <v>213</v>
      </c>
      <c r="J631" s="3">
        <v>0</v>
      </c>
    </row>
    <row r="632" spans="1:10" x14ac:dyDescent="0.3">
      <c r="A632" t="s">
        <v>383</v>
      </c>
      <c r="B632" t="s">
        <v>229</v>
      </c>
      <c r="C632">
        <v>62</v>
      </c>
      <c r="D632" s="1">
        <v>4.8399999999999999E-2</v>
      </c>
      <c r="E632">
        <v>3</v>
      </c>
      <c r="F632">
        <v>0</v>
      </c>
      <c r="G632" s="2">
        <v>0</v>
      </c>
      <c r="H632" s="3">
        <v>0</v>
      </c>
      <c r="I632" s="3" t="s">
        <v>213</v>
      </c>
      <c r="J632" s="3">
        <v>0</v>
      </c>
    </row>
    <row r="633" spans="1:10" x14ac:dyDescent="0.3">
      <c r="A633" t="s">
        <v>76</v>
      </c>
      <c r="B633" t="s">
        <v>264</v>
      </c>
      <c r="C633">
        <v>62</v>
      </c>
      <c r="D633" s="1">
        <v>8.0600000000000005E-2</v>
      </c>
      <c r="E633">
        <v>5</v>
      </c>
      <c r="F633">
        <v>0</v>
      </c>
      <c r="G633" s="2">
        <v>0</v>
      </c>
      <c r="H633" s="3">
        <v>0</v>
      </c>
      <c r="I633" s="3" t="s">
        <v>213</v>
      </c>
      <c r="J633" s="3">
        <v>0</v>
      </c>
    </row>
    <row r="634" spans="1:10" x14ac:dyDescent="0.3">
      <c r="A634" t="s">
        <v>287</v>
      </c>
      <c r="B634" t="s">
        <v>226</v>
      </c>
      <c r="C634">
        <v>61</v>
      </c>
      <c r="D634" s="1">
        <v>9.8400000000000001E-2</v>
      </c>
      <c r="E634">
        <v>6</v>
      </c>
      <c r="F634">
        <v>1</v>
      </c>
      <c r="G634" s="2">
        <v>0.16670000000000001</v>
      </c>
      <c r="H634" s="3">
        <v>0.79</v>
      </c>
      <c r="I634" s="3">
        <v>4.72</v>
      </c>
      <c r="J634" s="3">
        <v>4.72</v>
      </c>
    </row>
    <row r="635" spans="1:10" x14ac:dyDescent="0.3">
      <c r="A635" t="s">
        <v>11</v>
      </c>
      <c r="B635" t="s">
        <v>312</v>
      </c>
      <c r="C635">
        <v>61</v>
      </c>
      <c r="D635" s="1">
        <v>6.5599999999999992E-2</v>
      </c>
      <c r="E635">
        <v>4</v>
      </c>
      <c r="F635">
        <v>0</v>
      </c>
      <c r="G635" s="2">
        <v>0</v>
      </c>
      <c r="H635" s="3">
        <v>0</v>
      </c>
      <c r="I635" s="3" t="s">
        <v>213</v>
      </c>
      <c r="J635" s="3">
        <v>0</v>
      </c>
    </row>
    <row r="636" spans="1:10" x14ac:dyDescent="0.3">
      <c r="A636" t="s">
        <v>11</v>
      </c>
      <c r="B636" t="s">
        <v>235</v>
      </c>
      <c r="C636">
        <v>61</v>
      </c>
      <c r="D636" s="1">
        <v>6.5599999999999992E-2</v>
      </c>
      <c r="E636">
        <v>4</v>
      </c>
      <c r="F636">
        <v>0</v>
      </c>
      <c r="G636" s="2">
        <v>0</v>
      </c>
      <c r="H636" s="3">
        <v>0</v>
      </c>
      <c r="I636" s="3" t="s">
        <v>213</v>
      </c>
      <c r="J636" s="3">
        <v>0</v>
      </c>
    </row>
    <row r="637" spans="1:10" x14ac:dyDescent="0.3">
      <c r="A637" t="s">
        <v>27</v>
      </c>
      <c r="B637" t="s">
        <v>223</v>
      </c>
      <c r="C637">
        <v>61</v>
      </c>
      <c r="D637" s="1">
        <v>0.21309999999999998</v>
      </c>
      <c r="E637">
        <v>13</v>
      </c>
      <c r="F637" t="e">
        <v>#VALUE!</v>
      </c>
      <c r="G637" s="2">
        <v>0</v>
      </c>
      <c r="H637" s="3">
        <v>0</v>
      </c>
      <c r="I637" s="3">
        <v>0</v>
      </c>
      <c r="J637" s="3">
        <v>0</v>
      </c>
    </row>
    <row r="638" spans="1:10" x14ac:dyDescent="0.3">
      <c r="A638" t="s">
        <v>291</v>
      </c>
      <c r="B638" t="s">
        <v>221</v>
      </c>
      <c r="C638">
        <v>60</v>
      </c>
      <c r="D638" s="1">
        <v>6.6699999999999995E-2</v>
      </c>
      <c r="E638">
        <v>4</v>
      </c>
      <c r="F638">
        <v>0</v>
      </c>
      <c r="G638" s="2" t="e">
        <v>#VALUE!</v>
      </c>
      <c r="H638" s="3">
        <v>0</v>
      </c>
      <c r="I638" s="3" t="s">
        <v>213</v>
      </c>
      <c r="J638" s="3">
        <v>0</v>
      </c>
    </row>
    <row r="639" spans="1:10" x14ac:dyDescent="0.3">
      <c r="A639" t="s">
        <v>11</v>
      </c>
      <c r="B639" t="s">
        <v>229</v>
      </c>
      <c r="C639">
        <v>60</v>
      </c>
      <c r="D639" s="1">
        <v>0.05</v>
      </c>
      <c r="E639">
        <v>3</v>
      </c>
      <c r="F639">
        <v>0</v>
      </c>
      <c r="G639" s="2">
        <v>0</v>
      </c>
      <c r="H639" s="3">
        <v>0</v>
      </c>
      <c r="I639" s="3" t="s">
        <v>213</v>
      </c>
      <c r="J639" s="3">
        <v>0</v>
      </c>
    </row>
    <row r="640" spans="1:10" x14ac:dyDescent="0.3">
      <c r="A640" t="s">
        <v>375</v>
      </c>
      <c r="B640" t="s">
        <v>221</v>
      </c>
      <c r="C640">
        <v>60</v>
      </c>
      <c r="D640" s="1">
        <v>1.67E-2</v>
      </c>
      <c r="E640">
        <v>1</v>
      </c>
      <c r="F640">
        <v>0</v>
      </c>
      <c r="G640" s="2">
        <v>0</v>
      </c>
      <c r="H640" s="3">
        <v>0</v>
      </c>
      <c r="I640" s="3" t="s">
        <v>213</v>
      </c>
      <c r="J640" s="3">
        <v>0</v>
      </c>
    </row>
    <row r="641" spans="1:10" x14ac:dyDescent="0.3">
      <c r="A641" t="s">
        <v>383</v>
      </c>
      <c r="B641" t="s">
        <v>316</v>
      </c>
      <c r="C641">
        <v>60</v>
      </c>
      <c r="D641" s="1">
        <v>0.05</v>
      </c>
      <c r="E641">
        <v>3</v>
      </c>
      <c r="F641">
        <v>0</v>
      </c>
      <c r="G641" s="2">
        <v>0</v>
      </c>
      <c r="H641" s="3">
        <v>0</v>
      </c>
      <c r="I641" s="3" t="s">
        <v>213</v>
      </c>
      <c r="J641" s="3">
        <v>0</v>
      </c>
    </row>
    <row r="642" spans="1:10" x14ac:dyDescent="0.3">
      <c r="A642" t="s">
        <v>11</v>
      </c>
      <c r="B642" t="s">
        <v>256</v>
      </c>
      <c r="C642">
        <v>59</v>
      </c>
      <c r="D642" s="1">
        <v>6.7799999999999999E-2</v>
      </c>
      <c r="E642">
        <v>4</v>
      </c>
      <c r="F642">
        <v>0</v>
      </c>
      <c r="G642" s="2">
        <v>0</v>
      </c>
      <c r="H642" s="3">
        <v>0</v>
      </c>
      <c r="I642" s="3" t="s">
        <v>213</v>
      </c>
      <c r="J642" s="3">
        <v>0</v>
      </c>
    </row>
    <row r="643" spans="1:10" x14ac:dyDescent="0.3">
      <c r="A643" t="s">
        <v>11</v>
      </c>
      <c r="B643" t="s">
        <v>286</v>
      </c>
      <c r="C643">
        <v>59</v>
      </c>
      <c r="D643" s="1">
        <v>5.0799999999999998E-2</v>
      </c>
      <c r="E643">
        <v>3</v>
      </c>
      <c r="F643">
        <v>0</v>
      </c>
      <c r="G643" s="2">
        <v>0</v>
      </c>
      <c r="H643" s="3">
        <v>0</v>
      </c>
      <c r="I643" s="3" t="s">
        <v>213</v>
      </c>
      <c r="J643" s="3">
        <v>0</v>
      </c>
    </row>
    <row r="644" spans="1:10" x14ac:dyDescent="0.3">
      <c r="A644" t="s">
        <v>333</v>
      </c>
      <c r="B644" t="s">
        <v>215</v>
      </c>
      <c r="C644">
        <v>59</v>
      </c>
      <c r="D644" s="1">
        <v>5.0799999999999998E-2</v>
      </c>
      <c r="E644">
        <v>3</v>
      </c>
      <c r="F644">
        <v>0</v>
      </c>
      <c r="G644" s="2">
        <v>0</v>
      </c>
      <c r="H644" s="3">
        <v>0</v>
      </c>
      <c r="I644" s="3" t="s">
        <v>213</v>
      </c>
      <c r="J644" s="3">
        <v>0</v>
      </c>
    </row>
    <row r="645" spans="1:10" x14ac:dyDescent="0.3">
      <c r="A645" t="s">
        <v>369</v>
      </c>
      <c r="B645" t="s">
        <v>318</v>
      </c>
      <c r="C645">
        <v>59</v>
      </c>
      <c r="D645" s="1">
        <v>6.7799999999999999E-2</v>
      </c>
      <c r="E645">
        <v>4</v>
      </c>
      <c r="F645">
        <v>0</v>
      </c>
      <c r="G645" s="2">
        <v>0</v>
      </c>
      <c r="H645" s="3">
        <v>0</v>
      </c>
      <c r="I645" s="3" t="s">
        <v>213</v>
      </c>
      <c r="J645" s="3">
        <v>0</v>
      </c>
    </row>
    <row r="646" spans="1:10" x14ac:dyDescent="0.3">
      <c r="A646" t="s">
        <v>250</v>
      </c>
      <c r="B646" t="s">
        <v>251</v>
      </c>
      <c r="C646">
        <v>58</v>
      </c>
      <c r="D646" s="1">
        <v>5.1699999999999996E-2</v>
      </c>
      <c r="E646">
        <v>3</v>
      </c>
      <c r="F646">
        <v>0</v>
      </c>
      <c r="G646" s="2">
        <v>0</v>
      </c>
      <c r="H646" s="3">
        <v>0</v>
      </c>
      <c r="I646" s="3" t="s">
        <v>213</v>
      </c>
      <c r="J646" s="3">
        <v>0</v>
      </c>
    </row>
    <row r="647" spans="1:10" x14ac:dyDescent="0.3">
      <c r="A647" t="s">
        <v>11</v>
      </c>
      <c r="B647" t="s">
        <v>239</v>
      </c>
      <c r="C647">
        <v>58</v>
      </c>
      <c r="D647" s="1">
        <v>6.9000000000000006E-2</v>
      </c>
      <c r="E647">
        <v>4</v>
      </c>
      <c r="F647">
        <v>0</v>
      </c>
      <c r="G647" s="2">
        <v>0</v>
      </c>
      <c r="H647" s="3">
        <v>0</v>
      </c>
      <c r="I647" s="3" t="s">
        <v>213</v>
      </c>
      <c r="J647" s="3">
        <v>0</v>
      </c>
    </row>
    <row r="648" spans="1:10" x14ac:dyDescent="0.3">
      <c r="A648" t="s">
        <v>11</v>
      </c>
      <c r="B648" t="s">
        <v>245</v>
      </c>
      <c r="C648">
        <v>58</v>
      </c>
      <c r="D648" s="1">
        <v>5.1699999999999996E-2</v>
      </c>
      <c r="E648">
        <v>3</v>
      </c>
      <c r="F648">
        <v>0</v>
      </c>
      <c r="G648" s="2">
        <v>0</v>
      </c>
      <c r="H648" s="3">
        <v>0</v>
      </c>
      <c r="I648" s="3" t="s">
        <v>213</v>
      </c>
      <c r="J648" s="3">
        <v>0</v>
      </c>
    </row>
    <row r="649" spans="1:10" x14ac:dyDescent="0.3">
      <c r="A649" t="s">
        <v>11</v>
      </c>
      <c r="B649" t="s">
        <v>312</v>
      </c>
      <c r="C649">
        <v>58</v>
      </c>
      <c r="D649" s="1">
        <v>3.4500000000000003E-2</v>
      </c>
      <c r="E649">
        <v>2</v>
      </c>
      <c r="F649">
        <v>0</v>
      </c>
      <c r="G649" s="2">
        <v>0</v>
      </c>
      <c r="H649" s="3">
        <v>0</v>
      </c>
      <c r="I649" s="3" t="s">
        <v>213</v>
      </c>
      <c r="J649" s="3">
        <v>0</v>
      </c>
    </row>
    <row r="650" spans="1:10" x14ac:dyDescent="0.3">
      <c r="A650" t="s">
        <v>20</v>
      </c>
      <c r="B650" t="s">
        <v>282</v>
      </c>
      <c r="C650">
        <v>58</v>
      </c>
      <c r="D650" s="1">
        <v>0.3276</v>
      </c>
      <c r="E650">
        <v>19</v>
      </c>
      <c r="F650">
        <v>2</v>
      </c>
      <c r="G650" s="2">
        <v>0.10529999999999999</v>
      </c>
      <c r="H650" s="3">
        <v>0.24</v>
      </c>
      <c r="I650" s="3">
        <v>2.2799999999999998</v>
      </c>
      <c r="J650" s="3">
        <v>4.5599999999999996</v>
      </c>
    </row>
    <row r="651" spans="1:10" x14ac:dyDescent="0.3">
      <c r="A651" t="s">
        <v>429</v>
      </c>
      <c r="B651" t="s">
        <v>221</v>
      </c>
      <c r="C651">
        <v>58</v>
      </c>
      <c r="D651" s="1">
        <v>5.1699999999999996E-2</v>
      </c>
      <c r="E651">
        <v>3</v>
      </c>
      <c r="F651">
        <v>0</v>
      </c>
      <c r="G651" s="2">
        <v>0</v>
      </c>
      <c r="H651" s="3">
        <v>0</v>
      </c>
      <c r="I651" s="3" t="s">
        <v>213</v>
      </c>
      <c r="J651" s="3">
        <v>0</v>
      </c>
    </row>
    <row r="652" spans="1:10" x14ac:dyDescent="0.3">
      <c r="A652" t="s">
        <v>11</v>
      </c>
      <c r="B652" t="s">
        <v>276</v>
      </c>
      <c r="C652">
        <v>57</v>
      </c>
      <c r="D652" s="1">
        <v>7.0199999999999999E-2</v>
      </c>
      <c r="E652">
        <v>4</v>
      </c>
      <c r="F652">
        <v>0</v>
      </c>
      <c r="G652" s="2">
        <v>0</v>
      </c>
      <c r="H652" s="3">
        <v>0</v>
      </c>
      <c r="I652" s="3" t="s">
        <v>213</v>
      </c>
      <c r="J652" s="3">
        <v>0</v>
      </c>
    </row>
    <row r="653" spans="1:10" x14ac:dyDescent="0.3">
      <c r="A653" t="s">
        <v>11</v>
      </c>
      <c r="B653" t="s">
        <v>282</v>
      </c>
      <c r="C653">
        <v>57</v>
      </c>
      <c r="D653" s="1">
        <v>3.5099999999999999E-2</v>
      </c>
      <c r="E653">
        <v>2</v>
      </c>
      <c r="F653">
        <v>0</v>
      </c>
      <c r="G653" s="2">
        <v>0</v>
      </c>
      <c r="H653" s="3">
        <v>0</v>
      </c>
      <c r="I653" s="3" t="s">
        <v>213</v>
      </c>
      <c r="J653" s="3">
        <v>0</v>
      </c>
    </row>
    <row r="654" spans="1:10" x14ac:dyDescent="0.3">
      <c r="A654" t="s">
        <v>369</v>
      </c>
      <c r="B654" t="s">
        <v>289</v>
      </c>
      <c r="C654">
        <v>57</v>
      </c>
      <c r="D654" s="1">
        <v>3.5099999999999999E-2</v>
      </c>
      <c r="E654">
        <v>2</v>
      </c>
      <c r="F654">
        <v>0</v>
      </c>
      <c r="G654" s="2">
        <v>0</v>
      </c>
      <c r="H654" s="3">
        <v>0</v>
      </c>
      <c r="I654" s="3" t="s">
        <v>213</v>
      </c>
      <c r="J654" s="3">
        <v>0</v>
      </c>
    </row>
    <row r="655" spans="1:10" x14ac:dyDescent="0.3">
      <c r="A655" t="s">
        <v>391</v>
      </c>
      <c r="B655" t="s">
        <v>223</v>
      </c>
      <c r="C655">
        <v>57</v>
      </c>
      <c r="D655" s="1">
        <v>1.7500000000000002E-2</v>
      </c>
      <c r="E655">
        <v>1</v>
      </c>
      <c r="F655">
        <v>0</v>
      </c>
      <c r="G655" s="2">
        <v>0</v>
      </c>
      <c r="H655" s="3">
        <v>0</v>
      </c>
      <c r="I655" s="3" t="s">
        <v>213</v>
      </c>
      <c r="J655" s="3">
        <v>0</v>
      </c>
    </row>
    <row r="656" spans="1:10" x14ac:dyDescent="0.3">
      <c r="A656" t="s">
        <v>422</v>
      </c>
      <c r="B656" t="s">
        <v>215</v>
      </c>
      <c r="C656">
        <v>57</v>
      </c>
      <c r="D656" s="1">
        <v>3.5099999999999999E-2</v>
      </c>
      <c r="E656">
        <v>2</v>
      </c>
      <c r="F656">
        <v>0</v>
      </c>
      <c r="G656" s="2">
        <v>0</v>
      </c>
      <c r="H656" s="3">
        <v>0</v>
      </c>
      <c r="I656" s="3" t="s">
        <v>213</v>
      </c>
      <c r="J656" s="3">
        <v>0</v>
      </c>
    </row>
    <row r="657" spans="1:10" x14ac:dyDescent="0.3">
      <c r="A657" t="s">
        <v>83</v>
      </c>
      <c r="B657" t="s">
        <v>223</v>
      </c>
      <c r="C657">
        <v>56</v>
      </c>
      <c r="D657" s="1">
        <v>3.5699999999999996E-2</v>
      </c>
      <c r="E657">
        <v>2</v>
      </c>
      <c r="F657">
        <v>0</v>
      </c>
      <c r="G657" s="2">
        <v>0</v>
      </c>
      <c r="H657" s="3">
        <v>0</v>
      </c>
      <c r="I657" s="3" t="s">
        <v>213</v>
      </c>
      <c r="J657" s="3">
        <v>0</v>
      </c>
    </row>
    <row r="658" spans="1:10" x14ac:dyDescent="0.3">
      <c r="A658" t="s">
        <v>11</v>
      </c>
      <c r="B658" t="s">
        <v>316</v>
      </c>
      <c r="C658">
        <v>56</v>
      </c>
      <c r="D658" s="1">
        <v>8.929999999999999E-2</v>
      </c>
      <c r="E658">
        <v>5</v>
      </c>
      <c r="F658">
        <v>1</v>
      </c>
      <c r="G658" s="2">
        <v>0.2</v>
      </c>
      <c r="H658" s="3">
        <v>4.99</v>
      </c>
      <c r="I658" s="3">
        <v>24.94</v>
      </c>
      <c r="J658" s="3">
        <v>24.94</v>
      </c>
    </row>
    <row r="659" spans="1:10" x14ac:dyDescent="0.3">
      <c r="A659" t="s">
        <v>423</v>
      </c>
      <c r="B659" t="s">
        <v>223</v>
      </c>
      <c r="C659">
        <v>56</v>
      </c>
      <c r="D659" s="1">
        <v>0.10710000000000001</v>
      </c>
      <c r="E659">
        <v>6</v>
      </c>
      <c r="F659">
        <v>1</v>
      </c>
      <c r="G659" s="2">
        <v>0.16670000000000001</v>
      </c>
      <c r="H659" s="3">
        <v>0.37</v>
      </c>
      <c r="I659" s="3">
        <v>2.23</v>
      </c>
      <c r="J659" s="3">
        <v>2.23</v>
      </c>
    </row>
    <row r="660" spans="1:10" x14ac:dyDescent="0.3">
      <c r="A660" t="s">
        <v>428</v>
      </c>
      <c r="B660" t="s">
        <v>221</v>
      </c>
      <c r="C660">
        <v>56</v>
      </c>
      <c r="D660" s="1">
        <v>0</v>
      </c>
      <c r="E660">
        <v>0</v>
      </c>
      <c r="F660">
        <v>0</v>
      </c>
      <c r="G660" s="2" t="e">
        <v>#VALUE!</v>
      </c>
      <c r="H660" s="3" t="s">
        <v>213</v>
      </c>
      <c r="I660" s="3" t="s">
        <v>213</v>
      </c>
      <c r="J660" s="3">
        <v>0</v>
      </c>
    </row>
    <row r="661" spans="1:10" x14ac:dyDescent="0.3">
      <c r="A661" t="s">
        <v>11</v>
      </c>
      <c r="B661" t="s">
        <v>314</v>
      </c>
      <c r="C661">
        <v>55</v>
      </c>
      <c r="D661" s="1">
        <v>7.2700000000000001E-2</v>
      </c>
      <c r="E661">
        <v>4</v>
      </c>
      <c r="F661">
        <v>1</v>
      </c>
      <c r="G661" s="2">
        <v>0.25</v>
      </c>
      <c r="H661" s="3">
        <v>2.44</v>
      </c>
      <c r="I661" s="3">
        <v>9.7799999999999994</v>
      </c>
      <c r="J661" s="3">
        <v>9.7799999999999994</v>
      </c>
    </row>
    <row r="662" spans="1:10" x14ac:dyDescent="0.3">
      <c r="A662" t="s">
        <v>346</v>
      </c>
      <c r="B662" t="s">
        <v>221</v>
      </c>
      <c r="C662">
        <v>55</v>
      </c>
      <c r="D662" s="1">
        <v>1.8200000000000001E-2</v>
      </c>
      <c r="E662">
        <v>1</v>
      </c>
      <c r="F662">
        <v>0</v>
      </c>
      <c r="G662" s="2">
        <v>0</v>
      </c>
      <c r="H662" s="3">
        <v>0</v>
      </c>
      <c r="I662" s="3" t="s">
        <v>213</v>
      </c>
      <c r="J662" s="3">
        <v>0</v>
      </c>
    </row>
    <row r="663" spans="1:10" x14ac:dyDescent="0.3">
      <c r="A663" t="s">
        <v>369</v>
      </c>
      <c r="B663" t="s">
        <v>256</v>
      </c>
      <c r="C663">
        <v>55</v>
      </c>
      <c r="D663" s="1">
        <v>1.8200000000000001E-2</v>
      </c>
      <c r="E663">
        <v>1</v>
      </c>
      <c r="F663">
        <v>1</v>
      </c>
      <c r="G663" s="2">
        <v>1</v>
      </c>
      <c r="H663" s="3">
        <v>8.35</v>
      </c>
      <c r="I663" s="3">
        <v>8.35</v>
      </c>
      <c r="J663" s="3">
        <v>8.35</v>
      </c>
    </row>
    <row r="664" spans="1:10" x14ac:dyDescent="0.3">
      <c r="A664" t="s">
        <v>381</v>
      </c>
      <c r="B664" t="s">
        <v>215</v>
      </c>
      <c r="C664">
        <v>55</v>
      </c>
      <c r="D664" s="1">
        <v>7.2700000000000001E-2</v>
      </c>
      <c r="E664">
        <v>4</v>
      </c>
      <c r="F664">
        <v>0</v>
      </c>
      <c r="G664" s="2">
        <v>0</v>
      </c>
      <c r="H664" s="3">
        <v>0</v>
      </c>
      <c r="I664" s="3" t="s">
        <v>213</v>
      </c>
      <c r="J664" s="3">
        <v>0</v>
      </c>
    </row>
    <row r="665" spans="1:10" x14ac:dyDescent="0.3">
      <c r="A665" t="s">
        <v>11</v>
      </c>
      <c r="B665" t="s">
        <v>317</v>
      </c>
      <c r="C665">
        <v>53</v>
      </c>
      <c r="D665" s="1">
        <v>0.11320000000000001</v>
      </c>
      <c r="E665">
        <v>6</v>
      </c>
      <c r="F665">
        <v>0</v>
      </c>
      <c r="G665" s="2">
        <v>0</v>
      </c>
      <c r="H665" s="3">
        <v>0</v>
      </c>
      <c r="I665" s="3" t="s">
        <v>213</v>
      </c>
      <c r="J665" s="3">
        <v>0</v>
      </c>
    </row>
    <row r="666" spans="1:10" x14ac:dyDescent="0.3">
      <c r="A666" t="s">
        <v>11</v>
      </c>
      <c r="B666" t="s">
        <v>320</v>
      </c>
      <c r="C666">
        <v>53</v>
      </c>
      <c r="D666" s="1">
        <v>7.5499999999999998E-2</v>
      </c>
      <c r="E666">
        <v>4</v>
      </c>
      <c r="F666">
        <v>0</v>
      </c>
      <c r="G666" s="2">
        <v>0</v>
      </c>
      <c r="H666" s="3">
        <v>0</v>
      </c>
      <c r="I666" s="3" t="s">
        <v>213</v>
      </c>
      <c r="J666" s="3">
        <v>0</v>
      </c>
    </row>
    <row r="667" spans="1:10" x14ac:dyDescent="0.3">
      <c r="A667" t="s">
        <v>340</v>
      </c>
      <c r="B667" t="s">
        <v>272</v>
      </c>
      <c r="C667">
        <v>53</v>
      </c>
      <c r="D667" s="1">
        <v>1.89E-2</v>
      </c>
      <c r="E667">
        <v>1</v>
      </c>
      <c r="F667">
        <v>0</v>
      </c>
      <c r="G667" s="2">
        <v>0</v>
      </c>
      <c r="H667" s="3">
        <v>0</v>
      </c>
      <c r="I667" s="3" t="s">
        <v>213</v>
      </c>
      <c r="J667" s="3">
        <v>0</v>
      </c>
    </row>
    <row r="668" spans="1:10" x14ac:dyDescent="0.3">
      <c r="A668" t="s">
        <v>376</v>
      </c>
      <c r="B668" t="s">
        <v>221</v>
      </c>
      <c r="C668">
        <v>53</v>
      </c>
      <c r="D668" s="1">
        <v>5.6600000000000004E-2</v>
      </c>
      <c r="E668">
        <v>3</v>
      </c>
      <c r="F668">
        <v>1</v>
      </c>
      <c r="G668" s="2">
        <v>0.33329999999999999</v>
      </c>
      <c r="H668" s="3">
        <v>8.09</v>
      </c>
      <c r="I668" s="3">
        <v>24.28</v>
      </c>
      <c r="J668" s="3">
        <v>24.28</v>
      </c>
    </row>
    <row r="669" spans="1:10" x14ac:dyDescent="0.3">
      <c r="A669" t="s">
        <v>473</v>
      </c>
      <c r="B669" t="s">
        <v>235</v>
      </c>
      <c r="C669">
        <v>53</v>
      </c>
      <c r="D669" s="1">
        <v>1.89E-2</v>
      </c>
      <c r="E669">
        <v>1</v>
      </c>
      <c r="F669">
        <v>0</v>
      </c>
      <c r="G669" s="2">
        <v>0</v>
      </c>
      <c r="H669" s="3">
        <v>0</v>
      </c>
      <c r="I669" s="3" t="s">
        <v>213</v>
      </c>
      <c r="J669" s="3">
        <v>0</v>
      </c>
    </row>
    <row r="670" spans="1:10" x14ac:dyDescent="0.3">
      <c r="A670" t="s">
        <v>475</v>
      </c>
      <c r="B670" t="s">
        <v>272</v>
      </c>
      <c r="C670">
        <v>52</v>
      </c>
      <c r="D670" s="1">
        <v>3.85E-2</v>
      </c>
      <c r="E670">
        <v>2</v>
      </c>
      <c r="F670">
        <v>0</v>
      </c>
      <c r="G670" s="2">
        <v>0</v>
      </c>
      <c r="H670" s="3">
        <v>0</v>
      </c>
      <c r="I670" s="3" t="s">
        <v>213</v>
      </c>
      <c r="J670" s="3">
        <v>0</v>
      </c>
    </row>
    <row r="671" spans="1:10" x14ac:dyDescent="0.3">
      <c r="A671" t="s">
        <v>424</v>
      </c>
      <c r="B671" t="s">
        <v>223</v>
      </c>
      <c r="C671">
        <v>51</v>
      </c>
      <c r="D671" s="1">
        <v>0.1176</v>
      </c>
      <c r="E671">
        <v>6</v>
      </c>
      <c r="F671">
        <v>0</v>
      </c>
      <c r="G671" s="2" t="e">
        <v>#VALUE!</v>
      </c>
      <c r="H671" s="3">
        <v>0</v>
      </c>
      <c r="I671" s="3" t="s">
        <v>213</v>
      </c>
      <c r="J671" s="3">
        <v>0</v>
      </c>
    </row>
    <row r="672" spans="1:10" x14ac:dyDescent="0.3">
      <c r="A672" t="s">
        <v>76</v>
      </c>
      <c r="B672" t="s">
        <v>312</v>
      </c>
      <c r="C672">
        <v>51</v>
      </c>
      <c r="D672" s="1">
        <v>9.8000000000000004E-2</v>
      </c>
      <c r="E672">
        <v>5</v>
      </c>
      <c r="F672">
        <v>0</v>
      </c>
      <c r="G672" s="2">
        <v>0</v>
      </c>
      <c r="H672" s="3">
        <v>0</v>
      </c>
      <c r="I672" s="3" t="s">
        <v>213</v>
      </c>
      <c r="J672" s="3">
        <v>0</v>
      </c>
    </row>
    <row r="673" spans="1:10" x14ac:dyDescent="0.3">
      <c r="A673" t="s">
        <v>107</v>
      </c>
      <c r="B673" t="s">
        <v>239</v>
      </c>
      <c r="C673">
        <v>50</v>
      </c>
      <c r="D673" s="1">
        <v>0</v>
      </c>
      <c r="E673">
        <v>0</v>
      </c>
      <c r="F673">
        <v>0</v>
      </c>
      <c r="G673" s="2" t="e">
        <v>#VALUE!</v>
      </c>
      <c r="H673" s="3" t="s">
        <v>213</v>
      </c>
      <c r="I673" s="3" t="s">
        <v>213</v>
      </c>
      <c r="J673" s="3">
        <v>0</v>
      </c>
    </row>
    <row r="674" spans="1:10" x14ac:dyDescent="0.3">
      <c r="A674" t="s">
        <v>302</v>
      </c>
      <c r="B674" t="s">
        <v>221</v>
      </c>
      <c r="C674">
        <v>50</v>
      </c>
      <c r="D674" s="1">
        <v>0.14000000000000001</v>
      </c>
      <c r="E674">
        <v>7</v>
      </c>
      <c r="F674" t="e">
        <v>#VALUE!</v>
      </c>
      <c r="G674" s="2">
        <v>0</v>
      </c>
      <c r="H674" s="3">
        <v>7.11</v>
      </c>
      <c r="I674" s="3">
        <v>8.2899999999999991</v>
      </c>
      <c r="J674" s="3">
        <v>49.76</v>
      </c>
    </row>
    <row r="675" spans="1:10" x14ac:dyDescent="0.3">
      <c r="A675" t="s">
        <v>11</v>
      </c>
      <c r="B675" t="s">
        <v>319</v>
      </c>
      <c r="C675">
        <v>50</v>
      </c>
      <c r="D675" s="1">
        <v>0.02</v>
      </c>
      <c r="E675">
        <v>1</v>
      </c>
      <c r="F675">
        <v>0</v>
      </c>
      <c r="G675" s="2">
        <v>0</v>
      </c>
      <c r="H675" s="3">
        <v>0</v>
      </c>
      <c r="I675" s="3" t="s">
        <v>213</v>
      </c>
      <c r="J675" s="3">
        <v>0</v>
      </c>
    </row>
    <row r="676" spans="1:10" x14ac:dyDescent="0.3">
      <c r="A676" t="s">
        <v>336</v>
      </c>
      <c r="B676" t="s">
        <v>221</v>
      </c>
      <c r="C676">
        <v>50</v>
      </c>
      <c r="D676" s="1">
        <v>0.12</v>
      </c>
      <c r="E676">
        <v>6</v>
      </c>
      <c r="F676">
        <v>0</v>
      </c>
      <c r="G676" s="2">
        <v>0</v>
      </c>
      <c r="H676" s="3">
        <v>0</v>
      </c>
      <c r="I676" s="3" t="s">
        <v>213</v>
      </c>
      <c r="J676" s="3">
        <v>0</v>
      </c>
    </row>
    <row r="677" spans="1:10" x14ac:dyDescent="0.3">
      <c r="A677" t="s">
        <v>456</v>
      </c>
      <c r="B677" t="s">
        <v>221</v>
      </c>
      <c r="C677">
        <v>50</v>
      </c>
      <c r="D677" s="1">
        <v>0.06</v>
      </c>
      <c r="E677">
        <v>3</v>
      </c>
      <c r="F677">
        <v>0</v>
      </c>
      <c r="G677" s="2">
        <v>0</v>
      </c>
      <c r="H677" s="3">
        <v>0</v>
      </c>
      <c r="I677" s="3" t="s">
        <v>213</v>
      </c>
      <c r="J677" s="3">
        <v>0</v>
      </c>
    </row>
    <row r="678" spans="1:10" x14ac:dyDescent="0.3">
      <c r="A678" t="s">
        <v>298</v>
      </c>
      <c r="B678" t="s">
        <v>215</v>
      </c>
      <c r="C678">
        <v>49</v>
      </c>
      <c r="D678" s="1">
        <v>8.1600000000000006E-2</v>
      </c>
      <c r="E678">
        <v>4</v>
      </c>
      <c r="F678">
        <v>0</v>
      </c>
      <c r="G678" s="2">
        <v>0</v>
      </c>
      <c r="H678" s="3">
        <v>0</v>
      </c>
      <c r="I678" s="3" t="s">
        <v>213</v>
      </c>
      <c r="J678" s="3">
        <v>0</v>
      </c>
    </row>
    <row r="679" spans="1:10" x14ac:dyDescent="0.3">
      <c r="A679" t="s">
        <v>342</v>
      </c>
      <c r="B679" t="s">
        <v>223</v>
      </c>
      <c r="C679">
        <v>49</v>
      </c>
      <c r="D679" s="1">
        <v>2.0400000000000001E-2</v>
      </c>
      <c r="E679">
        <v>1</v>
      </c>
      <c r="F679">
        <v>0</v>
      </c>
      <c r="G679" s="2">
        <v>0</v>
      </c>
      <c r="H679" s="3">
        <v>0</v>
      </c>
      <c r="I679" s="3" t="s">
        <v>213</v>
      </c>
      <c r="J679" s="3">
        <v>0</v>
      </c>
    </row>
    <row r="680" spans="1:10" x14ac:dyDescent="0.3">
      <c r="A680" t="s">
        <v>395</v>
      </c>
      <c r="B680" t="s">
        <v>223</v>
      </c>
      <c r="C680">
        <v>49</v>
      </c>
      <c r="D680" s="1">
        <v>6.1200000000000004E-2</v>
      </c>
      <c r="E680">
        <v>3</v>
      </c>
      <c r="F680">
        <v>1</v>
      </c>
      <c r="G680" s="2">
        <v>0.33329999999999999</v>
      </c>
      <c r="H680" s="3">
        <v>10.85</v>
      </c>
      <c r="I680" s="3">
        <v>32.54</v>
      </c>
      <c r="J680" s="3">
        <v>32.54</v>
      </c>
    </row>
    <row r="681" spans="1:10" x14ac:dyDescent="0.3">
      <c r="A681" t="s">
        <v>306</v>
      </c>
      <c r="B681" t="s">
        <v>223</v>
      </c>
      <c r="C681">
        <v>48</v>
      </c>
      <c r="D681" s="1">
        <v>6.25E-2</v>
      </c>
      <c r="E681">
        <v>3</v>
      </c>
      <c r="F681">
        <v>1</v>
      </c>
      <c r="G681" s="2">
        <v>0.33329999999999999</v>
      </c>
      <c r="H681" s="3">
        <v>6.37</v>
      </c>
      <c r="I681" s="3">
        <v>19.12</v>
      </c>
      <c r="J681" s="3">
        <v>19.12</v>
      </c>
    </row>
    <row r="682" spans="1:10" x14ac:dyDescent="0.3">
      <c r="A682" t="s">
        <v>11</v>
      </c>
      <c r="B682" t="s">
        <v>264</v>
      </c>
      <c r="C682">
        <v>48</v>
      </c>
      <c r="D682" s="1">
        <v>8.3299999999999999E-2</v>
      </c>
      <c r="E682">
        <v>4</v>
      </c>
      <c r="F682">
        <v>1</v>
      </c>
      <c r="G682" s="2">
        <v>0.25</v>
      </c>
      <c r="H682" s="3">
        <v>6.1</v>
      </c>
      <c r="I682" s="3">
        <v>24.41</v>
      </c>
      <c r="J682" s="3">
        <v>24.41</v>
      </c>
    </row>
    <row r="683" spans="1:10" x14ac:dyDescent="0.3">
      <c r="A683" t="s">
        <v>11</v>
      </c>
      <c r="B683" t="s">
        <v>316</v>
      </c>
      <c r="C683">
        <v>48</v>
      </c>
      <c r="D683" s="1">
        <v>8.3299999999999999E-2</v>
      </c>
      <c r="E683">
        <v>4</v>
      </c>
      <c r="F683">
        <v>1</v>
      </c>
      <c r="G683" s="2">
        <v>0.25</v>
      </c>
      <c r="H683" s="3">
        <v>6.04</v>
      </c>
      <c r="I683" s="3">
        <v>24.17</v>
      </c>
      <c r="J683" s="3">
        <v>24.17</v>
      </c>
    </row>
    <row r="684" spans="1:10" x14ac:dyDescent="0.3">
      <c r="A684" t="s">
        <v>11</v>
      </c>
      <c r="B684" t="s">
        <v>282</v>
      </c>
      <c r="C684">
        <v>48</v>
      </c>
      <c r="D684" s="1">
        <v>6.25E-2</v>
      </c>
      <c r="E684">
        <v>3</v>
      </c>
      <c r="F684">
        <v>0</v>
      </c>
      <c r="G684" s="2">
        <v>0</v>
      </c>
      <c r="H684" s="3">
        <v>0</v>
      </c>
      <c r="I684" s="3" t="s">
        <v>213</v>
      </c>
      <c r="J684" s="3">
        <v>0</v>
      </c>
    </row>
    <row r="685" spans="1:10" x14ac:dyDescent="0.3">
      <c r="A685" t="s">
        <v>369</v>
      </c>
      <c r="B685" t="s">
        <v>313</v>
      </c>
      <c r="C685">
        <v>48</v>
      </c>
      <c r="D685" s="1">
        <v>6.25E-2</v>
      </c>
      <c r="E685">
        <v>3</v>
      </c>
      <c r="F685">
        <v>1</v>
      </c>
      <c r="G685" s="2">
        <v>0.33329999999999999</v>
      </c>
      <c r="H685" s="3">
        <v>3.38</v>
      </c>
      <c r="I685" s="3">
        <v>10.14</v>
      </c>
      <c r="J685" s="3">
        <v>10.14</v>
      </c>
    </row>
    <row r="686" spans="1:10" x14ac:dyDescent="0.3">
      <c r="A686" t="s">
        <v>331</v>
      </c>
      <c r="B686" t="s">
        <v>242</v>
      </c>
      <c r="C686">
        <v>47</v>
      </c>
      <c r="D686" s="1">
        <v>4.2599999999999999E-2</v>
      </c>
      <c r="E686">
        <v>2</v>
      </c>
      <c r="F686">
        <v>0</v>
      </c>
      <c r="G686" s="2">
        <v>0</v>
      </c>
      <c r="H686" s="3">
        <v>0</v>
      </c>
      <c r="I686" s="3" t="s">
        <v>213</v>
      </c>
      <c r="J686" s="3">
        <v>0</v>
      </c>
    </row>
    <row r="687" spans="1:10" x14ac:dyDescent="0.3">
      <c r="A687" t="s">
        <v>335</v>
      </c>
      <c r="B687" t="s">
        <v>221</v>
      </c>
      <c r="C687">
        <v>47</v>
      </c>
      <c r="D687" s="1">
        <v>0</v>
      </c>
      <c r="E687">
        <v>0</v>
      </c>
      <c r="F687">
        <v>0</v>
      </c>
      <c r="G687" s="2" t="e">
        <v>#VALUE!</v>
      </c>
      <c r="H687" s="3" t="s">
        <v>213</v>
      </c>
      <c r="I687" s="3" t="s">
        <v>213</v>
      </c>
      <c r="J687" s="3">
        <v>0</v>
      </c>
    </row>
    <row r="688" spans="1:10" x14ac:dyDescent="0.3">
      <c r="A688" t="s">
        <v>409</v>
      </c>
      <c r="B688" t="s">
        <v>215</v>
      </c>
      <c r="C688">
        <v>47</v>
      </c>
      <c r="D688" s="1">
        <v>8.5099999999999995E-2</v>
      </c>
      <c r="E688">
        <v>4</v>
      </c>
      <c r="F688">
        <v>0</v>
      </c>
      <c r="G688" s="2">
        <v>0</v>
      </c>
      <c r="H688" s="3">
        <v>0</v>
      </c>
      <c r="I688" s="3" t="s">
        <v>213</v>
      </c>
      <c r="J688" s="3">
        <v>0</v>
      </c>
    </row>
    <row r="689" spans="1:10" x14ac:dyDescent="0.3">
      <c r="A689" t="s">
        <v>409</v>
      </c>
      <c r="B689" t="s">
        <v>221</v>
      </c>
      <c r="C689">
        <v>47</v>
      </c>
      <c r="D689" s="1">
        <v>6.3799999999999996E-2</v>
      </c>
      <c r="E689">
        <v>3</v>
      </c>
      <c r="F689">
        <v>0</v>
      </c>
      <c r="G689" s="2">
        <v>0</v>
      </c>
      <c r="H689" s="3">
        <v>0</v>
      </c>
      <c r="I689" s="3" t="s">
        <v>213</v>
      </c>
      <c r="J689" s="3">
        <v>0</v>
      </c>
    </row>
    <row r="690" spans="1:10" x14ac:dyDescent="0.3">
      <c r="A690" t="s">
        <v>344</v>
      </c>
      <c r="B690" t="s">
        <v>221</v>
      </c>
      <c r="C690">
        <v>46</v>
      </c>
      <c r="D690" s="1">
        <v>0</v>
      </c>
      <c r="E690">
        <v>0</v>
      </c>
      <c r="F690">
        <v>0</v>
      </c>
      <c r="G690" s="2" t="e">
        <v>#VALUE!</v>
      </c>
      <c r="H690" s="3" t="s">
        <v>213</v>
      </c>
      <c r="I690" s="3" t="s">
        <v>213</v>
      </c>
      <c r="J690" s="3">
        <v>0</v>
      </c>
    </row>
    <row r="691" spans="1:10" x14ac:dyDescent="0.3">
      <c r="A691" t="s">
        <v>369</v>
      </c>
      <c r="B691" t="s">
        <v>229</v>
      </c>
      <c r="C691">
        <v>46</v>
      </c>
      <c r="D691" s="1">
        <v>8.6999999999999994E-2</v>
      </c>
      <c r="E691">
        <v>4</v>
      </c>
      <c r="F691">
        <v>0</v>
      </c>
      <c r="G691" s="2">
        <v>0</v>
      </c>
      <c r="H691" s="3">
        <v>0</v>
      </c>
      <c r="I691" s="3" t="s">
        <v>213</v>
      </c>
      <c r="J691" s="3">
        <v>0</v>
      </c>
    </row>
    <row r="692" spans="1:10" x14ac:dyDescent="0.3">
      <c r="A692" t="s">
        <v>383</v>
      </c>
      <c r="B692" t="s">
        <v>372</v>
      </c>
      <c r="C692">
        <v>46</v>
      </c>
      <c r="D692" s="1">
        <v>8.6999999999999994E-2</v>
      </c>
      <c r="E692">
        <v>4</v>
      </c>
      <c r="F692">
        <v>0</v>
      </c>
      <c r="G692" s="2">
        <v>0</v>
      </c>
      <c r="H692" s="3">
        <v>0</v>
      </c>
      <c r="I692" s="3" t="s">
        <v>213</v>
      </c>
      <c r="J692" s="3">
        <v>0</v>
      </c>
    </row>
    <row r="693" spans="1:10" x14ac:dyDescent="0.3">
      <c r="A693" t="s">
        <v>474</v>
      </c>
      <c r="B693" t="s">
        <v>242</v>
      </c>
      <c r="C693">
        <v>46</v>
      </c>
      <c r="D693" s="1">
        <v>4.3499999999999997E-2</v>
      </c>
      <c r="E693">
        <v>2</v>
      </c>
      <c r="F693">
        <v>0</v>
      </c>
      <c r="G693" s="2">
        <v>0</v>
      </c>
      <c r="H693" s="3">
        <v>0</v>
      </c>
      <c r="I693" s="3" t="s">
        <v>213</v>
      </c>
      <c r="J693" s="3">
        <v>0</v>
      </c>
    </row>
    <row r="694" spans="1:10" x14ac:dyDescent="0.3">
      <c r="A694" t="s">
        <v>486</v>
      </c>
      <c r="B694" t="s">
        <v>223</v>
      </c>
      <c r="C694">
        <v>46</v>
      </c>
      <c r="D694" s="1">
        <v>6.5199999999999994E-2</v>
      </c>
      <c r="E694">
        <v>3</v>
      </c>
      <c r="F694">
        <v>1</v>
      </c>
      <c r="G694" s="2">
        <v>0.33329999999999999</v>
      </c>
      <c r="H694" s="3">
        <v>5.41</v>
      </c>
      <c r="I694" s="3">
        <v>16.239999999999998</v>
      </c>
      <c r="J694" s="3">
        <v>16.239999999999998</v>
      </c>
    </row>
    <row r="695" spans="1:10" x14ac:dyDescent="0.3">
      <c r="A695" t="s">
        <v>28</v>
      </c>
      <c r="B695" t="s">
        <v>227</v>
      </c>
      <c r="C695">
        <v>45</v>
      </c>
      <c r="D695" s="1">
        <v>8.8900000000000007E-2</v>
      </c>
      <c r="E695">
        <v>4</v>
      </c>
      <c r="F695">
        <v>1</v>
      </c>
      <c r="G695" s="2">
        <v>0.25</v>
      </c>
      <c r="H695" s="3">
        <v>1.3</v>
      </c>
      <c r="I695" s="3">
        <v>5.18</v>
      </c>
      <c r="J695" s="3">
        <v>5.18</v>
      </c>
    </row>
    <row r="696" spans="1:10" x14ac:dyDescent="0.3">
      <c r="A696" t="s">
        <v>306</v>
      </c>
      <c r="B696" t="s">
        <v>221</v>
      </c>
      <c r="C696">
        <v>45</v>
      </c>
      <c r="D696" s="1">
        <v>6.6699999999999995E-2</v>
      </c>
      <c r="E696">
        <v>3</v>
      </c>
      <c r="F696">
        <v>1</v>
      </c>
      <c r="G696" s="2">
        <v>0.33329999999999999</v>
      </c>
      <c r="H696" s="3">
        <v>3.33</v>
      </c>
      <c r="I696" s="3">
        <v>10</v>
      </c>
      <c r="J696" s="3">
        <v>10</v>
      </c>
    </row>
    <row r="697" spans="1:10" x14ac:dyDescent="0.3">
      <c r="A697" t="s">
        <v>389</v>
      </c>
      <c r="B697" t="s">
        <v>248</v>
      </c>
      <c r="C697">
        <v>45</v>
      </c>
      <c r="D697" s="1">
        <v>6.6699999999999995E-2</v>
      </c>
      <c r="E697">
        <v>3</v>
      </c>
      <c r="F697">
        <v>0</v>
      </c>
      <c r="G697" s="2">
        <v>0</v>
      </c>
      <c r="H697" s="3">
        <v>0</v>
      </c>
      <c r="I697" s="3" t="s">
        <v>213</v>
      </c>
      <c r="J697" s="3">
        <v>0</v>
      </c>
    </row>
    <row r="698" spans="1:10" x14ac:dyDescent="0.3">
      <c r="A698" t="s">
        <v>389</v>
      </c>
      <c r="B698" t="s">
        <v>242</v>
      </c>
      <c r="C698">
        <v>45</v>
      </c>
      <c r="D698" s="1">
        <v>2.2200000000000001E-2</v>
      </c>
      <c r="E698">
        <v>1</v>
      </c>
      <c r="F698">
        <v>0</v>
      </c>
      <c r="G698" s="2">
        <v>0</v>
      </c>
      <c r="H698" s="3">
        <v>0</v>
      </c>
      <c r="I698" s="3" t="s">
        <v>213</v>
      </c>
      <c r="J698" s="3">
        <v>0</v>
      </c>
    </row>
    <row r="699" spans="1:10" x14ac:dyDescent="0.3">
      <c r="A699" t="s">
        <v>393</v>
      </c>
      <c r="B699" t="s">
        <v>390</v>
      </c>
      <c r="C699">
        <v>45</v>
      </c>
      <c r="D699" s="1">
        <v>6.6699999999999995E-2</v>
      </c>
      <c r="E699">
        <v>3</v>
      </c>
      <c r="F699">
        <v>1</v>
      </c>
      <c r="G699" s="2">
        <v>0.33329999999999999</v>
      </c>
      <c r="H699" s="3">
        <v>1.65</v>
      </c>
      <c r="I699" s="3">
        <v>4.95</v>
      </c>
      <c r="J699" s="3">
        <v>4.95</v>
      </c>
    </row>
    <row r="700" spans="1:10" x14ac:dyDescent="0.3">
      <c r="A700" t="s">
        <v>428</v>
      </c>
      <c r="B700" t="s">
        <v>221</v>
      </c>
      <c r="C700">
        <v>45</v>
      </c>
      <c r="D700" s="1">
        <v>2.2200000000000001E-2</v>
      </c>
      <c r="E700">
        <v>1</v>
      </c>
      <c r="F700">
        <v>0</v>
      </c>
      <c r="G700" s="2">
        <v>0</v>
      </c>
      <c r="H700" s="3">
        <v>0</v>
      </c>
      <c r="I700" s="3" t="s">
        <v>213</v>
      </c>
      <c r="J700" s="3">
        <v>0</v>
      </c>
    </row>
    <row r="701" spans="1:10" x14ac:dyDescent="0.3">
      <c r="A701" t="s">
        <v>429</v>
      </c>
      <c r="B701" t="s">
        <v>221</v>
      </c>
      <c r="C701">
        <v>45</v>
      </c>
      <c r="D701" s="1">
        <v>0</v>
      </c>
      <c r="E701">
        <v>0</v>
      </c>
      <c r="F701">
        <v>0</v>
      </c>
      <c r="G701" s="2" t="e">
        <v>#VALUE!</v>
      </c>
      <c r="H701" s="3" t="s">
        <v>213</v>
      </c>
      <c r="I701" s="3" t="s">
        <v>213</v>
      </c>
      <c r="J701" s="3">
        <v>0</v>
      </c>
    </row>
    <row r="702" spans="1:10" x14ac:dyDescent="0.3">
      <c r="A702" t="s">
        <v>346</v>
      </c>
      <c r="B702" t="s">
        <v>221</v>
      </c>
      <c r="C702">
        <v>44</v>
      </c>
      <c r="D702" s="1">
        <v>2.2700000000000001E-2</v>
      </c>
      <c r="E702">
        <v>1</v>
      </c>
      <c r="F702">
        <v>0</v>
      </c>
      <c r="G702" s="2">
        <v>0</v>
      </c>
      <c r="H702" s="3">
        <v>0</v>
      </c>
      <c r="I702" s="3" t="s">
        <v>213</v>
      </c>
      <c r="J702" s="3">
        <v>0</v>
      </c>
    </row>
    <row r="703" spans="1:10" x14ac:dyDescent="0.3">
      <c r="A703" t="s">
        <v>346</v>
      </c>
      <c r="B703" t="s">
        <v>223</v>
      </c>
      <c r="C703">
        <v>44</v>
      </c>
      <c r="D703" s="1">
        <v>0</v>
      </c>
      <c r="E703">
        <v>0</v>
      </c>
      <c r="F703">
        <v>0</v>
      </c>
      <c r="G703" s="2" t="e">
        <v>#VALUE!</v>
      </c>
      <c r="H703" s="3" t="s">
        <v>213</v>
      </c>
      <c r="I703" s="3" t="s">
        <v>213</v>
      </c>
      <c r="J703" s="3">
        <v>0</v>
      </c>
    </row>
    <row r="704" spans="1:10" x14ac:dyDescent="0.3">
      <c r="A704" t="s">
        <v>70</v>
      </c>
      <c r="B704" t="s">
        <v>227</v>
      </c>
      <c r="C704">
        <v>44</v>
      </c>
      <c r="D704" s="1">
        <v>9.0899999999999995E-2</v>
      </c>
      <c r="E704">
        <v>4</v>
      </c>
      <c r="F704">
        <v>0</v>
      </c>
      <c r="G704" s="2">
        <v>0</v>
      </c>
      <c r="H704" s="3">
        <v>0</v>
      </c>
      <c r="I704" s="3" t="s">
        <v>213</v>
      </c>
      <c r="J704" s="3">
        <v>0</v>
      </c>
    </row>
    <row r="705" spans="1:10" x14ac:dyDescent="0.3">
      <c r="A705" t="s">
        <v>383</v>
      </c>
      <c r="B705" t="s">
        <v>239</v>
      </c>
      <c r="C705">
        <v>44</v>
      </c>
      <c r="D705" s="1">
        <v>6.8199999999999997E-2</v>
      </c>
      <c r="E705">
        <v>3</v>
      </c>
      <c r="F705">
        <v>0</v>
      </c>
      <c r="G705" s="2">
        <v>0</v>
      </c>
      <c r="H705" s="3">
        <v>0</v>
      </c>
      <c r="I705" s="3" t="s">
        <v>213</v>
      </c>
      <c r="J705" s="3">
        <v>0</v>
      </c>
    </row>
    <row r="706" spans="1:10" x14ac:dyDescent="0.3">
      <c r="A706" t="s">
        <v>391</v>
      </c>
      <c r="B706" t="s">
        <v>221</v>
      </c>
      <c r="C706">
        <v>44</v>
      </c>
      <c r="D706" s="1">
        <v>2.2700000000000001E-2</v>
      </c>
      <c r="E706">
        <v>1</v>
      </c>
      <c r="F706">
        <v>0</v>
      </c>
      <c r="G706" s="2">
        <v>0</v>
      </c>
      <c r="H706" s="3">
        <v>0</v>
      </c>
      <c r="I706" s="3" t="s">
        <v>213</v>
      </c>
      <c r="J706" s="3">
        <v>0</v>
      </c>
    </row>
    <row r="707" spans="1:10" x14ac:dyDescent="0.3">
      <c r="A707" t="s">
        <v>304</v>
      </c>
      <c r="B707" t="s">
        <v>221</v>
      </c>
      <c r="C707">
        <v>43</v>
      </c>
      <c r="D707" s="1">
        <v>4.6500000000000007E-2</v>
      </c>
      <c r="E707">
        <v>2</v>
      </c>
      <c r="F707">
        <v>0</v>
      </c>
      <c r="G707" s="2">
        <v>0</v>
      </c>
      <c r="H707" s="3">
        <v>0</v>
      </c>
      <c r="I707" s="3" t="s">
        <v>213</v>
      </c>
      <c r="J707" s="3">
        <v>0</v>
      </c>
    </row>
    <row r="708" spans="1:10" x14ac:dyDescent="0.3">
      <c r="A708" t="s">
        <v>11</v>
      </c>
      <c r="B708" t="s">
        <v>256</v>
      </c>
      <c r="C708">
        <v>43</v>
      </c>
      <c r="D708" s="1">
        <v>6.9800000000000001E-2</v>
      </c>
      <c r="E708">
        <v>3</v>
      </c>
      <c r="F708">
        <v>0</v>
      </c>
      <c r="G708" s="2">
        <v>0</v>
      </c>
      <c r="H708" s="3">
        <v>0</v>
      </c>
      <c r="I708" s="3" t="s">
        <v>213</v>
      </c>
      <c r="J708" s="3">
        <v>0</v>
      </c>
    </row>
    <row r="709" spans="1:10" x14ac:dyDescent="0.3">
      <c r="A709" t="s">
        <v>373</v>
      </c>
      <c r="B709" t="s">
        <v>221</v>
      </c>
      <c r="C709">
        <v>43</v>
      </c>
      <c r="D709" s="1">
        <v>9.3000000000000013E-2</v>
      </c>
      <c r="E709">
        <v>4</v>
      </c>
      <c r="F709">
        <v>0</v>
      </c>
      <c r="G709" s="2">
        <v>0</v>
      </c>
      <c r="H709" s="3">
        <v>0</v>
      </c>
      <c r="I709" s="3" t="s">
        <v>213</v>
      </c>
      <c r="J709" s="3">
        <v>0</v>
      </c>
    </row>
    <row r="710" spans="1:10" x14ac:dyDescent="0.3">
      <c r="A710" t="s">
        <v>440</v>
      </c>
      <c r="B710" t="s">
        <v>441</v>
      </c>
      <c r="C710">
        <v>43</v>
      </c>
      <c r="D710" s="1">
        <v>0.1628</v>
      </c>
      <c r="E710">
        <v>7</v>
      </c>
      <c r="F710">
        <v>0</v>
      </c>
      <c r="G710" s="2">
        <v>0</v>
      </c>
      <c r="H710" s="3">
        <v>0</v>
      </c>
      <c r="I710" s="3" t="s">
        <v>213</v>
      </c>
      <c r="J710" s="3">
        <v>0</v>
      </c>
    </row>
    <row r="711" spans="1:10" x14ac:dyDescent="0.3">
      <c r="A711" t="s">
        <v>11</v>
      </c>
      <c r="B711" t="s">
        <v>321</v>
      </c>
      <c r="C711">
        <v>42</v>
      </c>
      <c r="D711" s="1">
        <v>7.1399999999999991E-2</v>
      </c>
      <c r="E711">
        <v>3</v>
      </c>
      <c r="F711">
        <v>0</v>
      </c>
      <c r="G711" s="2">
        <v>0</v>
      </c>
      <c r="H711" s="3">
        <v>0</v>
      </c>
      <c r="I711" s="3" t="s">
        <v>213</v>
      </c>
      <c r="J711" s="3">
        <v>0</v>
      </c>
    </row>
    <row r="712" spans="1:10" x14ac:dyDescent="0.3">
      <c r="A712" t="s">
        <v>82</v>
      </c>
      <c r="B712" t="s">
        <v>355</v>
      </c>
      <c r="C712">
        <v>42</v>
      </c>
      <c r="D712" s="1">
        <v>4.7599999999999996E-2</v>
      </c>
      <c r="E712">
        <v>2</v>
      </c>
      <c r="F712">
        <v>0</v>
      </c>
      <c r="G712" s="2">
        <v>0</v>
      </c>
      <c r="H712" s="3">
        <v>0</v>
      </c>
      <c r="I712" s="3" t="s">
        <v>213</v>
      </c>
      <c r="J712" s="3">
        <v>0</v>
      </c>
    </row>
    <row r="713" spans="1:10" x14ac:dyDescent="0.3">
      <c r="A713" t="s">
        <v>393</v>
      </c>
      <c r="B713" t="s">
        <v>242</v>
      </c>
      <c r="C713">
        <v>42</v>
      </c>
      <c r="D713" s="1">
        <v>4.7599999999999996E-2</v>
      </c>
      <c r="E713">
        <v>2</v>
      </c>
      <c r="F713">
        <v>0</v>
      </c>
      <c r="G713" s="2">
        <v>0</v>
      </c>
      <c r="H713" s="3">
        <v>0</v>
      </c>
      <c r="I713" s="3" t="s">
        <v>213</v>
      </c>
      <c r="J713" s="3">
        <v>0</v>
      </c>
    </row>
    <row r="714" spans="1:10" x14ac:dyDescent="0.3">
      <c r="A714" t="s">
        <v>41</v>
      </c>
      <c r="B714" t="s">
        <v>227</v>
      </c>
      <c r="C714">
        <v>42</v>
      </c>
      <c r="D714" s="1">
        <v>0.16670000000000001</v>
      </c>
      <c r="E714">
        <v>7</v>
      </c>
      <c r="F714">
        <v>0</v>
      </c>
      <c r="G714" s="2">
        <v>0</v>
      </c>
      <c r="H714" s="3">
        <v>0</v>
      </c>
      <c r="I714" s="3" t="s">
        <v>213</v>
      </c>
      <c r="J714" s="3">
        <v>0</v>
      </c>
    </row>
    <row r="715" spans="1:10" x14ac:dyDescent="0.3">
      <c r="A715" t="s">
        <v>241</v>
      </c>
      <c r="B715" t="s">
        <v>235</v>
      </c>
      <c r="C715">
        <v>41</v>
      </c>
      <c r="D715" s="1">
        <v>7.3200000000000001E-2</v>
      </c>
      <c r="E715">
        <v>3</v>
      </c>
      <c r="F715">
        <v>0</v>
      </c>
      <c r="G715" s="2">
        <v>0</v>
      </c>
      <c r="H715" s="3">
        <v>0</v>
      </c>
      <c r="I715" s="3" t="s">
        <v>213</v>
      </c>
      <c r="J715" s="3">
        <v>0</v>
      </c>
    </row>
    <row r="716" spans="1:10" x14ac:dyDescent="0.3">
      <c r="A716" t="s">
        <v>284</v>
      </c>
      <c r="B716" t="s">
        <v>235</v>
      </c>
      <c r="C716">
        <v>41</v>
      </c>
      <c r="D716" s="1">
        <v>9.7599999999999992E-2</v>
      </c>
      <c r="E716">
        <v>4</v>
      </c>
      <c r="F716">
        <v>0</v>
      </c>
      <c r="G716" s="2">
        <v>0</v>
      </c>
      <c r="H716" s="3">
        <v>0</v>
      </c>
      <c r="I716" s="3" t="s">
        <v>213</v>
      </c>
      <c r="J716" s="3">
        <v>0</v>
      </c>
    </row>
    <row r="717" spans="1:10" x14ac:dyDescent="0.3">
      <c r="A717" t="s">
        <v>11</v>
      </c>
      <c r="B717" t="s">
        <v>229</v>
      </c>
      <c r="C717">
        <v>41</v>
      </c>
      <c r="D717" s="1">
        <v>4.8799999999999996E-2</v>
      </c>
      <c r="E717">
        <v>2</v>
      </c>
      <c r="F717">
        <v>1</v>
      </c>
      <c r="G717" s="2">
        <v>0.5</v>
      </c>
      <c r="H717" s="3">
        <v>10.51</v>
      </c>
      <c r="I717" s="3">
        <v>21.02</v>
      </c>
      <c r="J717" s="3">
        <v>21.02</v>
      </c>
    </row>
    <row r="718" spans="1:10" x14ac:dyDescent="0.3">
      <c r="A718" t="s">
        <v>11</v>
      </c>
      <c r="B718" t="s">
        <v>312</v>
      </c>
      <c r="C718">
        <v>41</v>
      </c>
      <c r="D718" s="1">
        <v>4.8799999999999996E-2</v>
      </c>
      <c r="E718">
        <v>2</v>
      </c>
      <c r="F718">
        <v>0</v>
      </c>
      <c r="G718" s="2">
        <v>0</v>
      </c>
      <c r="H718" s="3">
        <v>0</v>
      </c>
      <c r="I718" s="3" t="s">
        <v>213</v>
      </c>
      <c r="J718" s="3">
        <v>0</v>
      </c>
    </row>
    <row r="719" spans="1:10" x14ac:dyDescent="0.3">
      <c r="A719" t="s">
        <v>369</v>
      </c>
      <c r="B719" t="s">
        <v>316</v>
      </c>
      <c r="C719">
        <v>41</v>
      </c>
      <c r="D719" s="1">
        <v>4.8799999999999996E-2</v>
      </c>
      <c r="E719">
        <v>2</v>
      </c>
      <c r="F719">
        <v>0</v>
      </c>
      <c r="G719" s="2">
        <v>0</v>
      </c>
      <c r="H719" s="3">
        <v>0</v>
      </c>
      <c r="I719" s="3" t="s">
        <v>213</v>
      </c>
      <c r="J719" s="3">
        <v>0</v>
      </c>
    </row>
    <row r="720" spans="1:10" x14ac:dyDescent="0.3">
      <c r="A720" t="s">
        <v>409</v>
      </c>
      <c r="B720" t="s">
        <v>221</v>
      </c>
      <c r="C720">
        <v>41</v>
      </c>
      <c r="D720" s="1">
        <v>0</v>
      </c>
      <c r="E720">
        <v>0</v>
      </c>
      <c r="F720">
        <v>0</v>
      </c>
      <c r="G720" s="2" t="e">
        <v>#VALUE!</v>
      </c>
      <c r="H720" s="3" t="s">
        <v>213</v>
      </c>
      <c r="I720" s="3" t="s">
        <v>213</v>
      </c>
      <c r="J720" s="3">
        <v>0</v>
      </c>
    </row>
    <row r="721" spans="1:10" x14ac:dyDescent="0.3">
      <c r="A721" t="s">
        <v>478</v>
      </c>
      <c r="B721" t="s">
        <v>223</v>
      </c>
      <c r="C721">
        <v>41</v>
      </c>
      <c r="D721" s="1">
        <v>4.8799999999999996E-2</v>
      </c>
      <c r="E721">
        <v>2</v>
      </c>
      <c r="F721">
        <v>1</v>
      </c>
      <c r="G721" s="2">
        <v>0.5</v>
      </c>
      <c r="H721" s="3">
        <v>2.72</v>
      </c>
      <c r="I721" s="3">
        <v>5.44</v>
      </c>
      <c r="J721" s="3">
        <v>5.44</v>
      </c>
    </row>
    <row r="722" spans="1:10" x14ac:dyDescent="0.3">
      <c r="A722" t="s">
        <v>11</v>
      </c>
      <c r="B722" t="s">
        <v>314</v>
      </c>
      <c r="C722">
        <v>40</v>
      </c>
      <c r="D722" s="1">
        <v>0.1</v>
      </c>
      <c r="E722">
        <v>4</v>
      </c>
      <c r="F722">
        <v>0</v>
      </c>
      <c r="G722" s="2">
        <v>0</v>
      </c>
      <c r="H722" s="3">
        <v>0</v>
      </c>
      <c r="I722" s="3" t="s">
        <v>213</v>
      </c>
      <c r="J722" s="3">
        <v>0</v>
      </c>
    </row>
    <row r="723" spans="1:10" x14ac:dyDescent="0.3">
      <c r="A723" t="s">
        <v>345</v>
      </c>
      <c r="B723" t="s">
        <v>221</v>
      </c>
      <c r="C723">
        <v>40</v>
      </c>
      <c r="D723" s="1">
        <v>2.5000000000000001E-2</v>
      </c>
      <c r="E723">
        <v>1</v>
      </c>
      <c r="F723">
        <v>0</v>
      </c>
      <c r="G723" s="2">
        <v>0</v>
      </c>
      <c r="H723" s="3">
        <v>0</v>
      </c>
      <c r="I723" s="3" t="s">
        <v>213</v>
      </c>
      <c r="J723" s="3">
        <v>0</v>
      </c>
    </row>
    <row r="724" spans="1:10" x14ac:dyDescent="0.3">
      <c r="A724" t="s">
        <v>335</v>
      </c>
      <c r="B724" t="s">
        <v>221</v>
      </c>
      <c r="C724">
        <v>39</v>
      </c>
      <c r="D724" s="1">
        <v>7.690000000000001E-2</v>
      </c>
      <c r="E724">
        <v>3</v>
      </c>
      <c r="F724">
        <v>0</v>
      </c>
      <c r="G724" s="2">
        <v>0</v>
      </c>
      <c r="H724" s="3">
        <v>0</v>
      </c>
      <c r="I724" s="3" t="s">
        <v>213</v>
      </c>
      <c r="J724" s="3">
        <v>0</v>
      </c>
    </row>
    <row r="725" spans="1:10" x14ac:dyDescent="0.3">
      <c r="A725" t="s">
        <v>383</v>
      </c>
      <c r="B725" t="s">
        <v>235</v>
      </c>
      <c r="C725">
        <v>39</v>
      </c>
      <c r="D725" s="1">
        <v>7.690000000000001E-2</v>
      </c>
      <c r="E725">
        <v>3</v>
      </c>
      <c r="F725">
        <v>1</v>
      </c>
      <c r="G725" s="2">
        <v>0.33329999999999999</v>
      </c>
      <c r="H725" s="3">
        <v>7.75</v>
      </c>
      <c r="I725" s="3">
        <v>23.26</v>
      </c>
      <c r="J725" s="3">
        <v>23.26</v>
      </c>
    </row>
    <row r="726" spans="1:10" x14ac:dyDescent="0.3">
      <c r="A726" t="s">
        <v>11</v>
      </c>
      <c r="B726" t="s">
        <v>288</v>
      </c>
      <c r="C726">
        <v>38</v>
      </c>
      <c r="D726" s="1">
        <v>7.8899999999999998E-2</v>
      </c>
      <c r="E726">
        <v>3</v>
      </c>
      <c r="F726">
        <v>0</v>
      </c>
      <c r="G726" s="2">
        <v>0</v>
      </c>
      <c r="H726" s="3">
        <v>0</v>
      </c>
      <c r="I726" s="3" t="s">
        <v>213</v>
      </c>
      <c r="J726" s="3">
        <v>0</v>
      </c>
    </row>
    <row r="727" spans="1:10" x14ac:dyDescent="0.3">
      <c r="A727" t="s">
        <v>395</v>
      </c>
      <c r="B727" t="s">
        <v>221</v>
      </c>
      <c r="C727">
        <v>38</v>
      </c>
      <c r="D727" s="1">
        <v>2.63E-2</v>
      </c>
      <c r="E727">
        <v>1</v>
      </c>
      <c r="F727">
        <v>0</v>
      </c>
      <c r="G727" s="2">
        <v>0</v>
      </c>
      <c r="H727" s="3">
        <v>0</v>
      </c>
      <c r="I727" s="3" t="s">
        <v>213</v>
      </c>
      <c r="J727" s="3">
        <v>0</v>
      </c>
    </row>
    <row r="728" spans="1:10" x14ac:dyDescent="0.3">
      <c r="A728" t="s">
        <v>408</v>
      </c>
      <c r="B728" t="s">
        <v>217</v>
      </c>
      <c r="C728">
        <v>38</v>
      </c>
      <c r="D728" s="1">
        <v>5.2600000000000001E-2</v>
      </c>
      <c r="E728">
        <v>2</v>
      </c>
      <c r="F728">
        <v>1</v>
      </c>
      <c r="G728" s="2">
        <v>0.5</v>
      </c>
      <c r="H728" s="3">
        <v>3.4</v>
      </c>
      <c r="I728" s="3">
        <v>6.79</v>
      </c>
      <c r="J728" s="3">
        <v>6.79</v>
      </c>
    </row>
    <row r="729" spans="1:10" x14ac:dyDescent="0.3">
      <c r="A729" t="s">
        <v>234</v>
      </c>
      <c r="B729" t="s">
        <v>236</v>
      </c>
      <c r="C729">
        <v>37</v>
      </c>
      <c r="D729" s="1">
        <v>5.4100000000000002E-2</v>
      </c>
      <c r="E729">
        <v>2</v>
      </c>
      <c r="F729">
        <v>0</v>
      </c>
      <c r="G729" s="2">
        <v>0</v>
      </c>
      <c r="H729" s="3">
        <v>0</v>
      </c>
      <c r="I729" s="3" t="s">
        <v>213</v>
      </c>
      <c r="J729" s="3">
        <v>0</v>
      </c>
    </row>
    <row r="730" spans="1:10" x14ac:dyDescent="0.3">
      <c r="A730" t="s">
        <v>11</v>
      </c>
      <c r="B730" t="s">
        <v>286</v>
      </c>
      <c r="C730">
        <v>37</v>
      </c>
      <c r="D730" s="1">
        <v>5.4100000000000002E-2</v>
      </c>
      <c r="E730">
        <v>2</v>
      </c>
      <c r="F730">
        <v>0</v>
      </c>
      <c r="G730" s="2">
        <v>0</v>
      </c>
      <c r="H730" s="3">
        <v>0</v>
      </c>
      <c r="I730" s="3" t="s">
        <v>213</v>
      </c>
      <c r="J730" s="3">
        <v>0</v>
      </c>
    </row>
    <row r="731" spans="1:10" x14ac:dyDescent="0.3">
      <c r="A731" t="s">
        <v>149</v>
      </c>
      <c r="B731" t="s">
        <v>356</v>
      </c>
      <c r="C731">
        <v>37</v>
      </c>
      <c r="D731" s="1">
        <v>0</v>
      </c>
      <c r="E731">
        <v>0</v>
      </c>
      <c r="F731">
        <v>0</v>
      </c>
      <c r="G731" s="2" t="e">
        <v>#VALUE!</v>
      </c>
      <c r="H731" s="3" t="s">
        <v>213</v>
      </c>
      <c r="I731" s="3" t="s">
        <v>213</v>
      </c>
      <c r="J731" s="3">
        <v>0</v>
      </c>
    </row>
    <row r="732" spans="1:10" x14ac:dyDescent="0.3">
      <c r="A732" t="s">
        <v>383</v>
      </c>
      <c r="B732" t="s">
        <v>371</v>
      </c>
      <c r="C732">
        <v>37</v>
      </c>
      <c r="D732" s="1">
        <v>5.4100000000000002E-2</v>
      </c>
      <c r="E732">
        <v>2</v>
      </c>
      <c r="F732">
        <v>0</v>
      </c>
      <c r="G732" s="2">
        <v>0</v>
      </c>
      <c r="H732" s="3">
        <v>0</v>
      </c>
      <c r="I732" s="3" t="s">
        <v>213</v>
      </c>
      <c r="J732" s="3">
        <v>0</v>
      </c>
    </row>
    <row r="733" spans="1:10" x14ac:dyDescent="0.3">
      <c r="A733" t="s">
        <v>389</v>
      </c>
      <c r="B733" t="s">
        <v>390</v>
      </c>
      <c r="C733">
        <v>37</v>
      </c>
      <c r="D733" s="1">
        <v>8.1099999999999992E-2</v>
      </c>
      <c r="E733">
        <v>3</v>
      </c>
      <c r="F733">
        <v>1</v>
      </c>
      <c r="G733" s="2">
        <v>0.33329999999999999</v>
      </c>
      <c r="H733" s="3">
        <v>4</v>
      </c>
      <c r="I733" s="3">
        <v>12</v>
      </c>
      <c r="J733" s="3">
        <v>12</v>
      </c>
    </row>
    <row r="734" spans="1:10" x14ac:dyDescent="0.3">
      <c r="A734" t="s">
        <v>62</v>
      </c>
      <c r="B734" t="s">
        <v>313</v>
      </c>
      <c r="C734">
        <v>37</v>
      </c>
      <c r="D734" s="1">
        <v>0.1081</v>
      </c>
      <c r="E734">
        <v>4</v>
      </c>
      <c r="F734">
        <v>0</v>
      </c>
      <c r="G734" s="2">
        <v>0</v>
      </c>
      <c r="H734" s="3">
        <v>0</v>
      </c>
      <c r="I734" s="3" t="s">
        <v>213</v>
      </c>
      <c r="J734" s="3">
        <v>0</v>
      </c>
    </row>
    <row r="735" spans="1:10" x14ac:dyDescent="0.3">
      <c r="A735" t="s">
        <v>334</v>
      </c>
      <c r="B735" t="s">
        <v>221</v>
      </c>
      <c r="C735">
        <v>36</v>
      </c>
      <c r="D735" s="1">
        <v>5.5599999999999997E-2</v>
      </c>
      <c r="E735">
        <v>2</v>
      </c>
      <c r="F735">
        <v>0</v>
      </c>
      <c r="G735" s="2">
        <v>0</v>
      </c>
      <c r="H735" s="3">
        <v>0</v>
      </c>
      <c r="I735" s="3" t="s">
        <v>213</v>
      </c>
      <c r="J735" s="3">
        <v>0</v>
      </c>
    </row>
    <row r="736" spans="1:10" x14ac:dyDescent="0.3">
      <c r="A736" t="s">
        <v>344</v>
      </c>
      <c r="B736" t="s">
        <v>221</v>
      </c>
      <c r="C736">
        <v>36</v>
      </c>
      <c r="D736" s="1">
        <v>0</v>
      </c>
      <c r="E736">
        <v>0</v>
      </c>
      <c r="F736">
        <v>0</v>
      </c>
      <c r="G736" s="2" t="e">
        <v>#VALUE!</v>
      </c>
      <c r="H736" s="3" t="s">
        <v>213</v>
      </c>
      <c r="I736" s="3" t="s">
        <v>213</v>
      </c>
      <c r="J736" s="3">
        <v>0</v>
      </c>
    </row>
    <row r="737" spans="1:10" x14ac:dyDescent="0.3">
      <c r="A737" t="s">
        <v>383</v>
      </c>
      <c r="B737" t="s">
        <v>289</v>
      </c>
      <c r="C737">
        <v>36</v>
      </c>
      <c r="D737" s="1">
        <v>5.5599999999999997E-2</v>
      </c>
      <c r="E737">
        <v>2</v>
      </c>
      <c r="F737">
        <v>1</v>
      </c>
      <c r="G737" s="2">
        <v>0.5</v>
      </c>
      <c r="H737" s="3">
        <v>0</v>
      </c>
      <c r="I737" s="3">
        <v>0</v>
      </c>
      <c r="J737" s="3">
        <v>0</v>
      </c>
    </row>
    <row r="738" spans="1:10" x14ac:dyDescent="0.3">
      <c r="A738" t="s">
        <v>422</v>
      </c>
      <c r="B738" t="s">
        <v>215</v>
      </c>
      <c r="C738">
        <v>36</v>
      </c>
      <c r="D738" s="1">
        <v>0</v>
      </c>
      <c r="E738">
        <v>0</v>
      </c>
      <c r="F738">
        <v>0</v>
      </c>
      <c r="G738" s="2" t="e">
        <v>#VALUE!</v>
      </c>
      <c r="H738" s="3" t="s">
        <v>213</v>
      </c>
      <c r="I738" s="3" t="s">
        <v>213</v>
      </c>
      <c r="J738" s="3">
        <v>0</v>
      </c>
    </row>
    <row r="739" spans="1:10" x14ac:dyDescent="0.3">
      <c r="A739" t="s">
        <v>480</v>
      </c>
      <c r="B739" t="s">
        <v>212</v>
      </c>
      <c r="C739">
        <v>36</v>
      </c>
      <c r="D739" s="1">
        <v>0.16670000000000001</v>
      </c>
      <c r="E739">
        <v>6</v>
      </c>
      <c r="F739">
        <v>1</v>
      </c>
      <c r="G739" s="2">
        <v>0.16670000000000001</v>
      </c>
      <c r="H739" s="3">
        <v>1.59</v>
      </c>
      <c r="I739" s="3">
        <v>9.51</v>
      </c>
      <c r="J739" s="3">
        <v>9.51</v>
      </c>
    </row>
    <row r="740" spans="1:10" x14ac:dyDescent="0.3">
      <c r="A740" t="s">
        <v>295</v>
      </c>
      <c r="B740" t="s">
        <v>235</v>
      </c>
      <c r="C740">
        <v>35</v>
      </c>
      <c r="D740" s="1">
        <v>5.7099999999999998E-2</v>
      </c>
      <c r="E740">
        <v>2</v>
      </c>
      <c r="F740">
        <v>0</v>
      </c>
      <c r="G740" s="2">
        <v>0</v>
      </c>
      <c r="H740" s="3">
        <v>0</v>
      </c>
      <c r="I740" s="3" t="s">
        <v>213</v>
      </c>
      <c r="J740" s="3">
        <v>0</v>
      </c>
    </row>
    <row r="741" spans="1:10" x14ac:dyDescent="0.3">
      <c r="A741" t="s">
        <v>11</v>
      </c>
      <c r="B741" t="s">
        <v>245</v>
      </c>
      <c r="C741">
        <v>35</v>
      </c>
      <c r="D741" s="1">
        <v>8.5699999999999998E-2</v>
      </c>
      <c r="E741">
        <v>3</v>
      </c>
      <c r="F741">
        <v>0</v>
      </c>
      <c r="G741" s="2">
        <v>0</v>
      </c>
      <c r="H741" s="3">
        <v>0</v>
      </c>
      <c r="I741" s="3" t="s">
        <v>213</v>
      </c>
      <c r="J741" s="3">
        <v>0</v>
      </c>
    </row>
    <row r="742" spans="1:10" x14ac:dyDescent="0.3">
      <c r="A742" t="s">
        <v>369</v>
      </c>
      <c r="B742" t="s">
        <v>235</v>
      </c>
      <c r="C742">
        <v>35</v>
      </c>
      <c r="D742" s="1">
        <v>5.7099999999999998E-2</v>
      </c>
      <c r="E742">
        <v>2</v>
      </c>
      <c r="F742">
        <v>0</v>
      </c>
      <c r="G742" s="2">
        <v>0</v>
      </c>
      <c r="H742" s="3">
        <v>0</v>
      </c>
      <c r="I742" s="3" t="s">
        <v>213</v>
      </c>
      <c r="J742" s="3">
        <v>0</v>
      </c>
    </row>
    <row r="743" spans="1:10" x14ac:dyDescent="0.3">
      <c r="A743" t="s">
        <v>383</v>
      </c>
      <c r="B743" t="s">
        <v>256</v>
      </c>
      <c r="C743">
        <v>35</v>
      </c>
      <c r="D743" s="1">
        <v>2.86E-2</v>
      </c>
      <c r="E743">
        <v>1</v>
      </c>
      <c r="F743">
        <v>0</v>
      </c>
      <c r="G743" s="2">
        <v>0</v>
      </c>
      <c r="H743" s="3">
        <v>0</v>
      </c>
      <c r="I743" s="3" t="s">
        <v>213</v>
      </c>
      <c r="J743" s="3">
        <v>0</v>
      </c>
    </row>
    <row r="744" spans="1:10" x14ac:dyDescent="0.3">
      <c r="A744" t="s">
        <v>165</v>
      </c>
      <c r="B744" t="s">
        <v>235</v>
      </c>
      <c r="C744">
        <v>35</v>
      </c>
      <c r="D744" s="1">
        <v>5.7099999999999998E-2</v>
      </c>
      <c r="E744">
        <v>2</v>
      </c>
      <c r="F744">
        <v>0</v>
      </c>
      <c r="G744" s="2">
        <v>0</v>
      </c>
      <c r="H744" s="3">
        <v>0</v>
      </c>
      <c r="I744" s="3" t="s">
        <v>213</v>
      </c>
      <c r="J744" s="3">
        <v>0</v>
      </c>
    </row>
    <row r="745" spans="1:10" x14ac:dyDescent="0.3">
      <c r="A745" t="s">
        <v>490</v>
      </c>
      <c r="B745" t="s">
        <v>221</v>
      </c>
      <c r="C745">
        <v>34</v>
      </c>
      <c r="D745" s="1">
        <v>0.1176</v>
      </c>
      <c r="E745">
        <v>4</v>
      </c>
      <c r="F745">
        <v>0</v>
      </c>
      <c r="G745" s="2">
        <v>0</v>
      </c>
      <c r="H745" s="3">
        <v>0</v>
      </c>
      <c r="I745" s="3" t="s">
        <v>213</v>
      </c>
      <c r="J745" s="3">
        <v>0</v>
      </c>
    </row>
    <row r="746" spans="1:10" x14ac:dyDescent="0.3">
      <c r="A746" t="s">
        <v>295</v>
      </c>
      <c r="B746" t="s">
        <v>297</v>
      </c>
      <c r="C746">
        <v>33</v>
      </c>
      <c r="D746" s="1">
        <v>6.0599999999999994E-2</v>
      </c>
      <c r="E746">
        <v>2</v>
      </c>
      <c r="F746">
        <v>0</v>
      </c>
      <c r="G746" s="2">
        <v>0</v>
      </c>
      <c r="H746" s="3">
        <v>0</v>
      </c>
      <c r="I746" s="3" t="s">
        <v>213</v>
      </c>
      <c r="J746" s="3">
        <v>0</v>
      </c>
    </row>
    <row r="747" spans="1:10" x14ac:dyDescent="0.3">
      <c r="A747" t="s">
        <v>304</v>
      </c>
      <c r="B747" t="s">
        <v>221</v>
      </c>
      <c r="C747">
        <v>33</v>
      </c>
      <c r="D747" s="1">
        <v>0.1515</v>
      </c>
      <c r="E747">
        <v>5</v>
      </c>
      <c r="F747">
        <v>1</v>
      </c>
      <c r="G747" s="2">
        <v>0.2</v>
      </c>
      <c r="H747" s="3">
        <v>1.79</v>
      </c>
      <c r="I747" s="3">
        <v>8.9700000000000006</v>
      </c>
      <c r="J747" s="3">
        <v>8.9700000000000006</v>
      </c>
    </row>
    <row r="748" spans="1:10" x14ac:dyDescent="0.3">
      <c r="A748" t="s">
        <v>369</v>
      </c>
      <c r="B748" t="s">
        <v>286</v>
      </c>
      <c r="C748">
        <v>33</v>
      </c>
      <c r="D748" s="1">
        <v>9.0899999999999995E-2</v>
      </c>
      <c r="E748">
        <v>3</v>
      </c>
      <c r="F748">
        <v>0</v>
      </c>
      <c r="G748" s="2">
        <v>0</v>
      </c>
      <c r="H748" s="3">
        <v>0</v>
      </c>
      <c r="I748" s="3" t="s">
        <v>213</v>
      </c>
      <c r="J748" s="3">
        <v>0</v>
      </c>
    </row>
    <row r="749" spans="1:10" x14ac:dyDescent="0.3">
      <c r="A749" t="s">
        <v>375</v>
      </c>
      <c r="B749" t="s">
        <v>221</v>
      </c>
      <c r="C749">
        <v>33</v>
      </c>
      <c r="D749" s="1">
        <v>6.0599999999999994E-2</v>
      </c>
      <c r="E749">
        <v>2</v>
      </c>
      <c r="F749">
        <v>0</v>
      </c>
      <c r="G749" s="2">
        <v>0</v>
      </c>
      <c r="H749" s="3">
        <v>0</v>
      </c>
      <c r="I749" s="3" t="s">
        <v>213</v>
      </c>
      <c r="J749" s="3">
        <v>0</v>
      </c>
    </row>
    <row r="750" spans="1:10" x14ac:dyDescent="0.3">
      <c r="A750" t="s">
        <v>397</v>
      </c>
      <c r="B750" t="s">
        <v>272</v>
      </c>
      <c r="C750">
        <v>33</v>
      </c>
      <c r="D750" s="1">
        <v>6.0599999999999994E-2</v>
      </c>
      <c r="E750">
        <v>2</v>
      </c>
      <c r="F750">
        <v>0</v>
      </c>
      <c r="G750" s="2">
        <v>0</v>
      </c>
      <c r="H750" s="3">
        <v>0</v>
      </c>
      <c r="I750" s="3" t="s">
        <v>213</v>
      </c>
      <c r="J750" s="3">
        <v>0</v>
      </c>
    </row>
    <row r="751" spans="1:10" x14ac:dyDescent="0.3">
      <c r="A751" t="s">
        <v>407</v>
      </c>
      <c r="B751" t="s">
        <v>242</v>
      </c>
      <c r="C751">
        <v>33</v>
      </c>
      <c r="D751" s="1">
        <v>6.0599999999999994E-2</v>
      </c>
      <c r="E751">
        <v>2</v>
      </c>
      <c r="F751">
        <v>0</v>
      </c>
      <c r="G751" s="2">
        <v>0</v>
      </c>
      <c r="H751" s="3">
        <v>0</v>
      </c>
      <c r="I751" s="3" t="s">
        <v>213</v>
      </c>
      <c r="J751" s="3">
        <v>0</v>
      </c>
    </row>
    <row r="752" spans="1:10" x14ac:dyDescent="0.3">
      <c r="A752" t="s">
        <v>409</v>
      </c>
      <c r="B752" t="s">
        <v>223</v>
      </c>
      <c r="C752">
        <v>33</v>
      </c>
      <c r="D752" s="1">
        <v>3.0299999999999997E-2</v>
      </c>
      <c r="E752">
        <v>1</v>
      </c>
      <c r="F752">
        <v>1</v>
      </c>
      <c r="G752" s="2">
        <v>1</v>
      </c>
      <c r="H752" s="3">
        <v>33.07</v>
      </c>
      <c r="I752" s="3">
        <v>33.07</v>
      </c>
      <c r="J752" s="3">
        <v>33.07</v>
      </c>
    </row>
    <row r="753" spans="1:10" x14ac:dyDescent="0.3">
      <c r="A753" t="s">
        <v>67</v>
      </c>
      <c r="B753" t="s">
        <v>223</v>
      </c>
      <c r="C753">
        <v>32</v>
      </c>
      <c r="D753" s="1">
        <v>3.1300000000000001E-2</v>
      </c>
      <c r="E753">
        <v>1</v>
      </c>
      <c r="F753">
        <v>0</v>
      </c>
      <c r="G753" s="2" t="e">
        <v>#VALUE!</v>
      </c>
      <c r="H753" s="3">
        <v>0</v>
      </c>
      <c r="I753" s="3" t="s">
        <v>213</v>
      </c>
      <c r="J753" s="3">
        <v>0</v>
      </c>
    </row>
    <row r="754" spans="1:10" x14ac:dyDescent="0.3">
      <c r="A754" t="s">
        <v>457</v>
      </c>
      <c r="B754" t="s">
        <v>221</v>
      </c>
      <c r="C754">
        <v>32</v>
      </c>
      <c r="D754" s="1">
        <v>6.25E-2</v>
      </c>
      <c r="E754">
        <v>2</v>
      </c>
      <c r="F754">
        <v>0</v>
      </c>
      <c r="G754" s="2">
        <v>0</v>
      </c>
      <c r="H754" s="3">
        <v>0</v>
      </c>
      <c r="I754" s="3" t="s">
        <v>213</v>
      </c>
      <c r="J754" s="3">
        <v>0</v>
      </c>
    </row>
    <row r="755" spans="1:10" x14ac:dyDescent="0.3">
      <c r="A755" t="s">
        <v>346</v>
      </c>
      <c r="B755" t="s">
        <v>223</v>
      </c>
      <c r="C755">
        <v>31</v>
      </c>
      <c r="D755" s="1">
        <v>6.4500000000000002E-2</v>
      </c>
      <c r="E755">
        <v>2</v>
      </c>
      <c r="F755">
        <v>0</v>
      </c>
      <c r="G755" s="2">
        <v>0</v>
      </c>
      <c r="H755" s="3">
        <v>0</v>
      </c>
      <c r="I755" s="3" t="s">
        <v>213</v>
      </c>
      <c r="J755" s="3">
        <v>0</v>
      </c>
    </row>
    <row r="756" spans="1:10" x14ac:dyDescent="0.3">
      <c r="A756" t="s">
        <v>379</v>
      </c>
      <c r="B756" t="s">
        <v>235</v>
      </c>
      <c r="C756">
        <v>31</v>
      </c>
      <c r="D756" s="1">
        <v>0.1613</v>
      </c>
      <c r="E756">
        <v>5</v>
      </c>
      <c r="F756">
        <v>2</v>
      </c>
      <c r="G756" s="2">
        <v>0.4</v>
      </c>
      <c r="H756" s="3">
        <v>0.49</v>
      </c>
      <c r="I756" s="3">
        <v>1.23</v>
      </c>
      <c r="J756" s="3">
        <v>2.46</v>
      </c>
    </row>
    <row r="757" spans="1:10" x14ac:dyDescent="0.3">
      <c r="A757" t="s">
        <v>381</v>
      </c>
      <c r="B757" t="s">
        <v>215</v>
      </c>
      <c r="C757">
        <v>31</v>
      </c>
      <c r="D757" s="1">
        <v>3.2300000000000002E-2</v>
      </c>
      <c r="E757">
        <v>1</v>
      </c>
      <c r="F757">
        <v>0</v>
      </c>
      <c r="G757" s="2">
        <v>0</v>
      </c>
      <c r="H757" s="3">
        <v>0</v>
      </c>
      <c r="I757" s="3" t="s">
        <v>213</v>
      </c>
      <c r="J757" s="3">
        <v>0</v>
      </c>
    </row>
    <row r="758" spans="1:10" x14ac:dyDescent="0.3">
      <c r="A758" t="s">
        <v>418</v>
      </c>
      <c r="B758" t="s">
        <v>212</v>
      </c>
      <c r="C758">
        <v>31</v>
      </c>
      <c r="D758" s="1">
        <v>9.6799999999999997E-2</v>
      </c>
      <c r="E758">
        <v>3</v>
      </c>
      <c r="F758" t="e">
        <v>#VALUE!</v>
      </c>
      <c r="G758" s="2">
        <v>0</v>
      </c>
      <c r="H758" s="3">
        <v>4.82</v>
      </c>
      <c r="I758" s="3">
        <v>14.46</v>
      </c>
      <c r="J758" s="3">
        <v>14.46</v>
      </c>
    </row>
    <row r="759" spans="1:10" x14ac:dyDescent="0.3">
      <c r="A759" t="s">
        <v>458</v>
      </c>
      <c r="B759" t="s">
        <v>221</v>
      </c>
      <c r="C759">
        <v>31</v>
      </c>
      <c r="D759" s="1">
        <v>6.4500000000000002E-2</v>
      </c>
      <c r="E759">
        <v>2</v>
      </c>
      <c r="F759">
        <v>0</v>
      </c>
      <c r="G759" s="2">
        <v>0</v>
      </c>
      <c r="H759" s="3">
        <v>0</v>
      </c>
      <c r="I759" s="3" t="s">
        <v>213</v>
      </c>
      <c r="J759" s="3">
        <v>0</v>
      </c>
    </row>
    <row r="760" spans="1:10" x14ac:dyDescent="0.3">
      <c r="A760" t="s">
        <v>241</v>
      </c>
      <c r="B760" t="s">
        <v>239</v>
      </c>
      <c r="C760">
        <v>30</v>
      </c>
      <c r="D760" s="1">
        <v>0</v>
      </c>
      <c r="E760">
        <v>0</v>
      </c>
      <c r="F760">
        <v>0</v>
      </c>
      <c r="G760" s="2" t="e">
        <v>#VALUE!</v>
      </c>
      <c r="H760" s="3" t="s">
        <v>213</v>
      </c>
      <c r="I760" s="3" t="s">
        <v>213</v>
      </c>
      <c r="J760" s="3">
        <v>0</v>
      </c>
    </row>
    <row r="761" spans="1:10" x14ac:dyDescent="0.3">
      <c r="A761" t="s">
        <v>119</v>
      </c>
      <c r="B761" t="s">
        <v>268</v>
      </c>
      <c r="C761">
        <v>30</v>
      </c>
      <c r="D761" s="1">
        <v>0.16670000000000001</v>
      </c>
      <c r="E761">
        <v>5</v>
      </c>
      <c r="F761">
        <v>0</v>
      </c>
      <c r="G761" s="2">
        <v>0</v>
      </c>
      <c r="H761" s="3">
        <v>0</v>
      </c>
      <c r="I761" s="3" t="s">
        <v>213</v>
      </c>
      <c r="J761" s="3">
        <v>0</v>
      </c>
    </row>
    <row r="762" spans="1:10" x14ac:dyDescent="0.3">
      <c r="A762" t="s">
        <v>299</v>
      </c>
      <c r="B762" t="s">
        <v>223</v>
      </c>
      <c r="C762">
        <v>30</v>
      </c>
      <c r="D762" s="1">
        <v>0.2</v>
      </c>
      <c r="E762">
        <v>6</v>
      </c>
      <c r="F762" t="e">
        <v>#VALUE!</v>
      </c>
      <c r="G762" s="2">
        <v>0</v>
      </c>
      <c r="H762" s="3">
        <v>2.91</v>
      </c>
      <c r="I762" s="3">
        <v>4.37</v>
      </c>
      <c r="J762" s="3">
        <v>17.48</v>
      </c>
    </row>
    <row r="763" spans="1:10" x14ac:dyDescent="0.3">
      <c r="A763" t="s">
        <v>407</v>
      </c>
      <c r="B763" t="s">
        <v>248</v>
      </c>
      <c r="C763">
        <v>30</v>
      </c>
      <c r="D763" s="1">
        <v>6.6699999999999995E-2</v>
      </c>
      <c r="E763">
        <v>2</v>
      </c>
      <c r="F763">
        <v>0</v>
      </c>
      <c r="G763" s="2">
        <v>0</v>
      </c>
      <c r="H763" s="3">
        <v>0</v>
      </c>
      <c r="I763" s="3" t="s">
        <v>213</v>
      </c>
      <c r="J763" s="3">
        <v>0</v>
      </c>
    </row>
    <row r="764" spans="1:10" x14ac:dyDescent="0.3">
      <c r="A764" t="s">
        <v>487</v>
      </c>
      <c r="B764" t="s">
        <v>215</v>
      </c>
      <c r="C764">
        <v>30</v>
      </c>
      <c r="D764" s="1">
        <v>0.1</v>
      </c>
      <c r="E764">
        <v>3</v>
      </c>
      <c r="F764" t="e">
        <v>#VALUE!</v>
      </c>
      <c r="G764" s="2">
        <v>0</v>
      </c>
      <c r="H764" s="3">
        <v>16.95</v>
      </c>
      <c r="I764" s="3">
        <v>25.43</v>
      </c>
      <c r="J764" s="3">
        <v>50.86</v>
      </c>
    </row>
    <row r="765" spans="1:10" x14ac:dyDescent="0.3">
      <c r="A765" t="s">
        <v>234</v>
      </c>
      <c r="B765" t="s">
        <v>235</v>
      </c>
      <c r="C765">
        <v>29</v>
      </c>
      <c r="D765" s="1">
        <v>3.4500000000000003E-2</v>
      </c>
      <c r="E765">
        <v>1</v>
      </c>
      <c r="F765">
        <v>0</v>
      </c>
      <c r="G765" s="2">
        <v>0</v>
      </c>
      <c r="H765" s="3">
        <v>0</v>
      </c>
      <c r="I765" s="3" t="s">
        <v>213</v>
      </c>
      <c r="J765" s="3">
        <v>0</v>
      </c>
    </row>
    <row r="766" spans="1:10" x14ac:dyDescent="0.3">
      <c r="A766" t="s">
        <v>406</v>
      </c>
      <c r="B766" t="s">
        <v>223</v>
      </c>
      <c r="C766">
        <v>29</v>
      </c>
      <c r="D766" s="1">
        <v>3.4500000000000003E-2</v>
      </c>
      <c r="E766">
        <v>1</v>
      </c>
      <c r="F766">
        <v>0</v>
      </c>
      <c r="G766" s="2">
        <v>0</v>
      </c>
      <c r="H766" s="3">
        <v>0</v>
      </c>
      <c r="I766" s="3" t="s">
        <v>213</v>
      </c>
      <c r="J766" s="3">
        <v>0</v>
      </c>
    </row>
    <row r="767" spans="1:10" x14ac:dyDescent="0.3">
      <c r="A767" t="s">
        <v>422</v>
      </c>
      <c r="B767" t="s">
        <v>223</v>
      </c>
      <c r="C767">
        <v>29</v>
      </c>
      <c r="D767" s="1">
        <v>0</v>
      </c>
      <c r="E767">
        <v>0</v>
      </c>
      <c r="F767">
        <v>0</v>
      </c>
      <c r="G767" s="2" t="e">
        <v>#VALUE!</v>
      </c>
      <c r="H767" s="3" t="s">
        <v>213</v>
      </c>
      <c r="I767" s="3" t="s">
        <v>213</v>
      </c>
      <c r="J767" s="3">
        <v>0</v>
      </c>
    </row>
    <row r="768" spans="1:10" x14ac:dyDescent="0.3">
      <c r="A768" t="s">
        <v>299</v>
      </c>
      <c r="B768" t="s">
        <v>212</v>
      </c>
      <c r="C768">
        <v>28</v>
      </c>
      <c r="D768" s="1">
        <v>0.10710000000000001</v>
      </c>
      <c r="E768">
        <v>3</v>
      </c>
      <c r="F768" t="e">
        <v>#VALUE!</v>
      </c>
      <c r="G768" s="2">
        <v>0</v>
      </c>
      <c r="H768" s="3">
        <v>0</v>
      </c>
      <c r="I768" s="3">
        <v>0</v>
      </c>
      <c r="J768" s="3">
        <v>0</v>
      </c>
    </row>
    <row r="769" spans="1:10" x14ac:dyDescent="0.3">
      <c r="A769" t="s">
        <v>299</v>
      </c>
      <c r="B769" t="s">
        <v>215</v>
      </c>
      <c r="C769">
        <v>28</v>
      </c>
      <c r="D769" s="1">
        <v>0.10710000000000001</v>
      </c>
      <c r="E769">
        <v>3</v>
      </c>
      <c r="F769">
        <v>0</v>
      </c>
      <c r="G769" s="2" t="e">
        <v>#VALUE!</v>
      </c>
      <c r="H769" s="3">
        <v>0</v>
      </c>
      <c r="I769" s="3" t="s">
        <v>213</v>
      </c>
      <c r="J769" s="3">
        <v>0</v>
      </c>
    </row>
    <row r="770" spans="1:10" x14ac:dyDescent="0.3">
      <c r="A770" t="s">
        <v>93</v>
      </c>
      <c r="B770" t="s">
        <v>235</v>
      </c>
      <c r="C770">
        <v>28</v>
      </c>
      <c r="D770" s="1">
        <v>7.1399999999999991E-2</v>
      </c>
      <c r="E770">
        <v>2</v>
      </c>
      <c r="F770">
        <v>0</v>
      </c>
      <c r="G770" s="2">
        <v>0</v>
      </c>
      <c r="H770" s="3">
        <v>0</v>
      </c>
      <c r="I770" s="3" t="s">
        <v>213</v>
      </c>
      <c r="J770" s="3">
        <v>0</v>
      </c>
    </row>
    <row r="771" spans="1:10" x14ac:dyDescent="0.3">
      <c r="A771" t="s">
        <v>375</v>
      </c>
      <c r="B771" t="s">
        <v>221</v>
      </c>
      <c r="C771">
        <v>28</v>
      </c>
      <c r="D771" s="1">
        <v>0</v>
      </c>
      <c r="E771">
        <v>0</v>
      </c>
      <c r="F771">
        <v>0</v>
      </c>
      <c r="G771" s="2" t="e">
        <v>#VALUE!</v>
      </c>
      <c r="H771" s="3" t="s">
        <v>213</v>
      </c>
      <c r="I771" s="3" t="s">
        <v>213</v>
      </c>
      <c r="J771" s="3">
        <v>0</v>
      </c>
    </row>
    <row r="772" spans="1:10" x14ac:dyDescent="0.3">
      <c r="A772" t="s">
        <v>473</v>
      </c>
      <c r="B772" t="s">
        <v>390</v>
      </c>
      <c r="C772">
        <v>28</v>
      </c>
      <c r="D772" s="1">
        <v>7.1399999999999991E-2</v>
      </c>
      <c r="E772">
        <v>2</v>
      </c>
      <c r="F772">
        <v>0</v>
      </c>
      <c r="G772" s="2">
        <v>0</v>
      </c>
      <c r="H772" s="3">
        <v>0</v>
      </c>
      <c r="I772" s="3" t="s">
        <v>213</v>
      </c>
      <c r="J772" s="3">
        <v>0</v>
      </c>
    </row>
    <row r="773" spans="1:10" x14ac:dyDescent="0.3">
      <c r="A773" t="s">
        <v>483</v>
      </c>
      <c r="B773" t="s">
        <v>467</v>
      </c>
      <c r="C773">
        <v>28</v>
      </c>
      <c r="D773" s="1">
        <v>7.1399999999999991E-2</v>
      </c>
      <c r="E773">
        <v>2</v>
      </c>
      <c r="F773">
        <v>1</v>
      </c>
      <c r="G773" s="2">
        <v>0.5</v>
      </c>
      <c r="H773" s="3">
        <v>8.32</v>
      </c>
      <c r="I773" s="3">
        <v>16.649999999999999</v>
      </c>
      <c r="J773" s="3">
        <v>16.649999999999999</v>
      </c>
    </row>
    <row r="774" spans="1:10" x14ac:dyDescent="0.3">
      <c r="A774" t="s">
        <v>285</v>
      </c>
      <c r="B774" t="s">
        <v>266</v>
      </c>
      <c r="C774">
        <v>27</v>
      </c>
      <c r="D774" s="1">
        <v>0.11109999999999999</v>
      </c>
      <c r="E774">
        <v>3</v>
      </c>
      <c r="F774">
        <v>0</v>
      </c>
      <c r="G774" s="2">
        <v>0</v>
      </c>
      <c r="H774" s="3">
        <v>0</v>
      </c>
      <c r="I774" s="3" t="s">
        <v>213</v>
      </c>
      <c r="J774" s="3">
        <v>0</v>
      </c>
    </row>
    <row r="775" spans="1:10" x14ac:dyDescent="0.3">
      <c r="A775" t="s">
        <v>11</v>
      </c>
      <c r="B775" t="s">
        <v>229</v>
      </c>
      <c r="C775">
        <v>27</v>
      </c>
      <c r="D775" s="1">
        <v>7.4099999999999999E-2</v>
      </c>
      <c r="E775">
        <v>2</v>
      </c>
      <c r="F775">
        <v>0</v>
      </c>
      <c r="G775" s="2">
        <v>0</v>
      </c>
      <c r="H775" s="3">
        <v>0</v>
      </c>
      <c r="I775" s="3" t="s">
        <v>213</v>
      </c>
      <c r="J775" s="3">
        <v>0</v>
      </c>
    </row>
    <row r="776" spans="1:10" x14ac:dyDescent="0.3">
      <c r="A776" t="s">
        <v>335</v>
      </c>
      <c r="B776" t="s">
        <v>221</v>
      </c>
      <c r="C776">
        <v>27</v>
      </c>
      <c r="D776" s="1">
        <v>3.7000000000000005E-2</v>
      </c>
      <c r="E776">
        <v>1</v>
      </c>
      <c r="F776">
        <v>0</v>
      </c>
      <c r="G776" s="2">
        <v>0</v>
      </c>
      <c r="H776" s="3">
        <v>0</v>
      </c>
      <c r="I776" s="3" t="s">
        <v>213</v>
      </c>
      <c r="J776" s="3">
        <v>0</v>
      </c>
    </row>
    <row r="777" spans="1:10" x14ac:dyDescent="0.3">
      <c r="A777" t="s">
        <v>383</v>
      </c>
      <c r="B777" t="s">
        <v>315</v>
      </c>
      <c r="C777">
        <v>27</v>
      </c>
      <c r="D777" s="1">
        <v>0.14810000000000001</v>
      </c>
      <c r="E777">
        <v>4</v>
      </c>
      <c r="F777">
        <v>1</v>
      </c>
      <c r="G777" s="2">
        <v>0.25</v>
      </c>
      <c r="H777" s="3">
        <v>5.82</v>
      </c>
      <c r="I777" s="3">
        <v>23.26</v>
      </c>
      <c r="J777" s="3">
        <v>23.26</v>
      </c>
    </row>
    <row r="778" spans="1:10" x14ac:dyDescent="0.3">
      <c r="A778" t="s">
        <v>383</v>
      </c>
      <c r="B778" t="s">
        <v>370</v>
      </c>
      <c r="C778">
        <v>27</v>
      </c>
      <c r="D778" s="1">
        <v>3.7000000000000005E-2</v>
      </c>
      <c r="E778">
        <v>1</v>
      </c>
      <c r="F778">
        <v>1</v>
      </c>
      <c r="G778" s="2">
        <v>1</v>
      </c>
      <c r="H778" s="3">
        <v>0</v>
      </c>
      <c r="I778" s="3">
        <v>0</v>
      </c>
      <c r="J778" s="3">
        <v>0</v>
      </c>
    </row>
    <row r="779" spans="1:10" x14ac:dyDescent="0.3">
      <c r="A779" t="s">
        <v>383</v>
      </c>
      <c r="B779" t="s">
        <v>318</v>
      </c>
      <c r="C779">
        <v>27</v>
      </c>
      <c r="D779" s="1">
        <v>0.11109999999999999</v>
      </c>
      <c r="E779">
        <v>3</v>
      </c>
      <c r="F779">
        <v>0</v>
      </c>
      <c r="G779" s="2">
        <v>0</v>
      </c>
      <c r="H779" s="3">
        <v>0</v>
      </c>
      <c r="I779" s="3" t="s">
        <v>213</v>
      </c>
      <c r="J779" s="3">
        <v>0</v>
      </c>
    </row>
    <row r="780" spans="1:10" x14ac:dyDescent="0.3">
      <c r="A780" t="s">
        <v>11</v>
      </c>
      <c r="B780" t="s">
        <v>319</v>
      </c>
      <c r="C780">
        <v>26</v>
      </c>
      <c r="D780" s="1">
        <v>0.1923</v>
      </c>
      <c r="E780">
        <v>5</v>
      </c>
      <c r="F780">
        <v>0</v>
      </c>
      <c r="G780" s="2">
        <v>0</v>
      </c>
      <c r="H780" s="3">
        <v>0</v>
      </c>
      <c r="I780" s="3" t="s">
        <v>213</v>
      </c>
      <c r="J780" s="3">
        <v>0</v>
      </c>
    </row>
    <row r="781" spans="1:10" x14ac:dyDescent="0.3">
      <c r="A781" t="s">
        <v>9</v>
      </c>
      <c r="B781" t="s">
        <v>366</v>
      </c>
      <c r="C781">
        <v>26</v>
      </c>
      <c r="D781" s="1">
        <v>0.23079999999999998</v>
      </c>
      <c r="E781">
        <v>6</v>
      </c>
      <c r="F781">
        <v>0</v>
      </c>
      <c r="G781" s="2">
        <v>0</v>
      </c>
      <c r="H781" s="3">
        <v>0</v>
      </c>
      <c r="I781" s="3" t="s">
        <v>213</v>
      </c>
      <c r="J781" s="3">
        <v>0</v>
      </c>
    </row>
    <row r="782" spans="1:10" x14ac:dyDescent="0.3">
      <c r="A782" t="s">
        <v>379</v>
      </c>
      <c r="B782" t="s">
        <v>297</v>
      </c>
      <c r="C782">
        <v>26</v>
      </c>
      <c r="D782" s="1">
        <v>0.15380000000000002</v>
      </c>
      <c r="E782">
        <v>4</v>
      </c>
      <c r="F782">
        <v>0</v>
      </c>
      <c r="G782" s="2">
        <v>0</v>
      </c>
      <c r="H782" s="3">
        <v>0</v>
      </c>
      <c r="I782" s="3" t="s">
        <v>213</v>
      </c>
      <c r="J782" s="3">
        <v>0</v>
      </c>
    </row>
    <row r="783" spans="1:10" x14ac:dyDescent="0.3">
      <c r="A783" t="s">
        <v>472</v>
      </c>
      <c r="B783" t="s">
        <v>390</v>
      </c>
      <c r="C783">
        <v>26</v>
      </c>
      <c r="D783" s="1">
        <v>3.85E-2</v>
      </c>
      <c r="E783">
        <v>1</v>
      </c>
      <c r="F783">
        <v>0</v>
      </c>
      <c r="G783" s="2">
        <v>0</v>
      </c>
      <c r="H783" s="3">
        <v>0</v>
      </c>
      <c r="I783" s="3" t="s">
        <v>213</v>
      </c>
      <c r="J783" s="3">
        <v>0</v>
      </c>
    </row>
    <row r="784" spans="1:10" x14ac:dyDescent="0.3">
      <c r="A784" t="s">
        <v>473</v>
      </c>
      <c r="B784" t="s">
        <v>239</v>
      </c>
      <c r="C784">
        <v>26</v>
      </c>
      <c r="D784" s="1">
        <v>0</v>
      </c>
      <c r="E784">
        <v>0</v>
      </c>
      <c r="F784">
        <v>0</v>
      </c>
      <c r="G784" s="2" t="e">
        <v>#VALUE!</v>
      </c>
      <c r="H784" s="3" t="s">
        <v>213</v>
      </c>
      <c r="I784" s="3" t="s">
        <v>213</v>
      </c>
      <c r="J784" s="3">
        <v>0</v>
      </c>
    </row>
    <row r="785" spans="1:10" x14ac:dyDescent="0.3">
      <c r="A785" t="s">
        <v>295</v>
      </c>
      <c r="B785" t="s">
        <v>296</v>
      </c>
      <c r="C785">
        <v>25</v>
      </c>
      <c r="D785" s="1">
        <v>0.24</v>
      </c>
      <c r="E785">
        <v>6</v>
      </c>
      <c r="F785">
        <v>1</v>
      </c>
      <c r="G785" s="2">
        <v>0.16670000000000001</v>
      </c>
      <c r="H785" s="3">
        <v>0.28000000000000003</v>
      </c>
      <c r="I785" s="3">
        <v>1.7</v>
      </c>
      <c r="J785" s="3">
        <v>1.7</v>
      </c>
    </row>
    <row r="786" spans="1:10" x14ac:dyDescent="0.3">
      <c r="A786" t="s">
        <v>11</v>
      </c>
      <c r="B786" t="s">
        <v>282</v>
      </c>
      <c r="C786">
        <v>25</v>
      </c>
      <c r="D786" s="1">
        <v>0.12</v>
      </c>
      <c r="E786">
        <v>3</v>
      </c>
      <c r="F786">
        <v>0</v>
      </c>
      <c r="G786" s="2">
        <v>0</v>
      </c>
      <c r="H786" s="3">
        <v>0</v>
      </c>
      <c r="I786" s="3" t="s">
        <v>213</v>
      </c>
      <c r="J786" s="3">
        <v>0</v>
      </c>
    </row>
    <row r="787" spans="1:10" x14ac:dyDescent="0.3">
      <c r="A787" t="s">
        <v>11</v>
      </c>
      <c r="B787" t="s">
        <v>288</v>
      </c>
      <c r="C787">
        <v>25</v>
      </c>
      <c r="D787" s="1">
        <v>0.12</v>
      </c>
      <c r="E787">
        <v>3</v>
      </c>
      <c r="F787">
        <v>0</v>
      </c>
      <c r="G787" s="2">
        <v>0</v>
      </c>
      <c r="H787" s="3">
        <v>0</v>
      </c>
      <c r="I787" s="3" t="s">
        <v>213</v>
      </c>
      <c r="J787" s="3">
        <v>0</v>
      </c>
    </row>
    <row r="788" spans="1:10" x14ac:dyDescent="0.3">
      <c r="A788" t="s">
        <v>341</v>
      </c>
      <c r="B788" t="s">
        <v>242</v>
      </c>
      <c r="C788">
        <v>25</v>
      </c>
      <c r="D788" s="1">
        <v>0.12</v>
      </c>
      <c r="E788">
        <v>3</v>
      </c>
      <c r="F788">
        <v>0</v>
      </c>
      <c r="G788" s="2">
        <v>0</v>
      </c>
      <c r="H788" s="3">
        <v>0</v>
      </c>
      <c r="I788" s="3" t="s">
        <v>213</v>
      </c>
      <c r="J788" s="3">
        <v>0</v>
      </c>
    </row>
    <row r="789" spans="1:10" x14ac:dyDescent="0.3">
      <c r="A789" t="s">
        <v>448</v>
      </c>
      <c r="B789" t="s">
        <v>227</v>
      </c>
      <c r="C789">
        <v>25</v>
      </c>
      <c r="D789" s="1">
        <v>0.12</v>
      </c>
      <c r="E789">
        <v>3</v>
      </c>
      <c r="F789">
        <v>1</v>
      </c>
      <c r="G789" s="2">
        <v>0.33329999999999999</v>
      </c>
      <c r="H789" s="3">
        <v>28.18</v>
      </c>
      <c r="I789" s="3">
        <v>84.53</v>
      </c>
      <c r="J789" s="3">
        <v>84.53</v>
      </c>
    </row>
    <row r="790" spans="1:10" x14ac:dyDescent="0.3">
      <c r="A790" t="s">
        <v>346</v>
      </c>
      <c r="B790" t="s">
        <v>223</v>
      </c>
      <c r="C790">
        <v>24</v>
      </c>
      <c r="D790" s="1">
        <v>4.1700000000000001E-2</v>
      </c>
      <c r="E790">
        <v>1</v>
      </c>
      <c r="F790">
        <v>0</v>
      </c>
      <c r="G790" s="2">
        <v>0</v>
      </c>
      <c r="H790" s="3">
        <v>0</v>
      </c>
      <c r="I790" s="3" t="s">
        <v>213</v>
      </c>
      <c r="J790" s="3">
        <v>0</v>
      </c>
    </row>
    <row r="791" spans="1:10" x14ac:dyDescent="0.3">
      <c r="A791" t="s">
        <v>405</v>
      </c>
      <c r="B791" t="s">
        <v>248</v>
      </c>
      <c r="C791">
        <v>24</v>
      </c>
      <c r="D791" s="1">
        <v>4.1700000000000001E-2</v>
      </c>
      <c r="E791">
        <v>1</v>
      </c>
      <c r="F791">
        <v>0</v>
      </c>
      <c r="G791" s="2">
        <v>0</v>
      </c>
      <c r="H791" s="3">
        <v>0</v>
      </c>
      <c r="I791" s="3" t="s">
        <v>213</v>
      </c>
      <c r="J791" s="3">
        <v>0</v>
      </c>
    </row>
    <row r="792" spans="1:10" x14ac:dyDescent="0.3">
      <c r="A792" t="s">
        <v>461</v>
      </c>
      <c r="B792" t="s">
        <v>252</v>
      </c>
      <c r="C792">
        <v>24</v>
      </c>
      <c r="D792" s="1">
        <v>4.1700000000000001E-2</v>
      </c>
      <c r="E792">
        <v>1</v>
      </c>
      <c r="F792">
        <v>0</v>
      </c>
      <c r="G792" s="2">
        <v>0</v>
      </c>
      <c r="H792" s="3">
        <v>0</v>
      </c>
      <c r="I792" s="3" t="s">
        <v>213</v>
      </c>
      <c r="J792" s="3">
        <v>0</v>
      </c>
    </row>
    <row r="793" spans="1:10" x14ac:dyDescent="0.3">
      <c r="A793" t="s">
        <v>19</v>
      </c>
      <c r="B793" t="s">
        <v>467</v>
      </c>
      <c r="C793">
        <v>24</v>
      </c>
      <c r="D793" s="1">
        <v>0.125</v>
      </c>
      <c r="E793">
        <v>3</v>
      </c>
      <c r="F793">
        <v>0</v>
      </c>
      <c r="G793" s="2">
        <v>0</v>
      </c>
      <c r="H793" s="3">
        <v>0</v>
      </c>
      <c r="I793" s="3" t="s">
        <v>213</v>
      </c>
      <c r="J793" s="3">
        <v>0</v>
      </c>
    </row>
    <row r="794" spans="1:10" x14ac:dyDescent="0.3">
      <c r="A794" t="s">
        <v>486</v>
      </c>
      <c r="B794" t="s">
        <v>215</v>
      </c>
      <c r="C794">
        <v>24</v>
      </c>
      <c r="D794" s="1">
        <v>0.125</v>
      </c>
      <c r="E794">
        <v>3</v>
      </c>
      <c r="F794">
        <v>0</v>
      </c>
      <c r="G794" s="2">
        <v>0</v>
      </c>
      <c r="H794" s="3">
        <v>0</v>
      </c>
      <c r="I794" s="3" t="s">
        <v>213</v>
      </c>
      <c r="J794" s="3">
        <v>0</v>
      </c>
    </row>
    <row r="795" spans="1:10" x14ac:dyDescent="0.3">
      <c r="A795" t="s">
        <v>305</v>
      </c>
      <c r="B795" t="s">
        <v>221</v>
      </c>
      <c r="C795">
        <v>23</v>
      </c>
      <c r="D795" s="1">
        <v>4.3499999999999997E-2</v>
      </c>
      <c r="E795">
        <v>1</v>
      </c>
      <c r="F795">
        <v>0</v>
      </c>
      <c r="G795" s="2" t="e">
        <v>#VALUE!</v>
      </c>
      <c r="H795" s="3">
        <v>0</v>
      </c>
      <c r="I795" s="3" t="s">
        <v>213</v>
      </c>
      <c r="J795" s="3">
        <v>0</v>
      </c>
    </row>
    <row r="796" spans="1:10" x14ac:dyDescent="0.3">
      <c r="A796" t="s">
        <v>11</v>
      </c>
      <c r="B796" t="s">
        <v>226</v>
      </c>
      <c r="C796">
        <v>23</v>
      </c>
      <c r="D796" s="1">
        <v>8.6999999999999994E-2</v>
      </c>
      <c r="E796">
        <v>2</v>
      </c>
      <c r="F796">
        <v>0</v>
      </c>
      <c r="G796" s="2">
        <v>0</v>
      </c>
      <c r="H796" s="3">
        <v>0</v>
      </c>
      <c r="I796" s="3" t="s">
        <v>213</v>
      </c>
      <c r="J796" s="3">
        <v>0</v>
      </c>
    </row>
    <row r="797" spans="1:10" x14ac:dyDescent="0.3">
      <c r="A797" t="s">
        <v>456</v>
      </c>
      <c r="B797" t="s">
        <v>221</v>
      </c>
      <c r="C797">
        <v>23</v>
      </c>
      <c r="D797" s="1">
        <v>0</v>
      </c>
      <c r="E797">
        <v>0</v>
      </c>
      <c r="F797" t="e">
        <v>#VALUE!</v>
      </c>
      <c r="G797" s="2">
        <v>0</v>
      </c>
      <c r="H797" s="3" t="s">
        <v>213</v>
      </c>
      <c r="I797" s="3">
        <v>0</v>
      </c>
      <c r="J797" s="3">
        <v>0</v>
      </c>
    </row>
    <row r="798" spans="1:10" x14ac:dyDescent="0.3">
      <c r="A798" t="s">
        <v>472</v>
      </c>
      <c r="B798" t="s">
        <v>319</v>
      </c>
      <c r="C798">
        <v>23</v>
      </c>
      <c r="D798" s="1">
        <v>8.6999999999999994E-2</v>
      </c>
      <c r="E798">
        <v>2</v>
      </c>
      <c r="F798">
        <v>0</v>
      </c>
      <c r="G798" s="2">
        <v>0</v>
      </c>
      <c r="H798" s="3">
        <v>0</v>
      </c>
      <c r="I798" s="3" t="s">
        <v>213</v>
      </c>
      <c r="J798" s="3">
        <v>0</v>
      </c>
    </row>
    <row r="799" spans="1:10" x14ac:dyDescent="0.3">
      <c r="A799" t="s">
        <v>28</v>
      </c>
      <c r="B799" t="s">
        <v>227</v>
      </c>
      <c r="C799">
        <v>22</v>
      </c>
      <c r="D799" s="1">
        <v>0.2273</v>
      </c>
      <c r="E799">
        <v>5</v>
      </c>
      <c r="F799">
        <v>0</v>
      </c>
      <c r="G799" s="2">
        <v>0</v>
      </c>
      <c r="H799" s="3">
        <v>0</v>
      </c>
      <c r="I799" s="3" t="s">
        <v>213</v>
      </c>
      <c r="J799" s="3">
        <v>0</v>
      </c>
    </row>
    <row r="800" spans="1:10" x14ac:dyDescent="0.3">
      <c r="A800" t="s">
        <v>11</v>
      </c>
      <c r="B800" t="s">
        <v>231</v>
      </c>
      <c r="C800">
        <v>22</v>
      </c>
      <c r="D800" s="1">
        <v>4.5499999999999999E-2</v>
      </c>
      <c r="E800">
        <v>1</v>
      </c>
      <c r="F800">
        <v>0</v>
      </c>
      <c r="G800" s="2">
        <v>0</v>
      </c>
      <c r="H800" s="3">
        <v>0</v>
      </c>
      <c r="I800" s="3" t="s">
        <v>213</v>
      </c>
      <c r="J800" s="3">
        <v>0</v>
      </c>
    </row>
    <row r="801" spans="1:10" x14ac:dyDescent="0.3">
      <c r="A801" t="s">
        <v>332</v>
      </c>
      <c r="B801" t="s">
        <v>212</v>
      </c>
      <c r="C801">
        <v>22</v>
      </c>
      <c r="D801" s="1">
        <v>4.5499999999999999E-2</v>
      </c>
      <c r="E801">
        <v>1</v>
      </c>
      <c r="F801">
        <v>0</v>
      </c>
      <c r="G801" s="2">
        <v>0</v>
      </c>
      <c r="H801" s="3">
        <v>0</v>
      </c>
      <c r="I801" s="3" t="s">
        <v>213</v>
      </c>
      <c r="J801" s="3">
        <v>0</v>
      </c>
    </row>
    <row r="802" spans="1:10" x14ac:dyDescent="0.3">
      <c r="A802" t="s">
        <v>334</v>
      </c>
      <c r="B802" t="s">
        <v>221</v>
      </c>
      <c r="C802">
        <v>22</v>
      </c>
      <c r="D802" s="1">
        <v>4.5499999999999999E-2</v>
      </c>
      <c r="E802">
        <v>1</v>
      </c>
      <c r="F802">
        <v>0</v>
      </c>
      <c r="G802" s="2">
        <v>0</v>
      </c>
      <c r="H802" s="3">
        <v>0</v>
      </c>
      <c r="I802" s="3" t="s">
        <v>213</v>
      </c>
      <c r="J802" s="3">
        <v>0</v>
      </c>
    </row>
    <row r="803" spans="1:10" x14ac:dyDescent="0.3">
      <c r="A803" t="s">
        <v>381</v>
      </c>
      <c r="B803" t="s">
        <v>223</v>
      </c>
      <c r="C803">
        <v>22</v>
      </c>
      <c r="D803" s="1">
        <v>0</v>
      </c>
      <c r="E803">
        <v>0</v>
      </c>
      <c r="F803">
        <v>0</v>
      </c>
      <c r="G803" s="2" t="e">
        <v>#VALUE!</v>
      </c>
      <c r="H803" s="3" t="s">
        <v>213</v>
      </c>
      <c r="I803" s="3" t="s">
        <v>213</v>
      </c>
      <c r="J803" s="3">
        <v>0</v>
      </c>
    </row>
    <row r="804" spans="1:10" x14ac:dyDescent="0.3">
      <c r="A804" t="s">
        <v>383</v>
      </c>
      <c r="B804" t="s">
        <v>264</v>
      </c>
      <c r="C804">
        <v>22</v>
      </c>
      <c r="D804" s="1">
        <v>0.18179999999999999</v>
      </c>
      <c r="E804">
        <v>4</v>
      </c>
      <c r="F804">
        <v>1</v>
      </c>
      <c r="G804" s="2">
        <v>0.25</v>
      </c>
      <c r="H804" s="3">
        <v>4.6100000000000003</v>
      </c>
      <c r="I804" s="3">
        <v>18.420000000000002</v>
      </c>
      <c r="J804" s="3">
        <v>18.420000000000002</v>
      </c>
    </row>
    <row r="805" spans="1:10" x14ac:dyDescent="0.3">
      <c r="A805" t="s">
        <v>415</v>
      </c>
      <c r="B805" t="s">
        <v>313</v>
      </c>
      <c r="C805">
        <v>22</v>
      </c>
      <c r="D805" s="1">
        <v>0</v>
      </c>
      <c r="E805">
        <v>0</v>
      </c>
      <c r="F805">
        <v>0</v>
      </c>
      <c r="G805" s="2" t="e">
        <v>#VALUE!</v>
      </c>
      <c r="H805" s="3" t="s">
        <v>213</v>
      </c>
      <c r="I805" s="3" t="s">
        <v>213</v>
      </c>
      <c r="J805" s="3">
        <v>0</v>
      </c>
    </row>
    <row r="806" spans="1:10" x14ac:dyDescent="0.3">
      <c r="A806" t="s">
        <v>480</v>
      </c>
      <c r="B806" t="s">
        <v>288</v>
      </c>
      <c r="C806">
        <v>22</v>
      </c>
      <c r="D806" s="1">
        <v>4.5499999999999999E-2</v>
      </c>
      <c r="E806">
        <v>1</v>
      </c>
      <c r="F806">
        <v>0</v>
      </c>
      <c r="G806" s="2">
        <v>0</v>
      </c>
      <c r="H806" s="3">
        <v>0</v>
      </c>
      <c r="I806" s="3" t="s">
        <v>213</v>
      </c>
      <c r="J806" s="3">
        <v>0</v>
      </c>
    </row>
    <row r="807" spans="1:10" x14ac:dyDescent="0.3">
      <c r="A807" t="s">
        <v>28</v>
      </c>
      <c r="B807" t="s">
        <v>231</v>
      </c>
      <c r="C807">
        <v>21</v>
      </c>
      <c r="D807" s="1">
        <v>9.5199999999999993E-2</v>
      </c>
      <c r="E807">
        <v>2</v>
      </c>
      <c r="F807">
        <v>0</v>
      </c>
      <c r="G807" s="2">
        <v>0</v>
      </c>
      <c r="H807" s="3">
        <v>0</v>
      </c>
      <c r="I807" s="3" t="s">
        <v>213</v>
      </c>
      <c r="J807" s="3">
        <v>0</v>
      </c>
    </row>
    <row r="808" spans="1:10" x14ac:dyDescent="0.3">
      <c r="A808" t="s">
        <v>16</v>
      </c>
      <c r="B808" t="s">
        <v>266</v>
      </c>
      <c r="C808">
        <v>21</v>
      </c>
      <c r="D808" s="1">
        <v>4.7599999999999996E-2</v>
      </c>
      <c r="E808">
        <v>1</v>
      </c>
      <c r="F808">
        <v>0</v>
      </c>
      <c r="G808" s="2">
        <v>0</v>
      </c>
      <c r="H808" s="3">
        <v>0</v>
      </c>
      <c r="I808" s="3" t="s">
        <v>213</v>
      </c>
      <c r="J808" s="3">
        <v>0</v>
      </c>
    </row>
    <row r="809" spans="1:10" x14ac:dyDescent="0.3">
      <c r="A809" t="s">
        <v>281</v>
      </c>
      <c r="B809" t="s">
        <v>231</v>
      </c>
      <c r="C809">
        <v>21</v>
      </c>
      <c r="D809" s="1">
        <v>0.1905</v>
      </c>
      <c r="E809">
        <v>4</v>
      </c>
      <c r="F809">
        <v>0</v>
      </c>
      <c r="G809" s="2">
        <v>0</v>
      </c>
      <c r="H809" s="3">
        <v>0</v>
      </c>
      <c r="I809" s="3" t="s">
        <v>213</v>
      </c>
      <c r="J809" s="3">
        <v>0</v>
      </c>
    </row>
    <row r="810" spans="1:10" x14ac:dyDescent="0.3">
      <c r="A810" t="s">
        <v>379</v>
      </c>
      <c r="B810" t="s">
        <v>296</v>
      </c>
      <c r="C810">
        <v>21</v>
      </c>
      <c r="D810" s="1">
        <v>4.7599999999999996E-2</v>
      </c>
      <c r="E810">
        <v>1</v>
      </c>
      <c r="F810">
        <v>0</v>
      </c>
      <c r="G810" s="2">
        <v>0</v>
      </c>
      <c r="H810" s="3">
        <v>0</v>
      </c>
      <c r="I810" s="3" t="s">
        <v>213</v>
      </c>
      <c r="J810" s="3">
        <v>0</v>
      </c>
    </row>
    <row r="811" spans="1:10" x14ac:dyDescent="0.3">
      <c r="A811" t="s">
        <v>16</v>
      </c>
      <c r="B811" t="s">
        <v>265</v>
      </c>
      <c r="C811">
        <v>20</v>
      </c>
      <c r="D811" s="1">
        <v>0.1</v>
      </c>
      <c r="E811">
        <v>2</v>
      </c>
      <c r="F811">
        <v>0</v>
      </c>
      <c r="G811" s="2">
        <v>0</v>
      </c>
      <c r="H811" s="3">
        <v>0</v>
      </c>
      <c r="I811" s="3" t="s">
        <v>213</v>
      </c>
      <c r="J811" s="3">
        <v>0</v>
      </c>
    </row>
    <row r="812" spans="1:10" x14ac:dyDescent="0.3">
      <c r="A812" t="s">
        <v>281</v>
      </c>
      <c r="B812" t="s">
        <v>225</v>
      </c>
      <c r="C812">
        <v>20</v>
      </c>
      <c r="D812" s="1">
        <v>0.2</v>
      </c>
      <c r="E812">
        <v>4</v>
      </c>
      <c r="F812">
        <v>1</v>
      </c>
      <c r="G812" s="2">
        <v>0.25</v>
      </c>
      <c r="H812" s="3">
        <v>1.01</v>
      </c>
      <c r="I812" s="3">
        <v>4.0599999999999996</v>
      </c>
      <c r="J812" s="3">
        <v>4.0599999999999996</v>
      </c>
    </row>
    <row r="813" spans="1:10" x14ac:dyDescent="0.3">
      <c r="A813" t="s">
        <v>383</v>
      </c>
      <c r="B813" t="s">
        <v>318</v>
      </c>
      <c r="C813">
        <v>20</v>
      </c>
      <c r="D813" s="1">
        <v>0.05</v>
      </c>
      <c r="E813">
        <v>1</v>
      </c>
      <c r="F813">
        <v>0</v>
      </c>
      <c r="G813" s="2">
        <v>0</v>
      </c>
      <c r="H813" s="3">
        <v>0</v>
      </c>
      <c r="I813" s="3" t="s">
        <v>213</v>
      </c>
      <c r="J813" s="3">
        <v>0</v>
      </c>
    </row>
    <row r="814" spans="1:10" x14ac:dyDescent="0.3">
      <c r="A814" t="s">
        <v>415</v>
      </c>
      <c r="B814" t="s">
        <v>238</v>
      </c>
      <c r="C814">
        <v>20</v>
      </c>
      <c r="D814" s="1">
        <v>0.05</v>
      </c>
      <c r="E814">
        <v>1</v>
      </c>
      <c r="F814">
        <v>0</v>
      </c>
      <c r="G814" s="2">
        <v>0</v>
      </c>
      <c r="H814" s="3">
        <v>0</v>
      </c>
      <c r="I814" s="3" t="s">
        <v>213</v>
      </c>
      <c r="J814" s="3">
        <v>0</v>
      </c>
    </row>
    <row r="815" spans="1:10" x14ac:dyDescent="0.3">
      <c r="A815" t="s">
        <v>280</v>
      </c>
      <c r="B815" t="s">
        <v>217</v>
      </c>
      <c r="C815">
        <v>19</v>
      </c>
      <c r="D815" s="1">
        <v>0.15789999999999998</v>
      </c>
      <c r="E815">
        <v>3</v>
      </c>
      <c r="F815">
        <v>0</v>
      </c>
      <c r="G815" s="2">
        <v>0</v>
      </c>
      <c r="H815" s="3">
        <v>0</v>
      </c>
      <c r="I815" s="3" t="s">
        <v>213</v>
      </c>
      <c r="J815" s="3">
        <v>0</v>
      </c>
    </row>
    <row r="816" spans="1:10" x14ac:dyDescent="0.3">
      <c r="A816" t="s">
        <v>281</v>
      </c>
      <c r="B816" t="s">
        <v>282</v>
      </c>
      <c r="C816">
        <v>19</v>
      </c>
      <c r="D816" s="1">
        <v>5.2600000000000001E-2</v>
      </c>
      <c r="E816">
        <v>1</v>
      </c>
      <c r="F816">
        <v>0</v>
      </c>
      <c r="G816" s="2">
        <v>0</v>
      </c>
      <c r="H816" s="3">
        <v>0</v>
      </c>
      <c r="I816" s="3" t="s">
        <v>213</v>
      </c>
      <c r="J816" s="3">
        <v>0</v>
      </c>
    </row>
    <row r="817" spans="1:10" x14ac:dyDescent="0.3">
      <c r="A817" t="s">
        <v>284</v>
      </c>
      <c r="B817" t="s">
        <v>239</v>
      </c>
      <c r="C817">
        <v>19</v>
      </c>
      <c r="D817" s="1">
        <v>0</v>
      </c>
      <c r="E817">
        <v>0</v>
      </c>
      <c r="F817">
        <v>0</v>
      </c>
      <c r="G817" s="2" t="e">
        <v>#VALUE!</v>
      </c>
      <c r="H817" s="3" t="s">
        <v>213</v>
      </c>
      <c r="I817" s="3" t="s">
        <v>213</v>
      </c>
      <c r="J817" s="3">
        <v>0</v>
      </c>
    </row>
    <row r="818" spans="1:10" x14ac:dyDescent="0.3">
      <c r="A818" t="s">
        <v>335</v>
      </c>
      <c r="B818" t="s">
        <v>221</v>
      </c>
      <c r="C818">
        <v>19</v>
      </c>
      <c r="D818" s="1">
        <v>0</v>
      </c>
      <c r="E818">
        <v>0</v>
      </c>
      <c r="F818">
        <v>0</v>
      </c>
      <c r="G818" s="2" t="e">
        <v>#VALUE!</v>
      </c>
      <c r="H818" s="3" t="s">
        <v>213</v>
      </c>
      <c r="I818" s="3" t="s">
        <v>213</v>
      </c>
      <c r="J818" s="3">
        <v>0</v>
      </c>
    </row>
    <row r="819" spans="1:10" x14ac:dyDescent="0.3">
      <c r="A819" t="s">
        <v>21</v>
      </c>
      <c r="B819" t="s">
        <v>319</v>
      </c>
      <c r="C819">
        <v>19</v>
      </c>
      <c r="D819" s="1">
        <v>5.2600000000000001E-2</v>
      </c>
      <c r="E819">
        <v>1</v>
      </c>
      <c r="F819">
        <v>1</v>
      </c>
      <c r="G819" s="2">
        <v>1</v>
      </c>
      <c r="H819" s="3">
        <v>9.5500000000000007</v>
      </c>
      <c r="I819" s="3">
        <v>9.5500000000000007</v>
      </c>
      <c r="J819" s="3">
        <v>9.5500000000000007</v>
      </c>
    </row>
    <row r="820" spans="1:10" x14ac:dyDescent="0.3">
      <c r="A820" t="s">
        <v>381</v>
      </c>
      <c r="B820" t="s">
        <v>215</v>
      </c>
      <c r="C820">
        <v>19</v>
      </c>
      <c r="D820" s="1">
        <v>5.2600000000000001E-2</v>
      </c>
      <c r="E820">
        <v>1</v>
      </c>
      <c r="F820">
        <v>0</v>
      </c>
      <c r="G820" s="2">
        <v>0</v>
      </c>
      <c r="H820" s="3">
        <v>0</v>
      </c>
      <c r="I820" s="3" t="s">
        <v>213</v>
      </c>
      <c r="J820" s="3">
        <v>0</v>
      </c>
    </row>
    <row r="821" spans="1:10" x14ac:dyDescent="0.3">
      <c r="A821" t="s">
        <v>374</v>
      </c>
      <c r="B821" t="s">
        <v>221</v>
      </c>
      <c r="C821">
        <v>18</v>
      </c>
      <c r="D821" s="1">
        <v>5.5599999999999997E-2</v>
      </c>
      <c r="E821">
        <v>1</v>
      </c>
      <c r="F821">
        <v>0</v>
      </c>
      <c r="G821" s="2">
        <v>0</v>
      </c>
      <c r="H821" s="3">
        <v>0</v>
      </c>
      <c r="I821" s="3" t="s">
        <v>213</v>
      </c>
      <c r="J821" s="3">
        <v>0</v>
      </c>
    </row>
    <row r="822" spans="1:10" x14ac:dyDescent="0.3">
      <c r="A822" t="s">
        <v>488</v>
      </c>
      <c r="B822" t="s">
        <v>215</v>
      </c>
      <c r="C822">
        <v>18</v>
      </c>
      <c r="D822" s="1">
        <v>5.5599999999999997E-2</v>
      </c>
      <c r="E822">
        <v>1</v>
      </c>
      <c r="F822">
        <v>0</v>
      </c>
      <c r="G822" s="2">
        <v>0</v>
      </c>
      <c r="H822" s="3">
        <v>0</v>
      </c>
      <c r="I822" s="3" t="s">
        <v>213</v>
      </c>
      <c r="J822" s="3">
        <v>0</v>
      </c>
    </row>
    <row r="823" spans="1:10" x14ac:dyDescent="0.3">
      <c r="A823" t="s">
        <v>391</v>
      </c>
      <c r="B823" t="s">
        <v>221</v>
      </c>
      <c r="C823">
        <v>17</v>
      </c>
      <c r="D823" s="1">
        <v>0</v>
      </c>
      <c r="E823">
        <v>0</v>
      </c>
      <c r="F823" t="e">
        <v>#VALUE!</v>
      </c>
      <c r="G823" s="2" t="e">
        <v>#VALUE!</v>
      </c>
      <c r="H823" s="3" t="s">
        <v>213</v>
      </c>
      <c r="I823" s="3" t="s">
        <v>213</v>
      </c>
      <c r="J823" s="3">
        <v>0</v>
      </c>
    </row>
    <row r="824" spans="1:10" x14ac:dyDescent="0.3">
      <c r="A824" t="s">
        <v>152</v>
      </c>
      <c r="B824" t="s">
        <v>315</v>
      </c>
      <c r="C824">
        <v>17</v>
      </c>
      <c r="D824" s="1">
        <v>0.1176</v>
      </c>
      <c r="E824">
        <v>2</v>
      </c>
      <c r="F824">
        <v>1</v>
      </c>
      <c r="G824" s="2">
        <v>0.5</v>
      </c>
      <c r="H824" s="3">
        <v>3.62</v>
      </c>
      <c r="I824" s="3">
        <v>7.24</v>
      </c>
      <c r="J824" s="3">
        <v>7.24</v>
      </c>
    </row>
    <row r="825" spans="1:10" x14ac:dyDescent="0.3">
      <c r="A825" t="s">
        <v>28</v>
      </c>
      <c r="B825" t="s">
        <v>227</v>
      </c>
      <c r="C825">
        <v>16</v>
      </c>
      <c r="D825" s="1">
        <v>0.25</v>
      </c>
      <c r="E825">
        <v>4</v>
      </c>
      <c r="F825">
        <v>0</v>
      </c>
      <c r="G825" s="2">
        <v>0</v>
      </c>
      <c r="H825" s="3">
        <v>0</v>
      </c>
      <c r="I825" s="3" t="s">
        <v>213</v>
      </c>
      <c r="J825" s="3">
        <v>0</v>
      </c>
    </row>
    <row r="826" spans="1:10" x14ac:dyDescent="0.3">
      <c r="A826" t="s">
        <v>285</v>
      </c>
      <c r="B826" t="s">
        <v>265</v>
      </c>
      <c r="C826">
        <v>16</v>
      </c>
      <c r="D826" s="1">
        <v>6.25E-2</v>
      </c>
      <c r="E826">
        <v>1</v>
      </c>
      <c r="F826">
        <v>0</v>
      </c>
      <c r="G826" s="2">
        <v>0</v>
      </c>
      <c r="H826" s="3">
        <v>0</v>
      </c>
      <c r="I826" s="3" t="s">
        <v>213</v>
      </c>
      <c r="J826" s="3">
        <v>0</v>
      </c>
    </row>
    <row r="827" spans="1:10" x14ac:dyDescent="0.3">
      <c r="A827" t="s">
        <v>284</v>
      </c>
      <c r="B827" t="s">
        <v>242</v>
      </c>
      <c r="C827">
        <v>15</v>
      </c>
      <c r="D827" s="1">
        <v>0</v>
      </c>
      <c r="E827">
        <v>0</v>
      </c>
      <c r="F827">
        <v>0</v>
      </c>
      <c r="G827" s="2" t="e">
        <v>#VALUE!</v>
      </c>
      <c r="H827" s="3" t="s">
        <v>213</v>
      </c>
      <c r="I827" s="3" t="s">
        <v>213</v>
      </c>
      <c r="J827" s="3">
        <v>0</v>
      </c>
    </row>
    <row r="828" spans="1:10" x14ac:dyDescent="0.3">
      <c r="A828" t="s">
        <v>287</v>
      </c>
      <c r="B828" t="s">
        <v>245</v>
      </c>
      <c r="C828">
        <v>15</v>
      </c>
      <c r="D828" s="1">
        <v>0</v>
      </c>
      <c r="E828">
        <v>0</v>
      </c>
      <c r="F828">
        <v>0</v>
      </c>
      <c r="G828" s="2" t="e">
        <v>#VALUE!</v>
      </c>
      <c r="H828" s="3" t="s">
        <v>213</v>
      </c>
      <c r="I828" s="3" t="s">
        <v>213</v>
      </c>
      <c r="J828" s="3">
        <v>0</v>
      </c>
    </row>
    <row r="829" spans="1:10" x14ac:dyDescent="0.3">
      <c r="A829" t="s">
        <v>345</v>
      </c>
      <c r="B829" t="s">
        <v>221</v>
      </c>
      <c r="C829">
        <v>15</v>
      </c>
      <c r="D829" s="1">
        <v>0</v>
      </c>
      <c r="E829">
        <v>0</v>
      </c>
      <c r="F829" t="e">
        <v>#VALUE!</v>
      </c>
      <c r="G829" s="2" t="e">
        <v>#VALUE!</v>
      </c>
      <c r="H829" s="3" t="s">
        <v>213</v>
      </c>
      <c r="I829" s="3" t="s">
        <v>213</v>
      </c>
      <c r="J829" s="3">
        <v>0</v>
      </c>
    </row>
    <row r="830" spans="1:10" x14ac:dyDescent="0.3">
      <c r="A830" t="s">
        <v>383</v>
      </c>
      <c r="B830" t="s">
        <v>286</v>
      </c>
      <c r="C830">
        <v>15</v>
      </c>
      <c r="D830" s="1">
        <v>0.1333</v>
      </c>
      <c r="E830">
        <v>2</v>
      </c>
      <c r="F830">
        <v>1</v>
      </c>
      <c r="G830" s="2">
        <v>0.5</v>
      </c>
      <c r="H830" s="3">
        <v>8.2100000000000009</v>
      </c>
      <c r="I830" s="3">
        <v>16.420000000000002</v>
      </c>
      <c r="J830" s="3">
        <v>16.420000000000002</v>
      </c>
    </row>
    <row r="831" spans="1:10" x14ac:dyDescent="0.3">
      <c r="A831" t="s">
        <v>393</v>
      </c>
      <c r="B831" t="s">
        <v>394</v>
      </c>
      <c r="C831">
        <v>15</v>
      </c>
      <c r="D831" s="1">
        <v>6.6699999999999995E-2</v>
      </c>
      <c r="E831">
        <v>1</v>
      </c>
      <c r="F831">
        <v>0</v>
      </c>
      <c r="G831" s="2">
        <v>0</v>
      </c>
      <c r="H831" s="3">
        <v>0</v>
      </c>
      <c r="I831" s="3" t="s">
        <v>213</v>
      </c>
      <c r="J831" s="3">
        <v>0</v>
      </c>
    </row>
    <row r="832" spans="1:10" x14ac:dyDescent="0.3">
      <c r="A832" t="s">
        <v>405</v>
      </c>
      <c r="B832" t="s">
        <v>242</v>
      </c>
      <c r="C832">
        <v>15</v>
      </c>
      <c r="D832" s="1">
        <v>0</v>
      </c>
      <c r="E832">
        <v>0</v>
      </c>
      <c r="F832">
        <v>0</v>
      </c>
      <c r="G832" s="2" t="e">
        <v>#VALUE!</v>
      </c>
      <c r="H832" s="3" t="s">
        <v>213</v>
      </c>
      <c r="I832" s="3" t="s">
        <v>213</v>
      </c>
      <c r="J832" s="3">
        <v>0</v>
      </c>
    </row>
    <row r="833" spans="1:10" x14ac:dyDescent="0.3">
      <c r="A833" t="s">
        <v>298</v>
      </c>
      <c r="B833" t="s">
        <v>215</v>
      </c>
      <c r="C833">
        <v>13</v>
      </c>
      <c r="D833" s="1">
        <v>7.690000000000001E-2</v>
      </c>
      <c r="E833">
        <v>1</v>
      </c>
      <c r="F833">
        <v>0</v>
      </c>
      <c r="G833" s="2" t="e">
        <v>#VALUE!</v>
      </c>
      <c r="H833" s="3">
        <v>0</v>
      </c>
      <c r="I833" s="3" t="s">
        <v>213</v>
      </c>
      <c r="J833" s="3">
        <v>0</v>
      </c>
    </row>
    <row r="834" spans="1:10" x14ac:dyDescent="0.3">
      <c r="A834" t="s">
        <v>383</v>
      </c>
      <c r="B834" t="s">
        <v>371</v>
      </c>
      <c r="C834">
        <v>13</v>
      </c>
      <c r="D834" s="1">
        <v>0</v>
      </c>
      <c r="E834">
        <v>0</v>
      </c>
      <c r="F834">
        <v>0</v>
      </c>
      <c r="G834" s="2" t="e">
        <v>#VALUE!</v>
      </c>
      <c r="H834" s="3" t="s">
        <v>213</v>
      </c>
      <c r="I834" s="3" t="s">
        <v>213</v>
      </c>
      <c r="J834" s="3">
        <v>0</v>
      </c>
    </row>
    <row r="835" spans="1:10" x14ac:dyDescent="0.3">
      <c r="A835" t="s">
        <v>406</v>
      </c>
      <c r="B835" t="s">
        <v>221</v>
      </c>
      <c r="C835">
        <v>13</v>
      </c>
      <c r="D835" s="1">
        <v>0.15380000000000002</v>
      </c>
      <c r="E835">
        <v>2</v>
      </c>
      <c r="F835">
        <v>0</v>
      </c>
      <c r="G835" s="2">
        <v>0</v>
      </c>
      <c r="H835" s="3">
        <v>0</v>
      </c>
      <c r="I835" s="3" t="s">
        <v>213</v>
      </c>
      <c r="J835" s="3">
        <v>0</v>
      </c>
    </row>
    <row r="836" spans="1:10" x14ac:dyDescent="0.3">
      <c r="A836" t="s">
        <v>478</v>
      </c>
      <c r="B836" t="s">
        <v>223</v>
      </c>
      <c r="C836">
        <v>13</v>
      </c>
      <c r="D836" s="1">
        <v>0</v>
      </c>
      <c r="E836">
        <v>0</v>
      </c>
      <c r="F836">
        <v>0</v>
      </c>
      <c r="G836" s="2" t="e">
        <v>#VALUE!</v>
      </c>
      <c r="H836" s="3" t="s">
        <v>213</v>
      </c>
      <c r="I836" s="3" t="s">
        <v>213</v>
      </c>
      <c r="J836" s="3">
        <v>0</v>
      </c>
    </row>
    <row r="837" spans="1:10" x14ac:dyDescent="0.3">
      <c r="A837" t="s">
        <v>241</v>
      </c>
      <c r="B837" t="s">
        <v>242</v>
      </c>
      <c r="C837">
        <v>12</v>
      </c>
      <c r="D837" s="1">
        <v>8.3299999999999999E-2</v>
      </c>
      <c r="E837">
        <v>1</v>
      </c>
      <c r="F837">
        <v>0</v>
      </c>
      <c r="G837" s="2">
        <v>0</v>
      </c>
      <c r="H837" s="3">
        <v>0</v>
      </c>
      <c r="I837" s="3" t="s">
        <v>213</v>
      </c>
      <c r="J837" s="3">
        <v>0</v>
      </c>
    </row>
    <row r="838" spans="1:10" x14ac:dyDescent="0.3">
      <c r="A838" t="s">
        <v>16</v>
      </c>
      <c r="B838" t="s">
        <v>264</v>
      </c>
      <c r="C838">
        <v>12</v>
      </c>
      <c r="D838" s="1">
        <v>0.33329999999999999</v>
      </c>
      <c r="E838">
        <v>4</v>
      </c>
      <c r="F838">
        <v>1</v>
      </c>
      <c r="G838" s="2">
        <v>0.25</v>
      </c>
      <c r="H838" s="3">
        <v>1.18</v>
      </c>
      <c r="I838" s="3">
        <v>4.7300000000000004</v>
      </c>
      <c r="J838" s="3">
        <v>4.7300000000000004</v>
      </c>
    </row>
    <row r="839" spans="1:10" x14ac:dyDescent="0.3">
      <c r="A839" t="s">
        <v>11</v>
      </c>
      <c r="B839" t="s">
        <v>315</v>
      </c>
      <c r="C839">
        <v>12</v>
      </c>
      <c r="D839" s="1">
        <v>0.16670000000000001</v>
      </c>
      <c r="E839">
        <v>2</v>
      </c>
      <c r="F839">
        <v>0</v>
      </c>
      <c r="G839" s="2">
        <v>0</v>
      </c>
      <c r="H839" s="3">
        <v>0</v>
      </c>
      <c r="I839" s="3" t="s">
        <v>213</v>
      </c>
      <c r="J839" s="3">
        <v>0</v>
      </c>
    </row>
    <row r="840" spans="1:10" x14ac:dyDescent="0.3">
      <c r="A840" t="s">
        <v>369</v>
      </c>
      <c r="B840" t="s">
        <v>229</v>
      </c>
      <c r="C840">
        <v>12</v>
      </c>
      <c r="D840" s="1">
        <v>0.16670000000000001</v>
      </c>
      <c r="E840">
        <v>2</v>
      </c>
      <c r="F840">
        <v>0</v>
      </c>
      <c r="G840" s="2">
        <v>0</v>
      </c>
      <c r="H840" s="3">
        <v>0</v>
      </c>
      <c r="I840" s="3" t="s">
        <v>213</v>
      </c>
      <c r="J840" s="3">
        <v>0</v>
      </c>
    </row>
    <row r="841" spans="1:10" x14ac:dyDescent="0.3">
      <c r="A841" t="s">
        <v>406</v>
      </c>
      <c r="B841" t="s">
        <v>221</v>
      </c>
      <c r="C841">
        <v>12</v>
      </c>
      <c r="D841" s="1">
        <v>8.3299999999999999E-2</v>
      </c>
      <c r="E841">
        <v>1</v>
      </c>
      <c r="F841">
        <v>0</v>
      </c>
      <c r="G841" s="2" t="e">
        <v>#VALUE!</v>
      </c>
      <c r="H841" s="3">
        <v>0</v>
      </c>
      <c r="I841" s="3" t="s">
        <v>213</v>
      </c>
      <c r="J841" s="3">
        <v>0</v>
      </c>
    </row>
    <row r="842" spans="1:10" x14ac:dyDescent="0.3">
      <c r="A842" t="s">
        <v>479</v>
      </c>
      <c r="B842" t="s">
        <v>223</v>
      </c>
      <c r="C842">
        <v>12</v>
      </c>
      <c r="D842" s="1">
        <v>0</v>
      </c>
      <c r="E842">
        <v>0</v>
      </c>
      <c r="F842">
        <v>0</v>
      </c>
      <c r="G842" s="2" t="e">
        <v>#VALUE!</v>
      </c>
      <c r="H842" s="3" t="s">
        <v>213</v>
      </c>
      <c r="I842" s="3" t="s">
        <v>213</v>
      </c>
      <c r="J842" s="3">
        <v>0</v>
      </c>
    </row>
    <row r="843" spans="1:10" x14ac:dyDescent="0.3">
      <c r="A843" t="s">
        <v>86</v>
      </c>
      <c r="B843" t="s">
        <v>233</v>
      </c>
      <c r="C843">
        <v>11</v>
      </c>
      <c r="D843" s="1">
        <v>0</v>
      </c>
      <c r="E843">
        <v>0</v>
      </c>
      <c r="F843">
        <v>0</v>
      </c>
      <c r="G843" s="2" t="e">
        <v>#VALUE!</v>
      </c>
      <c r="H843" s="3" t="s">
        <v>213</v>
      </c>
      <c r="I843" s="3" t="s">
        <v>213</v>
      </c>
      <c r="J843" s="3">
        <v>0</v>
      </c>
    </row>
    <row r="844" spans="1:10" x14ac:dyDescent="0.3">
      <c r="A844" t="s">
        <v>304</v>
      </c>
      <c r="B844" t="s">
        <v>221</v>
      </c>
      <c r="C844">
        <v>11</v>
      </c>
      <c r="D844" s="1">
        <v>0</v>
      </c>
      <c r="E844">
        <v>0</v>
      </c>
      <c r="F844" t="e">
        <v>#VALUE!</v>
      </c>
      <c r="G844" s="2" t="e">
        <v>#VALUE!</v>
      </c>
      <c r="H844" s="3" t="s">
        <v>213</v>
      </c>
      <c r="I844" s="3" t="s">
        <v>213</v>
      </c>
      <c r="J844" s="3">
        <v>0</v>
      </c>
    </row>
    <row r="845" spans="1:10" x14ac:dyDescent="0.3">
      <c r="A845" t="s">
        <v>306</v>
      </c>
      <c r="B845" t="s">
        <v>223</v>
      </c>
      <c r="C845">
        <v>11</v>
      </c>
      <c r="D845" s="1">
        <v>0</v>
      </c>
      <c r="E845">
        <v>0</v>
      </c>
      <c r="F845" t="e">
        <v>#VALUE!</v>
      </c>
      <c r="G845" s="2" t="e">
        <v>#VALUE!</v>
      </c>
      <c r="H845" s="3" t="s">
        <v>213</v>
      </c>
      <c r="I845" s="3" t="s">
        <v>213</v>
      </c>
      <c r="J845" s="3">
        <v>0</v>
      </c>
    </row>
    <row r="846" spans="1:10" x14ac:dyDescent="0.3">
      <c r="A846" t="s">
        <v>344</v>
      </c>
      <c r="B846" t="s">
        <v>221</v>
      </c>
      <c r="C846">
        <v>11</v>
      </c>
      <c r="D846" s="1">
        <v>0</v>
      </c>
      <c r="E846">
        <v>0</v>
      </c>
      <c r="F846">
        <v>0</v>
      </c>
      <c r="G846" s="2" t="e">
        <v>#VALUE!</v>
      </c>
      <c r="H846" s="3" t="s">
        <v>213</v>
      </c>
      <c r="I846" s="3" t="s">
        <v>213</v>
      </c>
      <c r="J846" s="3">
        <v>0</v>
      </c>
    </row>
    <row r="847" spans="1:10" x14ac:dyDescent="0.3">
      <c r="A847" t="s">
        <v>383</v>
      </c>
      <c r="B847" t="s">
        <v>227</v>
      </c>
      <c r="C847">
        <v>11</v>
      </c>
      <c r="D847" s="1">
        <v>0</v>
      </c>
      <c r="E847">
        <v>0</v>
      </c>
      <c r="F847">
        <v>0</v>
      </c>
      <c r="G847" s="2" t="e">
        <v>#VALUE!</v>
      </c>
      <c r="H847" s="3" t="s">
        <v>213</v>
      </c>
      <c r="I847" s="3" t="s">
        <v>213</v>
      </c>
      <c r="J847" s="3">
        <v>0</v>
      </c>
    </row>
    <row r="848" spans="1:10" x14ac:dyDescent="0.3">
      <c r="A848" t="s">
        <v>383</v>
      </c>
      <c r="B848" t="s">
        <v>229</v>
      </c>
      <c r="C848">
        <v>11</v>
      </c>
      <c r="D848" s="1">
        <v>0</v>
      </c>
      <c r="E848">
        <v>0</v>
      </c>
      <c r="F848">
        <v>0</v>
      </c>
      <c r="G848" s="2" t="e">
        <v>#VALUE!</v>
      </c>
      <c r="H848" s="3" t="s">
        <v>213</v>
      </c>
      <c r="I848" s="3" t="s">
        <v>213</v>
      </c>
      <c r="J848" s="3">
        <v>0</v>
      </c>
    </row>
    <row r="849" spans="1:10" x14ac:dyDescent="0.3">
      <c r="A849" t="s">
        <v>429</v>
      </c>
      <c r="B849" t="s">
        <v>221</v>
      </c>
      <c r="C849">
        <v>11</v>
      </c>
      <c r="D849" s="1">
        <v>9.0899999999999995E-2</v>
      </c>
      <c r="E849">
        <v>1</v>
      </c>
      <c r="F849">
        <v>0</v>
      </c>
      <c r="G849" s="2">
        <v>0</v>
      </c>
      <c r="H849" s="3">
        <v>0</v>
      </c>
      <c r="I849" s="3" t="s">
        <v>213</v>
      </c>
      <c r="J849" s="3">
        <v>0</v>
      </c>
    </row>
    <row r="850" spans="1:10" x14ac:dyDescent="0.3">
      <c r="A850" t="s">
        <v>472</v>
      </c>
      <c r="B850" t="s">
        <v>319</v>
      </c>
      <c r="C850">
        <v>11</v>
      </c>
      <c r="D850" s="1">
        <v>0</v>
      </c>
      <c r="E850">
        <v>0</v>
      </c>
      <c r="F850">
        <v>0</v>
      </c>
      <c r="G850" s="2" t="e">
        <v>#VALUE!</v>
      </c>
      <c r="H850" s="3" t="s">
        <v>213</v>
      </c>
      <c r="I850" s="3" t="s">
        <v>213</v>
      </c>
      <c r="J850" s="3">
        <v>0</v>
      </c>
    </row>
    <row r="851" spans="1:10" x14ac:dyDescent="0.3">
      <c r="A851" t="s">
        <v>16</v>
      </c>
      <c r="B851" t="s">
        <v>239</v>
      </c>
      <c r="C851">
        <v>10</v>
      </c>
      <c r="D851" s="1">
        <v>0.2</v>
      </c>
      <c r="E851">
        <v>2</v>
      </c>
      <c r="F851">
        <v>1</v>
      </c>
      <c r="G851" s="2">
        <v>0.5</v>
      </c>
      <c r="H851" s="3">
        <v>1.98</v>
      </c>
      <c r="I851" s="3">
        <v>3.96</v>
      </c>
      <c r="J851" s="3">
        <v>3.96</v>
      </c>
    </row>
    <row r="852" spans="1:10" x14ac:dyDescent="0.3">
      <c r="A852" t="s">
        <v>281</v>
      </c>
      <c r="B852" t="s">
        <v>228</v>
      </c>
      <c r="C852">
        <v>10</v>
      </c>
      <c r="D852" s="1">
        <v>0</v>
      </c>
      <c r="E852">
        <v>0</v>
      </c>
      <c r="F852">
        <v>0</v>
      </c>
      <c r="G852" s="2" t="e">
        <v>#VALUE!</v>
      </c>
      <c r="H852" s="3" t="s">
        <v>213</v>
      </c>
      <c r="I852" s="3" t="s">
        <v>213</v>
      </c>
      <c r="J852" s="3">
        <v>0</v>
      </c>
    </row>
    <row r="853" spans="1:10" x14ac:dyDescent="0.3">
      <c r="A853" t="s">
        <v>281</v>
      </c>
      <c r="B853" t="s">
        <v>226</v>
      </c>
      <c r="C853">
        <v>10</v>
      </c>
      <c r="D853" s="1">
        <v>0</v>
      </c>
      <c r="E853">
        <v>0</v>
      </c>
      <c r="F853">
        <v>0</v>
      </c>
      <c r="G853" s="2" t="e">
        <v>#VALUE!</v>
      </c>
      <c r="H853" s="3" t="s">
        <v>213</v>
      </c>
      <c r="I853" s="3" t="s">
        <v>213</v>
      </c>
      <c r="J853" s="3">
        <v>0</v>
      </c>
    </row>
    <row r="854" spans="1:10" x14ac:dyDescent="0.3">
      <c r="A854" t="s">
        <v>285</v>
      </c>
      <c r="B854" t="s">
        <v>286</v>
      </c>
      <c r="C854">
        <v>10</v>
      </c>
      <c r="D854" s="1">
        <v>0.1</v>
      </c>
      <c r="E854">
        <v>1</v>
      </c>
      <c r="F854">
        <v>1</v>
      </c>
      <c r="G854" s="2">
        <v>1</v>
      </c>
      <c r="H854" s="3">
        <v>4.7300000000000004</v>
      </c>
      <c r="I854" s="3">
        <v>4.7300000000000004</v>
      </c>
      <c r="J854" s="3">
        <v>4.7300000000000004</v>
      </c>
    </row>
    <row r="855" spans="1:10" x14ac:dyDescent="0.3">
      <c r="A855" t="s">
        <v>285</v>
      </c>
      <c r="B855" t="s">
        <v>264</v>
      </c>
      <c r="C855">
        <v>10</v>
      </c>
      <c r="D855" s="1">
        <v>0</v>
      </c>
      <c r="E855">
        <v>0</v>
      </c>
      <c r="F855">
        <v>0</v>
      </c>
      <c r="G855" s="2" t="e">
        <v>#VALUE!</v>
      </c>
      <c r="H855" s="3" t="s">
        <v>213</v>
      </c>
      <c r="I855" s="3" t="s">
        <v>213</v>
      </c>
      <c r="J855" s="3">
        <v>0</v>
      </c>
    </row>
    <row r="856" spans="1:10" x14ac:dyDescent="0.3">
      <c r="A856" t="s">
        <v>306</v>
      </c>
      <c r="B856" t="s">
        <v>221</v>
      </c>
      <c r="C856">
        <v>10</v>
      </c>
      <c r="D856" s="1">
        <v>0.1</v>
      </c>
      <c r="E856">
        <v>1</v>
      </c>
      <c r="F856">
        <v>0</v>
      </c>
      <c r="G856" s="2" t="e">
        <v>#VALUE!</v>
      </c>
      <c r="H856" s="3">
        <v>0</v>
      </c>
      <c r="I856" s="3" t="s">
        <v>213</v>
      </c>
      <c r="J856" s="3">
        <v>0</v>
      </c>
    </row>
    <row r="857" spans="1:10" x14ac:dyDescent="0.3">
      <c r="A857" t="s">
        <v>369</v>
      </c>
      <c r="B857" t="s">
        <v>315</v>
      </c>
      <c r="C857">
        <v>10</v>
      </c>
      <c r="D857" s="1">
        <v>0.1</v>
      </c>
      <c r="E857">
        <v>1</v>
      </c>
      <c r="F857">
        <v>0</v>
      </c>
      <c r="G857" s="2">
        <v>0</v>
      </c>
      <c r="H857" s="3">
        <v>0</v>
      </c>
      <c r="I857" s="3" t="s">
        <v>213</v>
      </c>
      <c r="J857" s="3">
        <v>0</v>
      </c>
    </row>
    <row r="858" spans="1:10" x14ac:dyDescent="0.3">
      <c r="A858" t="s">
        <v>415</v>
      </c>
      <c r="B858" t="s">
        <v>239</v>
      </c>
      <c r="C858">
        <v>10</v>
      </c>
      <c r="D858" s="1">
        <v>0</v>
      </c>
      <c r="E858">
        <v>0</v>
      </c>
      <c r="F858">
        <v>0</v>
      </c>
      <c r="G858" s="2" t="e">
        <v>#VALUE!</v>
      </c>
      <c r="H858" s="3" t="s">
        <v>213</v>
      </c>
      <c r="I858" s="3" t="s">
        <v>213</v>
      </c>
      <c r="J858" s="3">
        <v>0</v>
      </c>
    </row>
    <row r="859" spans="1:10" x14ac:dyDescent="0.3">
      <c r="A859" t="s">
        <v>484</v>
      </c>
      <c r="B859" t="s">
        <v>485</v>
      </c>
      <c r="C859">
        <v>10</v>
      </c>
      <c r="D859" s="1">
        <v>0</v>
      </c>
      <c r="E859">
        <v>0</v>
      </c>
      <c r="F859">
        <v>0</v>
      </c>
      <c r="G859" s="2" t="e">
        <v>#VALUE!</v>
      </c>
      <c r="H859" s="3" t="s">
        <v>213</v>
      </c>
      <c r="I859" s="3" t="s">
        <v>213</v>
      </c>
      <c r="J859" s="3">
        <v>0</v>
      </c>
    </row>
    <row r="860" spans="1:10" x14ac:dyDescent="0.3">
      <c r="A860" t="s">
        <v>28</v>
      </c>
      <c r="B860" t="s">
        <v>218</v>
      </c>
      <c r="C860">
        <v>9</v>
      </c>
      <c r="D860" s="1">
        <v>0</v>
      </c>
      <c r="E860">
        <v>0</v>
      </c>
      <c r="F860">
        <v>0</v>
      </c>
      <c r="G860" s="2" t="e">
        <v>#VALUE!</v>
      </c>
      <c r="H860" s="3" t="s">
        <v>213</v>
      </c>
      <c r="I860" s="3" t="s">
        <v>213</v>
      </c>
      <c r="J860" s="3">
        <v>0</v>
      </c>
    </row>
    <row r="861" spans="1:10" x14ac:dyDescent="0.3">
      <c r="A861" t="s">
        <v>75</v>
      </c>
      <c r="B861" t="s">
        <v>322</v>
      </c>
      <c r="C861">
        <v>9</v>
      </c>
      <c r="D861" s="1">
        <v>0</v>
      </c>
      <c r="E861">
        <v>0</v>
      </c>
      <c r="F861">
        <v>0</v>
      </c>
      <c r="G861" s="2" t="e">
        <v>#VALUE!</v>
      </c>
      <c r="H861" s="3" t="s">
        <v>213</v>
      </c>
      <c r="I861" s="3" t="s">
        <v>213</v>
      </c>
      <c r="J861" s="3">
        <v>0</v>
      </c>
    </row>
    <row r="862" spans="1:10" x14ac:dyDescent="0.3">
      <c r="A862" t="s">
        <v>375</v>
      </c>
      <c r="B862" t="s">
        <v>221</v>
      </c>
      <c r="C862">
        <v>9</v>
      </c>
      <c r="D862" s="1">
        <v>0</v>
      </c>
      <c r="E862">
        <v>0</v>
      </c>
      <c r="F862">
        <v>0</v>
      </c>
      <c r="G862" s="2" t="e">
        <v>#VALUE!</v>
      </c>
      <c r="H862" s="3" t="s">
        <v>213</v>
      </c>
      <c r="I862" s="3" t="s">
        <v>213</v>
      </c>
      <c r="J862" s="3">
        <v>0</v>
      </c>
    </row>
    <row r="863" spans="1:10" x14ac:dyDescent="0.3">
      <c r="A863" t="s">
        <v>391</v>
      </c>
      <c r="B863" t="s">
        <v>223</v>
      </c>
      <c r="C863">
        <v>9</v>
      </c>
      <c r="D863" s="1">
        <v>0</v>
      </c>
      <c r="E863">
        <v>0</v>
      </c>
      <c r="F863" t="e">
        <v>#VALUE!</v>
      </c>
      <c r="G863" s="2" t="e">
        <v>#VALUE!</v>
      </c>
      <c r="H863" s="3" t="s">
        <v>213</v>
      </c>
      <c r="I863" s="3" t="s">
        <v>213</v>
      </c>
      <c r="J863" s="3">
        <v>0</v>
      </c>
    </row>
    <row r="864" spans="1:10" x14ac:dyDescent="0.3">
      <c r="A864" t="s">
        <v>415</v>
      </c>
      <c r="B864" t="s">
        <v>416</v>
      </c>
      <c r="C864">
        <v>9</v>
      </c>
      <c r="D864" s="1">
        <v>0</v>
      </c>
      <c r="E864">
        <v>0</v>
      </c>
      <c r="F864">
        <v>0</v>
      </c>
      <c r="G864" s="2" t="e">
        <v>#VALUE!</v>
      </c>
      <c r="H864" s="3" t="s">
        <v>213</v>
      </c>
      <c r="I864" s="3" t="s">
        <v>213</v>
      </c>
      <c r="J864" s="3">
        <v>0</v>
      </c>
    </row>
    <row r="865" spans="1:10" x14ac:dyDescent="0.3">
      <c r="A865" t="s">
        <v>76</v>
      </c>
      <c r="B865" t="s">
        <v>239</v>
      </c>
      <c r="C865">
        <v>9</v>
      </c>
      <c r="D865" s="1">
        <v>0</v>
      </c>
      <c r="E865">
        <v>0</v>
      </c>
      <c r="F865">
        <v>0</v>
      </c>
      <c r="G865" s="2" t="e">
        <v>#VALUE!</v>
      </c>
      <c r="H865" s="3" t="s">
        <v>213</v>
      </c>
      <c r="I865" s="3" t="s">
        <v>213</v>
      </c>
      <c r="J865" s="3">
        <v>0</v>
      </c>
    </row>
    <row r="866" spans="1:10" x14ac:dyDescent="0.3">
      <c r="A866" t="s">
        <v>472</v>
      </c>
      <c r="B866" t="s">
        <v>372</v>
      </c>
      <c r="C866">
        <v>9</v>
      </c>
      <c r="D866" s="1">
        <v>0</v>
      </c>
      <c r="E866">
        <v>0</v>
      </c>
      <c r="F866">
        <v>0</v>
      </c>
      <c r="G866" s="2" t="e">
        <v>#VALUE!</v>
      </c>
      <c r="H866" s="3" t="s">
        <v>213</v>
      </c>
      <c r="I866" s="3" t="s">
        <v>213</v>
      </c>
      <c r="J866" s="3">
        <v>0</v>
      </c>
    </row>
    <row r="867" spans="1:10" x14ac:dyDescent="0.3">
      <c r="A867" t="s">
        <v>234</v>
      </c>
      <c r="B867" t="s">
        <v>223</v>
      </c>
      <c r="C867">
        <v>8</v>
      </c>
      <c r="D867" s="1">
        <v>0.125</v>
      </c>
      <c r="E867">
        <v>1</v>
      </c>
      <c r="F867">
        <v>0</v>
      </c>
      <c r="G867" s="2">
        <v>0</v>
      </c>
      <c r="H867" s="3">
        <v>0</v>
      </c>
      <c r="I867" s="3" t="s">
        <v>213</v>
      </c>
      <c r="J867" s="3">
        <v>0</v>
      </c>
    </row>
    <row r="868" spans="1:10" x14ac:dyDescent="0.3">
      <c r="A868" t="s">
        <v>281</v>
      </c>
      <c r="B868" t="s">
        <v>229</v>
      </c>
      <c r="C868">
        <v>8</v>
      </c>
      <c r="D868" s="1">
        <v>0</v>
      </c>
      <c r="E868">
        <v>0</v>
      </c>
      <c r="F868">
        <v>0</v>
      </c>
      <c r="G868" s="2" t="e">
        <v>#VALUE!</v>
      </c>
      <c r="H868" s="3" t="s">
        <v>213</v>
      </c>
      <c r="I868" s="3" t="s">
        <v>213</v>
      </c>
      <c r="J868" s="3">
        <v>0</v>
      </c>
    </row>
    <row r="869" spans="1:10" x14ac:dyDescent="0.3">
      <c r="A869" t="s">
        <v>285</v>
      </c>
      <c r="B869" t="s">
        <v>239</v>
      </c>
      <c r="C869">
        <v>8</v>
      </c>
      <c r="D869" s="1">
        <v>0.125</v>
      </c>
      <c r="E869">
        <v>1</v>
      </c>
      <c r="F869">
        <v>1</v>
      </c>
      <c r="G869" s="2">
        <v>1</v>
      </c>
      <c r="H869" s="3">
        <v>3.96</v>
      </c>
      <c r="I869" s="3">
        <v>3.96</v>
      </c>
      <c r="J869" s="3">
        <v>3.96</v>
      </c>
    </row>
    <row r="870" spans="1:10" x14ac:dyDescent="0.3">
      <c r="A870" t="s">
        <v>383</v>
      </c>
      <c r="B870" t="s">
        <v>370</v>
      </c>
      <c r="C870">
        <v>8</v>
      </c>
      <c r="D870" s="1">
        <v>0.125</v>
      </c>
      <c r="E870">
        <v>1</v>
      </c>
      <c r="F870">
        <v>0</v>
      </c>
      <c r="G870" s="2">
        <v>0</v>
      </c>
      <c r="H870" s="3">
        <v>0</v>
      </c>
      <c r="I870" s="3" t="s">
        <v>213</v>
      </c>
      <c r="J870" s="3">
        <v>0</v>
      </c>
    </row>
    <row r="871" spans="1:10" x14ac:dyDescent="0.3">
      <c r="A871" t="s">
        <v>406</v>
      </c>
      <c r="B871" t="s">
        <v>223</v>
      </c>
      <c r="C871">
        <v>8</v>
      </c>
      <c r="D871" s="1">
        <v>0.125</v>
      </c>
      <c r="E871">
        <v>1</v>
      </c>
      <c r="F871">
        <v>0</v>
      </c>
      <c r="G871" s="2" t="e">
        <v>#VALUE!</v>
      </c>
      <c r="H871" s="3">
        <v>0</v>
      </c>
      <c r="I871" s="3" t="s">
        <v>213</v>
      </c>
      <c r="J871" s="3">
        <v>0</v>
      </c>
    </row>
    <row r="872" spans="1:10" x14ac:dyDescent="0.3">
      <c r="A872" t="s">
        <v>415</v>
      </c>
      <c r="B872" t="s">
        <v>223</v>
      </c>
      <c r="C872">
        <v>8</v>
      </c>
      <c r="D872" s="1">
        <v>0</v>
      </c>
      <c r="E872">
        <v>0</v>
      </c>
      <c r="F872">
        <v>0</v>
      </c>
      <c r="G872" s="2" t="e">
        <v>#VALUE!</v>
      </c>
      <c r="H872" s="3" t="s">
        <v>213</v>
      </c>
      <c r="I872" s="3" t="s">
        <v>213</v>
      </c>
      <c r="J872" s="3">
        <v>0</v>
      </c>
    </row>
    <row r="873" spans="1:10" x14ac:dyDescent="0.3">
      <c r="A873" t="s">
        <v>415</v>
      </c>
      <c r="B873" t="s">
        <v>390</v>
      </c>
      <c r="C873">
        <v>8</v>
      </c>
      <c r="D873" s="1">
        <v>0</v>
      </c>
      <c r="E873">
        <v>0</v>
      </c>
      <c r="F873">
        <v>0</v>
      </c>
      <c r="G873" s="2" t="e">
        <v>#VALUE!</v>
      </c>
      <c r="H873" s="3" t="s">
        <v>213</v>
      </c>
      <c r="I873" s="3" t="s">
        <v>213</v>
      </c>
      <c r="J873" s="3">
        <v>0</v>
      </c>
    </row>
    <row r="874" spans="1:10" x14ac:dyDescent="0.3">
      <c r="A874" t="s">
        <v>90</v>
      </c>
      <c r="B874" t="s">
        <v>277</v>
      </c>
      <c r="C874">
        <v>7</v>
      </c>
      <c r="D874" s="1">
        <v>0</v>
      </c>
      <c r="E874">
        <v>0</v>
      </c>
      <c r="F874">
        <v>0</v>
      </c>
      <c r="G874" s="2" t="e">
        <v>#VALUE!</v>
      </c>
      <c r="H874" s="3" t="s">
        <v>213</v>
      </c>
      <c r="I874" s="3" t="s">
        <v>213</v>
      </c>
      <c r="J874" s="3">
        <v>0</v>
      </c>
    </row>
    <row r="875" spans="1:10" x14ac:dyDescent="0.3">
      <c r="A875" t="s">
        <v>281</v>
      </c>
      <c r="B875" t="s">
        <v>230</v>
      </c>
      <c r="C875">
        <v>7</v>
      </c>
      <c r="D875" s="1">
        <v>0</v>
      </c>
      <c r="E875">
        <v>0</v>
      </c>
      <c r="F875">
        <v>0</v>
      </c>
      <c r="G875" s="2" t="e">
        <v>#VALUE!</v>
      </c>
      <c r="H875" s="3" t="s">
        <v>213</v>
      </c>
      <c r="I875" s="3" t="s">
        <v>213</v>
      </c>
      <c r="J875" s="3">
        <v>0</v>
      </c>
    </row>
    <row r="876" spans="1:10" x14ac:dyDescent="0.3">
      <c r="A876" t="s">
        <v>298</v>
      </c>
      <c r="B876" t="s">
        <v>223</v>
      </c>
      <c r="C876">
        <v>7</v>
      </c>
      <c r="D876" s="1">
        <v>0</v>
      </c>
      <c r="E876">
        <v>0</v>
      </c>
      <c r="F876" t="e">
        <v>#VALUE!</v>
      </c>
      <c r="G876" s="2" t="e">
        <v>#VALUE!</v>
      </c>
      <c r="H876" s="3" t="s">
        <v>213</v>
      </c>
      <c r="I876" s="3" t="s">
        <v>213</v>
      </c>
      <c r="J876" s="3">
        <v>0</v>
      </c>
    </row>
    <row r="877" spans="1:10" x14ac:dyDescent="0.3">
      <c r="A877" t="s">
        <v>11</v>
      </c>
      <c r="B877" t="s">
        <v>320</v>
      </c>
      <c r="C877">
        <v>7</v>
      </c>
      <c r="D877" s="1">
        <v>0.1429</v>
      </c>
      <c r="E877">
        <v>1</v>
      </c>
      <c r="F877">
        <v>0</v>
      </c>
      <c r="G877" s="2">
        <v>0</v>
      </c>
      <c r="H877" s="3">
        <v>0</v>
      </c>
      <c r="I877" s="3" t="s">
        <v>213</v>
      </c>
      <c r="J877" s="3">
        <v>0</v>
      </c>
    </row>
    <row r="878" spans="1:10" x14ac:dyDescent="0.3">
      <c r="A878" t="s">
        <v>383</v>
      </c>
      <c r="B878" t="s">
        <v>313</v>
      </c>
      <c r="C878">
        <v>7</v>
      </c>
      <c r="D878" s="1">
        <v>0</v>
      </c>
      <c r="E878">
        <v>0</v>
      </c>
      <c r="F878">
        <v>0</v>
      </c>
      <c r="G878" s="2" t="e">
        <v>#VALUE!</v>
      </c>
      <c r="H878" s="3" t="s">
        <v>213</v>
      </c>
      <c r="I878" s="3" t="s">
        <v>213</v>
      </c>
      <c r="J878" s="3">
        <v>0</v>
      </c>
    </row>
    <row r="879" spans="1:10" x14ac:dyDescent="0.3">
      <c r="A879" t="s">
        <v>428</v>
      </c>
      <c r="B879" t="s">
        <v>221</v>
      </c>
      <c r="C879">
        <v>7</v>
      </c>
      <c r="D879" s="1">
        <v>0</v>
      </c>
      <c r="E879">
        <v>0</v>
      </c>
      <c r="F879" t="e">
        <v>#VALUE!</v>
      </c>
      <c r="G879" s="2" t="e">
        <v>#VALUE!</v>
      </c>
      <c r="H879" s="3" t="s">
        <v>213</v>
      </c>
      <c r="I879" s="3" t="s">
        <v>213</v>
      </c>
      <c r="J879" s="3">
        <v>0</v>
      </c>
    </row>
    <row r="880" spans="1:10" x14ac:dyDescent="0.3">
      <c r="A880" t="s">
        <v>117</v>
      </c>
      <c r="B880" t="s">
        <v>212</v>
      </c>
      <c r="C880">
        <v>6</v>
      </c>
      <c r="D880" s="1">
        <v>0</v>
      </c>
      <c r="E880">
        <v>0</v>
      </c>
      <c r="F880">
        <v>0</v>
      </c>
      <c r="G880" s="2" t="e">
        <v>#VALUE!</v>
      </c>
      <c r="H880" s="3" t="s">
        <v>213</v>
      </c>
      <c r="I880" s="3" t="s">
        <v>213</v>
      </c>
      <c r="J880" s="3">
        <v>0</v>
      </c>
    </row>
    <row r="881" spans="1:10" x14ac:dyDescent="0.3">
      <c r="A881" t="s">
        <v>90</v>
      </c>
      <c r="B881" t="s">
        <v>233</v>
      </c>
      <c r="C881">
        <v>6</v>
      </c>
      <c r="D881" s="1">
        <v>0</v>
      </c>
      <c r="E881">
        <v>0</v>
      </c>
      <c r="F881">
        <v>0</v>
      </c>
      <c r="G881" s="2" t="e">
        <v>#VALUE!</v>
      </c>
      <c r="H881" s="3" t="s">
        <v>213</v>
      </c>
      <c r="I881" s="3" t="s">
        <v>213</v>
      </c>
      <c r="J881" s="3">
        <v>0</v>
      </c>
    </row>
    <row r="882" spans="1:10" x14ac:dyDescent="0.3">
      <c r="A882" t="s">
        <v>305</v>
      </c>
      <c r="B882" t="s">
        <v>221</v>
      </c>
      <c r="C882">
        <v>6</v>
      </c>
      <c r="D882" s="1">
        <v>0</v>
      </c>
      <c r="E882">
        <v>0</v>
      </c>
      <c r="F882" t="e">
        <v>#VALUE!</v>
      </c>
      <c r="G882" s="2">
        <v>0</v>
      </c>
      <c r="H882" s="3" t="s">
        <v>213</v>
      </c>
      <c r="I882" s="3">
        <v>0</v>
      </c>
      <c r="J882" s="3">
        <v>0</v>
      </c>
    </row>
    <row r="883" spans="1:10" x14ac:dyDescent="0.3">
      <c r="A883" t="s">
        <v>11</v>
      </c>
      <c r="B883" t="s">
        <v>219</v>
      </c>
      <c r="C883">
        <v>6</v>
      </c>
      <c r="D883" s="1">
        <v>0</v>
      </c>
      <c r="E883">
        <v>0</v>
      </c>
      <c r="F883">
        <v>0</v>
      </c>
      <c r="G883" s="2" t="e">
        <v>#VALUE!</v>
      </c>
      <c r="H883" s="3" t="s">
        <v>213</v>
      </c>
      <c r="I883" s="3" t="s">
        <v>213</v>
      </c>
      <c r="J883" s="3">
        <v>0</v>
      </c>
    </row>
    <row r="884" spans="1:10" x14ac:dyDescent="0.3">
      <c r="A884" t="s">
        <v>93</v>
      </c>
      <c r="B884" t="s">
        <v>354</v>
      </c>
      <c r="C884">
        <v>6</v>
      </c>
      <c r="D884" s="1">
        <v>0.16670000000000001</v>
      </c>
      <c r="E884">
        <v>1</v>
      </c>
      <c r="F884">
        <v>0</v>
      </c>
      <c r="G884" s="2">
        <v>0</v>
      </c>
      <c r="H884" s="3">
        <v>0</v>
      </c>
      <c r="I884" s="3" t="s">
        <v>213</v>
      </c>
      <c r="J884" s="3">
        <v>0</v>
      </c>
    </row>
    <row r="885" spans="1:10" x14ac:dyDescent="0.3">
      <c r="A885" t="s">
        <v>395</v>
      </c>
      <c r="B885" t="s">
        <v>221</v>
      </c>
      <c r="C885">
        <v>6</v>
      </c>
      <c r="D885" s="1">
        <v>0.16670000000000001</v>
      </c>
      <c r="E885">
        <v>1</v>
      </c>
      <c r="F885">
        <v>0</v>
      </c>
      <c r="G885" s="2" t="e">
        <v>#VALUE!</v>
      </c>
      <c r="H885" s="3">
        <v>0</v>
      </c>
      <c r="I885" s="3" t="s">
        <v>213</v>
      </c>
      <c r="J885" s="3">
        <v>0</v>
      </c>
    </row>
    <row r="886" spans="1:10" x14ac:dyDescent="0.3">
      <c r="A886" t="s">
        <v>431</v>
      </c>
      <c r="B886" t="s">
        <v>221</v>
      </c>
      <c r="C886">
        <v>6</v>
      </c>
      <c r="D886" s="1">
        <v>0</v>
      </c>
      <c r="E886">
        <v>0</v>
      </c>
      <c r="F886">
        <v>0</v>
      </c>
      <c r="G886" s="2" t="e">
        <v>#VALUE!</v>
      </c>
      <c r="H886" s="3" t="s">
        <v>213</v>
      </c>
      <c r="I886" s="3" t="s">
        <v>213</v>
      </c>
      <c r="J886" s="3">
        <v>0</v>
      </c>
    </row>
    <row r="887" spans="1:10" x14ac:dyDescent="0.3">
      <c r="A887" t="s">
        <v>86</v>
      </c>
      <c r="B887" t="s">
        <v>233</v>
      </c>
      <c r="C887">
        <v>5</v>
      </c>
      <c r="D887" s="1">
        <v>0</v>
      </c>
      <c r="E887">
        <v>0</v>
      </c>
      <c r="F887">
        <v>0</v>
      </c>
      <c r="G887" s="2" t="e">
        <v>#VALUE!</v>
      </c>
      <c r="H887" s="3" t="s">
        <v>213</v>
      </c>
      <c r="I887" s="3" t="s">
        <v>213</v>
      </c>
      <c r="J887" s="3">
        <v>0</v>
      </c>
    </row>
    <row r="888" spans="1:10" x14ac:dyDescent="0.3">
      <c r="A888" t="s">
        <v>139</v>
      </c>
      <c r="B888" t="s">
        <v>233</v>
      </c>
      <c r="C888">
        <v>5</v>
      </c>
      <c r="D888" s="1">
        <v>0</v>
      </c>
      <c r="E888">
        <v>0</v>
      </c>
      <c r="F888">
        <v>0</v>
      </c>
      <c r="G888" s="2" t="e">
        <v>#VALUE!</v>
      </c>
      <c r="H888" s="3" t="s">
        <v>213</v>
      </c>
      <c r="I888" s="3" t="s">
        <v>213</v>
      </c>
      <c r="J888" s="3">
        <v>0</v>
      </c>
    </row>
    <row r="889" spans="1:10" x14ac:dyDescent="0.3">
      <c r="A889" t="s">
        <v>395</v>
      </c>
      <c r="B889" t="s">
        <v>223</v>
      </c>
      <c r="C889">
        <v>5</v>
      </c>
      <c r="D889" s="1">
        <v>0</v>
      </c>
      <c r="E889">
        <v>0</v>
      </c>
      <c r="F889" t="e">
        <v>#VALUE!</v>
      </c>
      <c r="G889" s="2" t="e">
        <v>#VALUE!</v>
      </c>
      <c r="H889" s="3" t="s">
        <v>213</v>
      </c>
      <c r="I889" s="3" t="s">
        <v>213</v>
      </c>
      <c r="J889" s="3">
        <v>0</v>
      </c>
    </row>
    <row r="890" spans="1:10" x14ac:dyDescent="0.3">
      <c r="A890" t="s">
        <v>11</v>
      </c>
      <c r="B890" t="s">
        <v>286</v>
      </c>
      <c r="C890">
        <v>4</v>
      </c>
      <c r="D890" s="1">
        <v>0.25</v>
      </c>
      <c r="E890">
        <v>1</v>
      </c>
      <c r="F890">
        <v>0</v>
      </c>
      <c r="G890" s="2">
        <v>0</v>
      </c>
      <c r="H890" s="3">
        <v>0</v>
      </c>
      <c r="I890" s="3" t="s">
        <v>213</v>
      </c>
      <c r="J890" s="3">
        <v>0</v>
      </c>
    </row>
    <row r="891" spans="1:10" x14ac:dyDescent="0.3">
      <c r="A891" t="s">
        <v>333</v>
      </c>
      <c r="B891" t="s">
        <v>215</v>
      </c>
      <c r="C891">
        <v>4</v>
      </c>
      <c r="D891" s="1">
        <v>0.25</v>
      </c>
      <c r="E891">
        <v>1</v>
      </c>
      <c r="F891">
        <v>0</v>
      </c>
      <c r="G891" s="2" t="e">
        <v>#VALUE!</v>
      </c>
      <c r="H891" s="3">
        <v>0</v>
      </c>
      <c r="I891" s="3" t="s">
        <v>213</v>
      </c>
      <c r="J891" s="3">
        <v>0</v>
      </c>
    </row>
    <row r="892" spans="1:10" x14ac:dyDescent="0.3">
      <c r="A892" t="s">
        <v>339</v>
      </c>
      <c r="B892" t="s">
        <v>272</v>
      </c>
      <c r="C892">
        <v>4</v>
      </c>
      <c r="D892" s="1">
        <v>0</v>
      </c>
      <c r="E892">
        <v>0</v>
      </c>
      <c r="F892">
        <v>0</v>
      </c>
      <c r="G892" s="2" t="e">
        <v>#VALUE!</v>
      </c>
      <c r="H892" s="3" t="s">
        <v>213</v>
      </c>
      <c r="I892" s="3" t="s">
        <v>213</v>
      </c>
      <c r="J892" s="3">
        <v>0</v>
      </c>
    </row>
    <row r="893" spans="1:10" x14ac:dyDescent="0.3">
      <c r="A893" t="s">
        <v>345</v>
      </c>
      <c r="B893" t="s">
        <v>221</v>
      </c>
      <c r="C893">
        <v>4</v>
      </c>
      <c r="D893" s="1">
        <v>0</v>
      </c>
      <c r="E893">
        <v>0</v>
      </c>
      <c r="F893" t="e">
        <v>#VALUE!</v>
      </c>
      <c r="G893" s="2" t="e">
        <v>#VALUE!</v>
      </c>
      <c r="H893" s="3" t="s">
        <v>213</v>
      </c>
      <c r="I893" s="3" t="s">
        <v>213</v>
      </c>
      <c r="J893" s="3">
        <v>0</v>
      </c>
    </row>
    <row r="894" spans="1:10" x14ac:dyDescent="0.3">
      <c r="A894" t="s">
        <v>383</v>
      </c>
      <c r="B894" t="s">
        <v>239</v>
      </c>
      <c r="C894">
        <v>4</v>
      </c>
      <c r="D894" s="1">
        <v>0.25</v>
      </c>
      <c r="E894">
        <v>1</v>
      </c>
      <c r="F894">
        <v>0</v>
      </c>
      <c r="G894" s="2">
        <v>0</v>
      </c>
      <c r="H894" s="3">
        <v>0</v>
      </c>
      <c r="I894" s="3" t="s">
        <v>213</v>
      </c>
      <c r="J894" s="3">
        <v>0</v>
      </c>
    </row>
    <row r="895" spans="1:10" x14ac:dyDescent="0.3">
      <c r="A895" t="s">
        <v>419</v>
      </c>
      <c r="B895" t="s">
        <v>218</v>
      </c>
      <c r="C895">
        <v>4</v>
      </c>
      <c r="D895" s="1">
        <v>0</v>
      </c>
      <c r="E895">
        <v>0</v>
      </c>
      <c r="F895">
        <v>0</v>
      </c>
      <c r="G895" s="2" t="e">
        <v>#VALUE!</v>
      </c>
      <c r="H895" s="3" t="s">
        <v>213</v>
      </c>
      <c r="I895" s="3" t="s">
        <v>213</v>
      </c>
      <c r="J895" s="3">
        <v>0</v>
      </c>
    </row>
    <row r="896" spans="1:10" x14ac:dyDescent="0.3">
      <c r="A896" t="s">
        <v>409</v>
      </c>
      <c r="B896" t="s">
        <v>223</v>
      </c>
      <c r="C896">
        <v>3</v>
      </c>
      <c r="D896" s="1">
        <v>0</v>
      </c>
      <c r="E896">
        <v>0</v>
      </c>
      <c r="F896" t="e">
        <v>#VALUE!</v>
      </c>
      <c r="G896" s="2" t="e">
        <v>#VALUE!</v>
      </c>
      <c r="H896" s="3" t="s">
        <v>213</v>
      </c>
      <c r="I896" s="3" t="s">
        <v>213</v>
      </c>
      <c r="J896" s="3">
        <v>0</v>
      </c>
    </row>
    <row r="897" spans="1:10" x14ac:dyDescent="0.3">
      <c r="A897" t="s">
        <v>478</v>
      </c>
      <c r="B897" t="s">
        <v>215</v>
      </c>
      <c r="C897">
        <v>3</v>
      </c>
      <c r="D897" s="1">
        <v>0</v>
      </c>
      <c r="E897">
        <v>0</v>
      </c>
      <c r="F897">
        <v>0</v>
      </c>
      <c r="G897" s="2" t="e">
        <v>#VALUE!</v>
      </c>
      <c r="H897" s="3" t="s">
        <v>213</v>
      </c>
      <c r="I897" s="3" t="s">
        <v>213</v>
      </c>
      <c r="J897" s="3">
        <v>0</v>
      </c>
    </row>
    <row r="898" spans="1:10" x14ac:dyDescent="0.3">
      <c r="A898" t="s">
        <v>84</v>
      </c>
      <c r="B898" t="s">
        <v>279</v>
      </c>
      <c r="C898">
        <v>2</v>
      </c>
      <c r="D898" s="1">
        <v>0</v>
      </c>
      <c r="E898">
        <v>0</v>
      </c>
      <c r="F898">
        <v>0</v>
      </c>
      <c r="G898" s="2" t="e">
        <v>#VALUE!</v>
      </c>
      <c r="H898" s="3" t="s">
        <v>213</v>
      </c>
      <c r="I898" s="3" t="s">
        <v>213</v>
      </c>
      <c r="J898" s="3">
        <v>0</v>
      </c>
    </row>
    <row r="899" spans="1:10" x14ac:dyDescent="0.3">
      <c r="A899" t="s">
        <v>11</v>
      </c>
      <c r="B899" t="s">
        <v>219</v>
      </c>
      <c r="C899">
        <v>2</v>
      </c>
      <c r="D899" s="1">
        <v>0</v>
      </c>
      <c r="E899">
        <v>0</v>
      </c>
      <c r="F899">
        <v>0</v>
      </c>
      <c r="G899" s="2" t="e">
        <v>#VALUE!</v>
      </c>
      <c r="H899" s="3" t="s">
        <v>213</v>
      </c>
      <c r="I899" s="3" t="s">
        <v>213</v>
      </c>
      <c r="J899" s="3">
        <v>0</v>
      </c>
    </row>
    <row r="900" spans="1:10" x14ac:dyDescent="0.3">
      <c r="A900" t="s">
        <v>344</v>
      </c>
      <c r="B900" t="s">
        <v>221</v>
      </c>
      <c r="C900">
        <v>2</v>
      </c>
      <c r="D900" s="1">
        <v>0</v>
      </c>
      <c r="E900">
        <v>0</v>
      </c>
      <c r="F900" t="e">
        <v>#VALUE!</v>
      </c>
      <c r="G900" s="2" t="e">
        <v>#VALUE!</v>
      </c>
      <c r="H900" s="3" t="s">
        <v>213</v>
      </c>
      <c r="I900" s="3" t="s">
        <v>213</v>
      </c>
      <c r="J900" s="3">
        <v>0</v>
      </c>
    </row>
    <row r="901" spans="1:10" x14ac:dyDescent="0.3">
      <c r="A901" t="s">
        <v>346</v>
      </c>
      <c r="B901" t="s">
        <v>223</v>
      </c>
      <c r="C901">
        <v>2</v>
      </c>
      <c r="D901" s="1">
        <v>0</v>
      </c>
      <c r="E901">
        <v>0</v>
      </c>
      <c r="F901" t="e">
        <v>#VALUE!</v>
      </c>
      <c r="G901" s="2" t="e">
        <v>#VALUE!</v>
      </c>
      <c r="H901" s="3" t="s">
        <v>213</v>
      </c>
      <c r="I901" s="3" t="s">
        <v>213</v>
      </c>
      <c r="J901" s="3">
        <v>0</v>
      </c>
    </row>
    <row r="902" spans="1:10" x14ac:dyDescent="0.3">
      <c r="A902" t="s">
        <v>337</v>
      </c>
      <c r="B902" t="s">
        <v>223</v>
      </c>
      <c r="C902">
        <v>1</v>
      </c>
      <c r="D902" s="1">
        <v>0</v>
      </c>
      <c r="E902">
        <v>0</v>
      </c>
      <c r="F902" t="e">
        <v>#VALUE!</v>
      </c>
      <c r="G902" s="2" t="e">
        <v>#VALUE!</v>
      </c>
      <c r="H902" s="3" t="s">
        <v>213</v>
      </c>
      <c r="I902" s="3" t="s">
        <v>213</v>
      </c>
      <c r="J902" s="3">
        <v>0</v>
      </c>
    </row>
    <row r="903" spans="1:10" x14ac:dyDescent="0.3">
      <c r="A903" t="s">
        <v>346</v>
      </c>
      <c r="B903" t="s">
        <v>221</v>
      </c>
      <c r="C903">
        <v>1</v>
      </c>
      <c r="D903" s="1">
        <v>0</v>
      </c>
      <c r="E903">
        <v>0</v>
      </c>
      <c r="F903" t="e">
        <v>#VALUE!</v>
      </c>
      <c r="G903" s="2" t="e">
        <v>#VALUE!</v>
      </c>
      <c r="H903" s="3" t="s">
        <v>213</v>
      </c>
      <c r="I903" s="3" t="s">
        <v>213</v>
      </c>
      <c r="J903" s="3">
        <v>0</v>
      </c>
    </row>
    <row r="904" spans="1:10" x14ac:dyDescent="0.3">
      <c r="A904" t="s">
        <v>422</v>
      </c>
      <c r="B904" t="s">
        <v>215</v>
      </c>
      <c r="C904">
        <v>1</v>
      </c>
      <c r="D904" s="1">
        <v>0</v>
      </c>
      <c r="E904">
        <v>0</v>
      </c>
      <c r="F904" t="e">
        <v>#VALUE!</v>
      </c>
      <c r="G904" s="2" t="e">
        <v>#VALUE!</v>
      </c>
      <c r="H904" s="3" t="s">
        <v>213</v>
      </c>
      <c r="I904" s="3" t="s">
        <v>213</v>
      </c>
      <c r="J904" s="3">
        <v>0</v>
      </c>
    </row>
    <row r="905" spans="1:10" x14ac:dyDescent="0.3">
      <c r="A905" t="s">
        <v>41</v>
      </c>
      <c r="B905" t="s">
        <v>233</v>
      </c>
      <c r="C905">
        <v>1</v>
      </c>
      <c r="D905" s="1">
        <v>0</v>
      </c>
      <c r="E905">
        <v>0</v>
      </c>
      <c r="F905">
        <v>0</v>
      </c>
      <c r="G905" s="2" t="e">
        <v>#VALUE!</v>
      </c>
      <c r="H905" s="3" t="s">
        <v>213</v>
      </c>
      <c r="I905" s="3" t="s">
        <v>213</v>
      </c>
      <c r="J905" s="3">
        <v>0</v>
      </c>
    </row>
    <row r="906" spans="1:10" x14ac:dyDescent="0.3">
      <c r="A906" t="s">
        <v>168</v>
      </c>
      <c r="B906" t="s">
        <v>356</v>
      </c>
      <c r="C906">
        <v>1</v>
      </c>
      <c r="D906" s="1">
        <v>0</v>
      </c>
      <c r="E906">
        <v>0</v>
      </c>
      <c r="F906">
        <v>0</v>
      </c>
      <c r="G906" s="2" t="e">
        <v>#VALUE!</v>
      </c>
      <c r="H906" s="3" t="s">
        <v>213</v>
      </c>
      <c r="I906" s="3" t="s">
        <v>213</v>
      </c>
      <c r="J906" s="3">
        <v>0</v>
      </c>
    </row>
    <row r="907" spans="1:10" x14ac:dyDescent="0.3">
      <c r="A907" t="s">
        <v>28</v>
      </c>
      <c r="B907" t="s">
        <v>227</v>
      </c>
      <c r="C907">
        <v>0</v>
      </c>
      <c r="D907" s="1" t="e">
        <v>#VALUE!</v>
      </c>
      <c r="E907">
        <v>0</v>
      </c>
      <c r="F907">
        <v>0</v>
      </c>
      <c r="G907" s="2" t="e">
        <v>#VALUE!</v>
      </c>
      <c r="H907" s="3" t="s">
        <v>213</v>
      </c>
      <c r="I907" s="3" t="s">
        <v>213</v>
      </c>
      <c r="J907" s="3">
        <v>0</v>
      </c>
    </row>
    <row r="908" spans="1:10" x14ac:dyDescent="0.3">
      <c r="A908" t="s">
        <v>246</v>
      </c>
      <c r="B908" t="s">
        <v>215</v>
      </c>
      <c r="C908">
        <v>0</v>
      </c>
      <c r="D908" s="1" t="e">
        <v>#VALUE!</v>
      </c>
      <c r="E908">
        <v>0</v>
      </c>
      <c r="F908">
        <v>0</v>
      </c>
      <c r="G908" s="2" t="e">
        <v>#VALUE!</v>
      </c>
      <c r="H908" s="3" t="s">
        <v>213</v>
      </c>
      <c r="I908" s="3" t="s">
        <v>213</v>
      </c>
      <c r="J908" s="3">
        <v>0</v>
      </c>
    </row>
    <row r="909" spans="1:10" x14ac:dyDescent="0.3">
      <c r="A909" t="s">
        <v>69</v>
      </c>
      <c r="B909" t="s">
        <v>223</v>
      </c>
      <c r="C909">
        <v>0</v>
      </c>
      <c r="D909" s="1" t="e">
        <v>#VALUE!</v>
      </c>
      <c r="E909">
        <v>0</v>
      </c>
      <c r="F909">
        <v>0</v>
      </c>
      <c r="G909" s="2" t="e">
        <v>#VALUE!</v>
      </c>
      <c r="H909" s="3" t="s">
        <v>213</v>
      </c>
      <c r="I909" s="3" t="s">
        <v>213</v>
      </c>
      <c r="J909" s="3">
        <v>0</v>
      </c>
    </row>
    <row r="910" spans="1:10" x14ac:dyDescent="0.3">
      <c r="A910" t="s">
        <v>69</v>
      </c>
      <c r="B910" t="s">
        <v>261</v>
      </c>
      <c r="C910">
        <v>0</v>
      </c>
      <c r="D910" s="1" t="e">
        <v>#VALUE!</v>
      </c>
      <c r="E910">
        <v>0</v>
      </c>
      <c r="F910">
        <v>0</v>
      </c>
      <c r="G910" s="2" t="e">
        <v>#VALUE!</v>
      </c>
      <c r="H910" s="3" t="s">
        <v>213</v>
      </c>
      <c r="I910" s="3" t="s">
        <v>213</v>
      </c>
      <c r="J910" s="3">
        <v>0</v>
      </c>
    </row>
    <row r="911" spans="1:10" x14ac:dyDescent="0.3">
      <c r="A911" t="s">
        <v>132</v>
      </c>
      <c r="B911" t="s">
        <v>308</v>
      </c>
      <c r="C911">
        <v>0</v>
      </c>
      <c r="D911" s="1" t="e">
        <v>#VALUE!</v>
      </c>
      <c r="E911">
        <v>0</v>
      </c>
      <c r="F911">
        <v>0</v>
      </c>
      <c r="G911" s="2" t="e">
        <v>#VALUE!</v>
      </c>
      <c r="H911" s="3" t="s">
        <v>213</v>
      </c>
      <c r="I911" s="3" t="s">
        <v>213</v>
      </c>
      <c r="J911" s="3">
        <v>0</v>
      </c>
    </row>
    <row r="912" spans="1:10" x14ac:dyDescent="0.3">
      <c r="A912" t="s">
        <v>11</v>
      </c>
      <c r="B912" t="s">
        <v>313</v>
      </c>
      <c r="C912">
        <v>0</v>
      </c>
      <c r="D912" s="1" t="e">
        <v>#VALUE!</v>
      </c>
      <c r="E912">
        <v>0</v>
      </c>
      <c r="F912">
        <v>0</v>
      </c>
      <c r="G912" s="2" t="e">
        <v>#VALUE!</v>
      </c>
      <c r="H912" s="3" t="s">
        <v>213</v>
      </c>
      <c r="I912" s="3" t="s">
        <v>213</v>
      </c>
      <c r="J912" s="3">
        <v>0</v>
      </c>
    </row>
    <row r="913" spans="1:10" x14ac:dyDescent="0.3">
      <c r="A913" t="s">
        <v>11</v>
      </c>
      <c r="B913" t="s">
        <v>286</v>
      </c>
      <c r="C913">
        <v>0</v>
      </c>
      <c r="D913" s="1" t="e">
        <v>#VALUE!</v>
      </c>
      <c r="E913">
        <v>0</v>
      </c>
      <c r="F913">
        <v>0</v>
      </c>
      <c r="G913" s="2" t="e">
        <v>#VALUE!</v>
      </c>
      <c r="H913" s="3" t="s">
        <v>213</v>
      </c>
      <c r="I913" s="3" t="s">
        <v>213</v>
      </c>
      <c r="J913" s="3">
        <v>0</v>
      </c>
    </row>
    <row r="914" spans="1:10" x14ac:dyDescent="0.3">
      <c r="A914" t="s">
        <v>11</v>
      </c>
      <c r="B914" t="s">
        <v>231</v>
      </c>
      <c r="C914">
        <v>0</v>
      </c>
      <c r="D914" s="1" t="e">
        <v>#VALUE!</v>
      </c>
      <c r="E914">
        <v>0</v>
      </c>
      <c r="F914">
        <v>0</v>
      </c>
      <c r="G914" s="2" t="e">
        <v>#VALUE!</v>
      </c>
      <c r="H914" s="3" t="s">
        <v>213</v>
      </c>
      <c r="I914" s="3" t="s">
        <v>213</v>
      </c>
      <c r="J914" s="3">
        <v>0</v>
      </c>
    </row>
    <row r="915" spans="1:10" x14ac:dyDescent="0.3">
      <c r="A915" t="s">
        <v>11</v>
      </c>
      <c r="B915" t="s">
        <v>235</v>
      </c>
      <c r="C915">
        <v>0</v>
      </c>
      <c r="D915" s="1" t="e">
        <v>#VALUE!</v>
      </c>
      <c r="E915">
        <v>0</v>
      </c>
      <c r="F915">
        <v>0</v>
      </c>
      <c r="G915" s="2" t="e">
        <v>#VALUE!</v>
      </c>
      <c r="H915" s="3" t="s">
        <v>213</v>
      </c>
      <c r="I915" s="3" t="s">
        <v>213</v>
      </c>
      <c r="J915" s="3">
        <v>0</v>
      </c>
    </row>
    <row r="916" spans="1:10" x14ac:dyDescent="0.3">
      <c r="A916" t="s">
        <v>11</v>
      </c>
      <c r="B916" t="s">
        <v>313</v>
      </c>
      <c r="C916">
        <v>0</v>
      </c>
      <c r="D916" s="1" t="e">
        <v>#VALUE!</v>
      </c>
      <c r="E916">
        <v>0</v>
      </c>
      <c r="F916">
        <v>0</v>
      </c>
      <c r="G916" s="2" t="e">
        <v>#VALUE!</v>
      </c>
      <c r="H916" s="3" t="s">
        <v>213</v>
      </c>
      <c r="I916" s="3" t="s">
        <v>213</v>
      </c>
      <c r="J916" s="3">
        <v>0</v>
      </c>
    </row>
    <row r="917" spans="1:10" x14ac:dyDescent="0.3">
      <c r="A917" t="s">
        <v>11</v>
      </c>
      <c r="B917" t="s">
        <v>315</v>
      </c>
      <c r="C917">
        <v>0</v>
      </c>
      <c r="D917" s="1" t="e">
        <v>#VALUE!</v>
      </c>
      <c r="E917">
        <v>0</v>
      </c>
      <c r="F917">
        <v>0</v>
      </c>
      <c r="G917" s="2" t="e">
        <v>#VALUE!</v>
      </c>
      <c r="H917" s="3" t="s">
        <v>213</v>
      </c>
      <c r="I917" s="3" t="s">
        <v>213</v>
      </c>
      <c r="J917" s="3">
        <v>0</v>
      </c>
    </row>
    <row r="918" spans="1:10" x14ac:dyDescent="0.3">
      <c r="A918" t="s">
        <v>11</v>
      </c>
      <c r="B918" t="s">
        <v>235</v>
      </c>
      <c r="C918">
        <v>0</v>
      </c>
      <c r="D918" s="1" t="e">
        <v>#VALUE!</v>
      </c>
      <c r="E918">
        <v>0</v>
      </c>
      <c r="F918">
        <v>0</v>
      </c>
      <c r="G918" s="2" t="e">
        <v>#VALUE!</v>
      </c>
      <c r="H918" s="3" t="s">
        <v>213</v>
      </c>
      <c r="I918" s="3" t="s">
        <v>213</v>
      </c>
      <c r="J918" s="3">
        <v>0</v>
      </c>
    </row>
    <row r="919" spans="1:10" x14ac:dyDescent="0.3">
      <c r="A919" t="s">
        <v>11</v>
      </c>
      <c r="B919" t="s">
        <v>286</v>
      </c>
      <c r="C919">
        <v>0</v>
      </c>
      <c r="D919" s="1" t="e">
        <v>#VALUE!</v>
      </c>
      <c r="E919">
        <v>0</v>
      </c>
      <c r="F919">
        <v>0</v>
      </c>
      <c r="G919" s="2" t="e">
        <v>#VALUE!</v>
      </c>
      <c r="H919" s="3" t="s">
        <v>213</v>
      </c>
      <c r="I919" s="3" t="s">
        <v>213</v>
      </c>
      <c r="J919" s="3">
        <v>0</v>
      </c>
    </row>
    <row r="920" spans="1:10" x14ac:dyDescent="0.3">
      <c r="A920" t="s">
        <v>11</v>
      </c>
      <c r="B920" t="s">
        <v>317</v>
      </c>
      <c r="C920">
        <v>0</v>
      </c>
      <c r="D920" s="1" t="e">
        <v>#VALUE!</v>
      </c>
      <c r="E920">
        <v>0</v>
      </c>
      <c r="F920">
        <v>0</v>
      </c>
      <c r="G920" s="2" t="e">
        <v>#VALUE!</v>
      </c>
      <c r="H920" s="3" t="s">
        <v>213</v>
      </c>
      <c r="I920" s="3" t="s">
        <v>213</v>
      </c>
      <c r="J920" s="3">
        <v>0</v>
      </c>
    </row>
    <row r="921" spans="1:10" x14ac:dyDescent="0.3">
      <c r="A921" t="s">
        <v>11</v>
      </c>
      <c r="B921" t="s">
        <v>313</v>
      </c>
      <c r="C921">
        <v>0</v>
      </c>
      <c r="D921" s="1" t="e">
        <v>#VALUE!</v>
      </c>
      <c r="E921">
        <v>0</v>
      </c>
      <c r="F921">
        <v>0</v>
      </c>
      <c r="G921" s="2" t="e">
        <v>#VALUE!</v>
      </c>
      <c r="H921" s="3" t="s">
        <v>213</v>
      </c>
      <c r="I921" s="3" t="s">
        <v>213</v>
      </c>
      <c r="J921" s="3">
        <v>0</v>
      </c>
    </row>
    <row r="922" spans="1:10" x14ac:dyDescent="0.3">
      <c r="A922" t="s">
        <v>11</v>
      </c>
      <c r="B922" t="s">
        <v>318</v>
      </c>
      <c r="C922">
        <v>0</v>
      </c>
      <c r="D922" s="1" t="e">
        <v>#VALUE!</v>
      </c>
      <c r="E922">
        <v>0</v>
      </c>
      <c r="F922">
        <v>0</v>
      </c>
      <c r="G922" s="2" t="e">
        <v>#VALUE!</v>
      </c>
      <c r="H922" s="3" t="s">
        <v>213</v>
      </c>
      <c r="I922" s="3" t="s">
        <v>213</v>
      </c>
      <c r="J922" s="3">
        <v>0</v>
      </c>
    </row>
    <row r="923" spans="1:10" x14ac:dyDescent="0.3">
      <c r="A923" t="s">
        <v>11</v>
      </c>
      <c r="B923" t="s">
        <v>288</v>
      </c>
      <c r="C923">
        <v>0</v>
      </c>
      <c r="D923" s="1" t="e">
        <v>#VALUE!</v>
      </c>
      <c r="E923">
        <v>0</v>
      </c>
      <c r="F923">
        <v>0</v>
      </c>
      <c r="G923" s="2" t="e">
        <v>#VALUE!</v>
      </c>
      <c r="H923" s="3" t="s">
        <v>213</v>
      </c>
      <c r="I923" s="3" t="s">
        <v>213</v>
      </c>
      <c r="J923" s="3">
        <v>0</v>
      </c>
    </row>
    <row r="924" spans="1:10" x14ac:dyDescent="0.3">
      <c r="A924" t="s">
        <v>11</v>
      </c>
      <c r="B924" t="s">
        <v>319</v>
      </c>
      <c r="C924">
        <v>0</v>
      </c>
      <c r="D924" s="1" t="e">
        <v>#VALUE!</v>
      </c>
      <c r="E924">
        <v>0</v>
      </c>
      <c r="F924">
        <v>0</v>
      </c>
      <c r="G924" s="2" t="e">
        <v>#VALUE!</v>
      </c>
      <c r="H924" s="3" t="s">
        <v>213</v>
      </c>
      <c r="I924" s="3" t="s">
        <v>213</v>
      </c>
      <c r="J924" s="3">
        <v>0</v>
      </c>
    </row>
    <row r="925" spans="1:10" x14ac:dyDescent="0.3">
      <c r="A925" t="s">
        <v>11</v>
      </c>
      <c r="B925" t="s">
        <v>256</v>
      </c>
      <c r="C925">
        <v>0</v>
      </c>
      <c r="D925" s="1" t="e">
        <v>#VALUE!</v>
      </c>
      <c r="E925">
        <v>0</v>
      </c>
      <c r="F925">
        <v>0</v>
      </c>
      <c r="G925" s="2" t="e">
        <v>#VALUE!</v>
      </c>
      <c r="H925" s="3" t="s">
        <v>213</v>
      </c>
      <c r="I925" s="3" t="s">
        <v>213</v>
      </c>
      <c r="J925" s="3">
        <v>0</v>
      </c>
    </row>
    <row r="926" spans="1:10" x14ac:dyDescent="0.3">
      <c r="A926" t="s">
        <v>11</v>
      </c>
      <c r="B926" t="s">
        <v>235</v>
      </c>
      <c r="C926">
        <v>0</v>
      </c>
      <c r="D926" s="1" t="e">
        <v>#VALUE!</v>
      </c>
      <c r="E926">
        <v>0</v>
      </c>
      <c r="F926">
        <v>0</v>
      </c>
      <c r="G926" s="2" t="e">
        <v>#VALUE!</v>
      </c>
      <c r="H926" s="3" t="s">
        <v>213</v>
      </c>
      <c r="I926" s="3" t="s">
        <v>213</v>
      </c>
      <c r="J926" s="3">
        <v>0</v>
      </c>
    </row>
    <row r="927" spans="1:10" x14ac:dyDescent="0.3">
      <c r="A927" t="s">
        <v>11</v>
      </c>
      <c r="B927" t="s">
        <v>314</v>
      </c>
      <c r="C927">
        <v>0</v>
      </c>
      <c r="D927" s="1" t="e">
        <v>#VALUE!</v>
      </c>
      <c r="E927">
        <v>0</v>
      </c>
      <c r="F927">
        <v>0</v>
      </c>
      <c r="G927" s="2" t="e">
        <v>#VALUE!</v>
      </c>
      <c r="H927" s="3" t="s">
        <v>213</v>
      </c>
      <c r="I927" s="3" t="s">
        <v>213</v>
      </c>
      <c r="J927" s="3">
        <v>0</v>
      </c>
    </row>
    <row r="928" spans="1:10" x14ac:dyDescent="0.3">
      <c r="A928" t="s">
        <v>11</v>
      </c>
      <c r="B928" t="s">
        <v>282</v>
      </c>
      <c r="C928">
        <v>0</v>
      </c>
      <c r="D928" s="1" t="e">
        <v>#VALUE!</v>
      </c>
      <c r="E928">
        <v>0</v>
      </c>
      <c r="F928">
        <v>0</v>
      </c>
      <c r="G928" s="2" t="e">
        <v>#VALUE!</v>
      </c>
      <c r="H928" s="3" t="s">
        <v>213</v>
      </c>
      <c r="I928" s="3" t="s">
        <v>213</v>
      </c>
      <c r="J928" s="3">
        <v>0</v>
      </c>
    </row>
    <row r="929" spans="1:10" x14ac:dyDescent="0.3">
      <c r="A929" t="s">
        <v>11</v>
      </c>
      <c r="B929" t="s">
        <v>229</v>
      </c>
      <c r="C929">
        <v>0</v>
      </c>
      <c r="D929" s="1" t="e">
        <v>#VALUE!</v>
      </c>
      <c r="E929">
        <v>0</v>
      </c>
      <c r="F929">
        <v>0</v>
      </c>
      <c r="G929" s="2" t="e">
        <v>#VALUE!</v>
      </c>
      <c r="H929" s="3" t="s">
        <v>213</v>
      </c>
      <c r="I929" s="3" t="s">
        <v>213</v>
      </c>
      <c r="J929" s="3">
        <v>0</v>
      </c>
    </row>
    <row r="930" spans="1:10" x14ac:dyDescent="0.3">
      <c r="A930" t="s">
        <v>11</v>
      </c>
      <c r="B930" t="s">
        <v>312</v>
      </c>
      <c r="C930">
        <v>0</v>
      </c>
      <c r="D930" s="1" t="e">
        <v>#VALUE!</v>
      </c>
      <c r="E930">
        <v>0</v>
      </c>
      <c r="F930">
        <v>0</v>
      </c>
      <c r="G930" s="2" t="e">
        <v>#VALUE!</v>
      </c>
      <c r="H930" s="3" t="s">
        <v>213</v>
      </c>
      <c r="I930" s="3" t="s">
        <v>213</v>
      </c>
      <c r="J930" s="3">
        <v>0</v>
      </c>
    </row>
    <row r="931" spans="1:10" x14ac:dyDescent="0.3">
      <c r="A931" t="s">
        <v>11</v>
      </c>
      <c r="B931" t="s">
        <v>316</v>
      </c>
      <c r="C931">
        <v>0</v>
      </c>
      <c r="D931" s="1" t="e">
        <v>#VALUE!</v>
      </c>
      <c r="E931">
        <v>0</v>
      </c>
      <c r="F931">
        <v>0</v>
      </c>
      <c r="G931" s="2" t="e">
        <v>#VALUE!</v>
      </c>
      <c r="H931" s="3" t="s">
        <v>213</v>
      </c>
      <c r="I931" s="3" t="s">
        <v>213</v>
      </c>
      <c r="J931" s="3">
        <v>0</v>
      </c>
    </row>
    <row r="932" spans="1:10" x14ac:dyDescent="0.3">
      <c r="A932" t="s">
        <v>11</v>
      </c>
      <c r="B932" t="s">
        <v>219</v>
      </c>
      <c r="C932">
        <v>0</v>
      </c>
      <c r="D932" s="1" t="e">
        <v>#VALUE!</v>
      </c>
      <c r="E932">
        <v>0</v>
      </c>
      <c r="F932">
        <v>0</v>
      </c>
      <c r="G932" s="2" t="e">
        <v>#VALUE!</v>
      </c>
      <c r="H932" s="3" t="s">
        <v>213</v>
      </c>
      <c r="I932" s="3" t="s">
        <v>213</v>
      </c>
      <c r="J932" s="3">
        <v>0</v>
      </c>
    </row>
    <row r="933" spans="1:10" x14ac:dyDescent="0.3">
      <c r="A933" t="s">
        <v>11</v>
      </c>
      <c r="B933" t="s">
        <v>264</v>
      </c>
      <c r="C933">
        <v>0</v>
      </c>
      <c r="D933" s="1" t="e">
        <v>#VALUE!</v>
      </c>
      <c r="E933">
        <v>0</v>
      </c>
      <c r="F933">
        <v>0</v>
      </c>
      <c r="G933" s="2" t="e">
        <v>#VALUE!</v>
      </c>
      <c r="H933" s="3" t="s">
        <v>213</v>
      </c>
      <c r="I933" s="3" t="s">
        <v>213</v>
      </c>
      <c r="J933" s="3">
        <v>0</v>
      </c>
    </row>
    <row r="934" spans="1:10" x14ac:dyDescent="0.3">
      <c r="A934" t="s">
        <v>11</v>
      </c>
      <c r="B934" t="s">
        <v>245</v>
      </c>
      <c r="C934">
        <v>0</v>
      </c>
      <c r="D934" s="1" t="e">
        <v>#VALUE!</v>
      </c>
      <c r="E934">
        <v>0</v>
      </c>
      <c r="F934">
        <v>0</v>
      </c>
      <c r="G934" s="2" t="e">
        <v>#VALUE!</v>
      </c>
      <c r="H934" s="3" t="s">
        <v>213</v>
      </c>
      <c r="I934" s="3" t="s">
        <v>213</v>
      </c>
      <c r="J934" s="3">
        <v>0</v>
      </c>
    </row>
    <row r="935" spans="1:10" x14ac:dyDescent="0.3">
      <c r="A935" t="s">
        <v>11</v>
      </c>
      <c r="B935" t="s">
        <v>286</v>
      </c>
      <c r="C935">
        <v>0</v>
      </c>
      <c r="D935" s="1" t="e">
        <v>#VALUE!</v>
      </c>
      <c r="E935">
        <v>0</v>
      </c>
      <c r="F935">
        <v>0</v>
      </c>
      <c r="G935" s="2" t="e">
        <v>#VALUE!</v>
      </c>
      <c r="H935" s="3" t="s">
        <v>213</v>
      </c>
      <c r="I935" s="3" t="s">
        <v>213</v>
      </c>
      <c r="J935" s="3">
        <v>0</v>
      </c>
    </row>
    <row r="936" spans="1:10" x14ac:dyDescent="0.3">
      <c r="A936" t="s">
        <v>11</v>
      </c>
      <c r="B936" t="s">
        <v>320</v>
      </c>
      <c r="C936">
        <v>0</v>
      </c>
      <c r="D936" s="1" t="e">
        <v>#VALUE!</v>
      </c>
      <c r="E936">
        <v>0</v>
      </c>
      <c r="F936">
        <v>0</v>
      </c>
      <c r="G936" s="2" t="e">
        <v>#VALUE!</v>
      </c>
      <c r="H936" s="3" t="s">
        <v>213</v>
      </c>
      <c r="I936" s="3" t="s">
        <v>213</v>
      </c>
      <c r="J936" s="3">
        <v>0</v>
      </c>
    </row>
    <row r="937" spans="1:10" x14ac:dyDescent="0.3">
      <c r="A937" t="s">
        <v>11</v>
      </c>
      <c r="B937" t="s">
        <v>239</v>
      </c>
      <c r="C937">
        <v>0</v>
      </c>
      <c r="D937" s="1" t="e">
        <v>#VALUE!</v>
      </c>
      <c r="E937">
        <v>0</v>
      </c>
      <c r="F937">
        <v>0</v>
      </c>
      <c r="G937" s="2" t="e">
        <v>#VALUE!</v>
      </c>
      <c r="H937" s="3" t="s">
        <v>213</v>
      </c>
      <c r="I937" s="3" t="s">
        <v>213</v>
      </c>
      <c r="J937" s="3">
        <v>0</v>
      </c>
    </row>
    <row r="938" spans="1:10" x14ac:dyDescent="0.3">
      <c r="A938" t="s">
        <v>141</v>
      </c>
      <c r="B938" t="s">
        <v>229</v>
      </c>
      <c r="C938">
        <v>0</v>
      </c>
      <c r="D938" s="1" t="e">
        <v>#VALUE!</v>
      </c>
      <c r="E938">
        <v>0</v>
      </c>
      <c r="F938">
        <v>0</v>
      </c>
      <c r="G938" s="2" t="e">
        <v>#VALUE!</v>
      </c>
      <c r="H938" s="3" t="s">
        <v>213</v>
      </c>
      <c r="I938" s="3" t="s">
        <v>213</v>
      </c>
      <c r="J938" s="3">
        <v>0</v>
      </c>
    </row>
    <row r="939" spans="1:10" x14ac:dyDescent="0.3">
      <c r="A939" t="s">
        <v>143</v>
      </c>
      <c r="B939" t="s">
        <v>309</v>
      </c>
      <c r="C939">
        <v>0</v>
      </c>
      <c r="D939" s="1" t="e">
        <v>#VALUE!</v>
      </c>
      <c r="E939">
        <v>0</v>
      </c>
      <c r="F939">
        <v>0</v>
      </c>
      <c r="G939" s="2" t="e">
        <v>#VALUE!</v>
      </c>
      <c r="H939" s="3" t="s">
        <v>213</v>
      </c>
      <c r="I939" s="3" t="s">
        <v>213</v>
      </c>
      <c r="J939" s="3">
        <v>0</v>
      </c>
    </row>
    <row r="940" spans="1:10" x14ac:dyDescent="0.3">
      <c r="A940" t="s">
        <v>146</v>
      </c>
      <c r="B940" t="s">
        <v>233</v>
      </c>
      <c r="C940">
        <v>0</v>
      </c>
      <c r="D940" s="1" t="e">
        <v>#VALUE!</v>
      </c>
      <c r="E940">
        <v>0</v>
      </c>
      <c r="F940">
        <v>0</v>
      </c>
      <c r="G940" s="2" t="e">
        <v>#VALUE!</v>
      </c>
      <c r="H940" s="3" t="s">
        <v>213</v>
      </c>
      <c r="I940" s="3" t="s">
        <v>213</v>
      </c>
      <c r="J940" s="3">
        <v>0</v>
      </c>
    </row>
    <row r="941" spans="1:10" x14ac:dyDescent="0.3">
      <c r="A941" t="s">
        <v>9</v>
      </c>
      <c r="B941" t="s">
        <v>244</v>
      </c>
      <c r="C941">
        <v>0</v>
      </c>
      <c r="D941" s="1" t="e">
        <v>#VALUE!</v>
      </c>
      <c r="E941">
        <v>0</v>
      </c>
      <c r="F941">
        <v>0</v>
      </c>
      <c r="G941" s="2" t="e">
        <v>#VALUE!</v>
      </c>
      <c r="H941" s="3" t="s">
        <v>213</v>
      </c>
      <c r="I941" s="3" t="s">
        <v>213</v>
      </c>
      <c r="J941" s="3">
        <v>0</v>
      </c>
    </row>
    <row r="942" spans="1:10" x14ac:dyDescent="0.3">
      <c r="A942" t="s">
        <v>409</v>
      </c>
      <c r="B942" t="s">
        <v>221</v>
      </c>
      <c r="C942">
        <v>0</v>
      </c>
      <c r="D942" s="1" t="e">
        <v>#VALUE!</v>
      </c>
      <c r="E942">
        <v>0</v>
      </c>
      <c r="F942" t="e">
        <v>#VALUE!</v>
      </c>
      <c r="G942" s="2" t="e">
        <v>#VALUE!</v>
      </c>
      <c r="H942" s="3" t="s">
        <v>213</v>
      </c>
      <c r="I942" s="3" t="s">
        <v>213</v>
      </c>
      <c r="J942" s="3">
        <v>0</v>
      </c>
    </row>
    <row r="943" spans="1:10" x14ac:dyDescent="0.3">
      <c r="A943" t="s">
        <v>420</v>
      </c>
      <c r="B943" t="s">
        <v>421</v>
      </c>
      <c r="C943">
        <v>0</v>
      </c>
      <c r="D943" s="1" t="e">
        <v>#VALUE!</v>
      </c>
      <c r="E943">
        <v>0</v>
      </c>
      <c r="F943">
        <v>0</v>
      </c>
      <c r="G943" s="2" t="e">
        <v>#VALUE!</v>
      </c>
      <c r="H943" s="3" t="s">
        <v>213</v>
      </c>
      <c r="I943" s="3" t="s">
        <v>213</v>
      </c>
      <c r="J943" s="3">
        <v>0</v>
      </c>
    </row>
    <row r="944" spans="1:10" x14ac:dyDescent="0.3">
      <c r="A944" t="s">
        <v>427</v>
      </c>
      <c r="B944" t="s">
        <v>300</v>
      </c>
      <c r="C944">
        <v>0</v>
      </c>
      <c r="D944" s="1" t="e">
        <v>#VALUE!</v>
      </c>
      <c r="E944">
        <v>0</v>
      </c>
      <c r="F944">
        <v>0</v>
      </c>
      <c r="G944" s="2" t="e">
        <v>#VALUE!</v>
      </c>
      <c r="H944" s="3" t="s">
        <v>213</v>
      </c>
      <c r="I944" s="3" t="s">
        <v>213</v>
      </c>
      <c r="J944" s="3">
        <v>0</v>
      </c>
    </row>
    <row r="945" spans="1:10" x14ac:dyDescent="0.3">
      <c r="A945" t="s">
        <v>429</v>
      </c>
      <c r="B945" t="s">
        <v>221</v>
      </c>
      <c r="C945">
        <v>0</v>
      </c>
      <c r="D945" s="1" t="e">
        <v>#VALUE!</v>
      </c>
      <c r="E945">
        <v>0</v>
      </c>
      <c r="F945" t="e">
        <v>#VALUE!</v>
      </c>
      <c r="G945" s="2" t="e">
        <v>#VALUE!</v>
      </c>
      <c r="H945" s="3" t="s">
        <v>213</v>
      </c>
      <c r="I945" s="3" t="s">
        <v>213</v>
      </c>
      <c r="J945" s="3">
        <v>0</v>
      </c>
    </row>
    <row r="946" spans="1:10" x14ac:dyDescent="0.3">
      <c r="A946" t="s">
        <v>156</v>
      </c>
      <c r="B946" t="s">
        <v>421</v>
      </c>
      <c r="C946">
        <v>0</v>
      </c>
      <c r="D946" s="1" t="e">
        <v>#VALUE!</v>
      </c>
      <c r="E946">
        <v>0</v>
      </c>
      <c r="F946">
        <v>0</v>
      </c>
      <c r="G946" s="2" t="e">
        <v>#VALUE!</v>
      </c>
      <c r="H946" s="3" t="s">
        <v>213</v>
      </c>
      <c r="I946" s="3" t="s">
        <v>213</v>
      </c>
      <c r="J946" s="3">
        <v>0</v>
      </c>
    </row>
    <row r="947" spans="1:10" x14ac:dyDescent="0.3">
      <c r="A947" t="s">
        <v>41</v>
      </c>
      <c r="B947" t="s">
        <v>227</v>
      </c>
      <c r="C947">
        <v>0</v>
      </c>
      <c r="D947" s="1" t="e">
        <v>#VALUE!</v>
      </c>
      <c r="E947">
        <v>0</v>
      </c>
      <c r="F947">
        <v>0</v>
      </c>
      <c r="G947" s="2" t="e">
        <v>#VALUE!</v>
      </c>
      <c r="H947" s="3" t="s">
        <v>213</v>
      </c>
      <c r="I947" s="3" t="s">
        <v>213</v>
      </c>
      <c r="J947" s="3">
        <v>0</v>
      </c>
    </row>
    <row r="948" spans="1:10" x14ac:dyDescent="0.3">
      <c r="A948" t="s">
        <v>440</v>
      </c>
      <c r="B948" t="s">
        <v>441</v>
      </c>
      <c r="C948">
        <v>0</v>
      </c>
      <c r="D948" s="1" t="e">
        <v>#VALUE!</v>
      </c>
      <c r="E948">
        <v>0</v>
      </c>
      <c r="F948">
        <v>0</v>
      </c>
      <c r="G948" s="2" t="e">
        <v>#VALUE!</v>
      </c>
      <c r="H948" s="3" t="s">
        <v>213</v>
      </c>
      <c r="I948" s="3" t="s">
        <v>213</v>
      </c>
      <c r="J948" s="3">
        <v>0</v>
      </c>
    </row>
    <row r="949" spans="1:10" x14ac:dyDescent="0.3">
      <c r="A949" t="s">
        <v>448</v>
      </c>
      <c r="B949" t="s">
        <v>227</v>
      </c>
      <c r="C949">
        <v>0</v>
      </c>
      <c r="D949" s="1" t="e">
        <v>#VALUE!</v>
      </c>
      <c r="E949">
        <v>0</v>
      </c>
      <c r="F949">
        <v>0</v>
      </c>
      <c r="G949" s="2" t="e">
        <v>#VALUE!</v>
      </c>
      <c r="H949" s="3" t="s">
        <v>213</v>
      </c>
      <c r="I949" s="3" t="s">
        <v>213</v>
      </c>
      <c r="J949" s="3">
        <v>0</v>
      </c>
    </row>
    <row r="950" spans="1:10" x14ac:dyDescent="0.3">
      <c r="A950" t="s">
        <v>162</v>
      </c>
      <c r="B950" t="s">
        <v>421</v>
      </c>
      <c r="C950">
        <v>0</v>
      </c>
      <c r="D950" s="1" t="e">
        <v>#VALUE!</v>
      </c>
      <c r="E950">
        <v>0</v>
      </c>
      <c r="F950">
        <v>0</v>
      </c>
      <c r="G950" s="2" t="e">
        <v>#VALUE!</v>
      </c>
      <c r="H950" s="3" t="s">
        <v>213</v>
      </c>
      <c r="I950" s="3" t="s">
        <v>213</v>
      </c>
      <c r="J950" s="3">
        <v>0</v>
      </c>
    </row>
    <row r="951" spans="1:10" x14ac:dyDescent="0.3">
      <c r="A951" t="s">
        <v>99</v>
      </c>
      <c r="B951" t="s">
        <v>300</v>
      </c>
      <c r="C951">
        <v>0</v>
      </c>
      <c r="D951" s="1" t="e">
        <v>#VALUE!</v>
      </c>
      <c r="E951">
        <v>0</v>
      </c>
      <c r="F951">
        <v>0</v>
      </c>
      <c r="G951" s="2" t="e">
        <v>#VALUE!</v>
      </c>
      <c r="H951" s="3" t="s">
        <v>213</v>
      </c>
      <c r="I951" s="3" t="s">
        <v>213</v>
      </c>
      <c r="J951" s="3">
        <v>0</v>
      </c>
    </row>
    <row r="952" spans="1:10" x14ac:dyDescent="0.3">
      <c r="A952" t="s">
        <v>76</v>
      </c>
      <c r="B952" t="s">
        <v>317</v>
      </c>
      <c r="C952">
        <v>0</v>
      </c>
      <c r="D952" s="1" t="e">
        <v>#VALUE!</v>
      </c>
      <c r="E952">
        <v>0</v>
      </c>
      <c r="F952">
        <v>0</v>
      </c>
      <c r="G952" s="2" t="e">
        <v>#VALUE!</v>
      </c>
      <c r="H952" s="3" t="s">
        <v>213</v>
      </c>
      <c r="I952" s="3" t="s">
        <v>213</v>
      </c>
      <c r="J952" s="3">
        <v>0</v>
      </c>
    </row>
    <row r="953" spans="1:10" x14ac:dyDescent="0.3">
      <c r="A953" t="s">
        <v>76</v>
      </c>
      <c r="B953" t="s">
        <v>312</v>
      </c>
      <c r="C953">
        <v>0</v>
      </c>
      <c r="D953" s="1" t="e">
        <v>#VALUE!</v>
      </c>
      <c r="E953">
        <v>0</v>
      </c>
      <c r="F953">
        <v>0</v>
      </c>
      <c r="G953" s="2" t="e">
        <v>#VALUE!</v>
      </c>
      <c r="H953" s="3" t="s">
        <v>213</v>
      </c>
      <c r="I953" s="3" t="s">
        <v>213</v>
      </c>
      <c r="J953" s="3">
        <v>0</v>
      </c>
    </row>
    <row r="954" spans="1:10" x14ac:dyDescent="0.3">
      <c r="A954" t="s">
        <v>76</v>
      </c>
      <c r="B954" t="s">
        <v>316</v>
      </c>
      <c r="C954">
        <v>0</v>
      </c>
      <c r="D954" s="1" t="e">
        <v>#VALUE!</v>
      </c>
      <c r="E954">
        <v>0</v>
      </c>
      <c r="F954">
        <v>0</v>
      </c>
      <c r="G954" s="2" t="e">
        <v>#VALUE!</v>
      </c>
      <c r="H954" s="3" t="s">
        <v>213</v>
      </c>
      <c r="I954" s="3" t="s">
        <v>213</v>
      </c>
      <c r="J954" s="3">
        <v>0</v>
      </c>
    </row>
    <row r="955" spans="1:10" x14ac:dyDescent="0.3">
      <c r="A955" t="s">
        <v>76</v>
      </c>
      <c r="B955" t="s">
        <v>455</v>
      </c>
      <c r="C955">
        <v>0</v>
      </c>
      <c r="D955" s="1" t="e">
        <v>#VALUE!</v>
      </c>
      <c r="E955">
        <v>0</v>
      </c>
      <c r="F955">
        <v>0</v>
      </c>
      <c r="G955" s="2" t="e">
        <v>#VALUE!</v>
      </c>
      <c r="H955" s="3" t="s">
        <v>213</v>
      </c>
      <c r="I955" s="3" t="s">
        <v>213</v>
      </c>
      <c r="J955" s="3">
        <v>0</v>
      </c>
    </row>
    <row r="956" spans="1:10" x14ac:dyDescent="0.3">
      <c r="A956" t="s">
        <v>76</v>
      </c>
      <c r="B956" t="s">
        <v>229</v>
      </c>
      <c r="C956">
        <v>0</v>
      </c>
      <c r="D956" s="1" t="e">
        <v>#VALUE!</v>
      </c>
      <c r="E956">
        <v>0</v>
      </c>
      <c r="F956">
        <v>0</v>
      </c>
      <c r="G956" s="2" t="e">
        <v>#VALUE!</v>
      </c>
      <c r="H956" s="3" t="s">
        <v>213</v>
      </c>
      <c r="I956" s="3" t="s">
        <v>213</v>
      </c>
      <c r="J956" s="3">
        <v>0</v>
      </c>
    </row>
    <row r="957" spans="1:10" x14ac:dyDescent="0.3">
      <c r="A957" t="s">
        <v>76</v>
      </c>
      <c r="B957" t="s">
        <v>315</v>
      </c>
      <c r="C957">
        <v>0</v>
      </c>
      <c r="D957" s="1" t="e">
        <v>#VALUE!</v>
      </c>
      <c r="E957">
        <v>0</v>
      </c>
      <c r="F957">
        <v>0</v>
      </c>
      <c r="G957" s="2" t="e">
        <v>#VALUE!</v>
      </c>
      <c r="H957" s="3" t="s">
        <v>213</v>
      </c>
      <c r="I957" s="3" t="s">
        <v>213</v>
      </c>
      <c r="J957" s="3">
        <v>0</v>
      </c>
    </row>
    <row r="958" spans="1:10" x14ac:dyDescent="0.3">
      <c r="A958" t="s">
        <v>76</v>
      </c>
      <c r="B958" t="s">
        <v>314</v>
      </c>
      <c r="C958">
        <v>0</v>
      </c>
      <c r="D958" s="1" t="e">
        <v>#VALUE!</v>
      </c>
      <c r="E958">
        <v>0</v>
      </c>
      <c r="F958">
        <v>0</v>
      </c>
      <c r="G958" s="2" t="e">
        <v>#VALUE!</v>
      </c>
      <c r="H958" s="3" t="s">
        <v>213</v>
      </c>
      <c r="I958" s="3" t="s">
        <v>213</v>
      </c>
      <c r="J958" s="3">
        <v>0</v>
      </c>
    </row>
    <row r="959" spans="1:10" x14ac:dyDescent="0.3">
      <c r="A959" t="s">
        <v>76</v>
      </c>
      <c r="B959" t="s">
        <v>288</v>
      </c>
      <c r="C959">
        <v>0</v>
      </c>
      <c r="D959" s="1" t="e">
        <v>#VALUE!</v>
      </c>
      <c r="E959">
        <v>0</v>
      </c>
      <c r="F959">
        <v>0</v>
      </c>
      <c r="G959" s="2" t="e">
        <v>#VALUE!</v>
      </c>
      <c r="H959" s="3" t="s">
        <v>213</v>
      </c>
      <c r="I959" s="3" t="s">
        <v>213</v>
      </c>
      <c r="J959" s="3">
        <v>0</v>
      </c>
    </row>
    <row r="960" spans="1:10" x14ac:dyDescent="0.3">
      <c r="A960" t="s">
        <v>76</v>
      </c>
      <c r="B960" t="s">
        <v>282</v>
      </c>
      <c r="C960">
        <v>0</v>
      </c>
      <c r="D960" s="1" t="e">
        <v>#VALUE!</v>
      </c>
      <c r="E960">
        <v>0</v>
      </c>
      <c r="F960">
        <v>0</v>
      </c>
      <c r="G960" s="2" t="e">
        <v>#VALUE!</v>
      </c>
      <c r="H960" s="3" t="s">
        <v>213</v>
      </c>
      <c r="I960" s="3" t="s">
        <v>213</v>
      </c>
      <c r="J960" s="3">
        <v>0</v>
      </c>
    </row>
    <row r="961" spans="1:10" x14ac:dyDescent="0.3">
      <c r="A961" t="s">
        <v>76</v>
      </c>
      <c r="B961" t="s">
        <v>286</v>
      </c>
      <c r="C961">
        <v>0</v>
      </c>
      <c r="D961" s="1" t="e">
        <v>#VALUE!</v>
      </c>
      <c r="E961">
        <v>0</v>
      </c>
      <c r="F961">
        <v>0</v>
      </c>
      <c r="G961" s="2" t="e">
        <v>#VALUE!</v>
      </c>
      <c r="H961" s="3" t="s">
        <v>213</v>
      </c>
      <c r="I961" s="3" t="s">
        <v>213</v>
      </c>
      <c r="J961" s="3">
        <v>0</v>
      </c>
    </row>
    <row r="962" spans="1:10" x14ac:dyDescent="0.3">
      <c r="A962" t="s">
        <v>76</v>
      </c>
      <c r="B962" t="s">
        <v>264</v>
      </c>
      <c r="C962">
        <v>0</v>
      </c>
      <c r="D962" s="1" t="e">
        <v>#VALUE!</v>
      </c>
      <c r="E962">
        <v>0</v>
      </c>
      <c r="F962">
        <v>0</v>
      </c>
      <c r="G962" s="2" t="e">
        <v>#VALUE!</v>
      </c>
      <c r="H962" s="3" t="s">
        <v>213</v>
      </c>
      <c r="I962" s="3" t="s">
        <v>213</v>
      </c>
      <c r="J962" s="3">
        <v>0</v>
      </c>
    </row>
    <row r="963" spans="1:10" x14ac:dyDescent="0.3">
      <c r="A963" t="s">
        <v>76</v>
      </c>
      <c r="B963" t="s">
        <v>225</v>
      </c>
      <c r="C963">
        <v>0</v>
      </c>
      <c r="D963" s="1" t="e">
        <v>#VALUE!</v>
      </c>
      <c r="E963">
        <v>0</v>
      </c>
      <c r="F963">
        <v>0</v>
      </c>
      <c r="G963" s="2" t="e">
        <v>#VALUE!</v>
      </c>
      <c r="H963" s="3" t="s">
        <v>213</v>
      </c>
      <c r="I963" s="3" t="s">
        <v>213</v>
      </c>
      <c r="J963" s="3">
        <v>0</v>
      </c>
    </row>
    <row r="964" spans="1:10" x14ac:dyDescent="0.3">
      <c r="A964" t="s">
        <v>76</v>
      </c>
      <c r="B964" t="s">
        <v>320</v>
      </c>
      <c r="C964">
        <v>0</v>
      </c>
      <c r="D964" s="1" t="e">
        <v>#VALUE!</v>
      </c>
      <c r="E964">
        <v>0</v>
      </c>
      <c r="F964">
        <v>0</v>
      </c>
      <c r="G964" s="2" t="e">
        <v>#VALUE!</v>
      </c>
      <c r="H964" s="3" t="s">
        <v>213</v>
      </c>
      <c r="I964" s="3" t="s">
        <v>213</v>
      </c>
      <c r="J964" s="3">
        <v>0</v>
      </c>
    </row>
    <row r="965" spans="1:10" x14ac:dyDescent="0.3">
      <c r="A965" t="s">
        <v>76</v>
      </c>
      <c r="B965" t="s">
        <v>239</v>
      </c>
      <c r="C965">
        <v>0</v>
      </c>
      <c r="D965" s="1" t="e">
        <v>#VALUE!</v>
      </c>
      <c r="E965">
        <v>0</v>
      </c>
      <c r="F965">
        <v>0</v>
      </c>
      <c r="G965" s="2" t="e">
        <v>#VALUE!</v>
      </c>
      <c r="H965" s="3" t="s">
        <v>213</v>
      </c>
      <c r="I965" s="3" t="s">
        <v>213</v>
      </c>
      <c r="J965" s="3">
        <v>0</v>
      </c>
    </row>
    <row r="966" spans="1:10" x14ac:dyDescent="0.3">
      <c r="A966" t="s">
        <v>76</v>
      </c>
      <c r="B966" t="s">
        <v>245</v>
      </c>
      <c r="C966">
        <v>0</v>
      </c>
      <c r="D966" s="1" t="e">
        <v>#VALUE!</v>
      </c>
      <c r="E966">
        <v>0</v>
      </c>
      <c r="F966">
        <v>0</v>
      </c>
      <c r="G966" s="2" t="e">
        <v>#VALUE!</v>
      </c>
      <c r="H966" s="3" t="s">
        <v>213</v>
      </c>
      <c r="I966" s="3" t="s">
        <v>213</v>
      </c>
      <c r="J966" s="3">
        <v>0</v>
      </c>
    </row>
    <row r="967" spans="1:10" x14ac:dyDescent="0.3">
      <c r="A967" t="s">
        <v>76</v>
      </c>
      <c r="B967" t="s">
        <v>235</v>
      </c>
      <c r="C967">
        <v>0</v>
      </c>
      <c r="D967" s="1" t="e">
        <v>#VALUE!</v>
      </c>
      <c r="E967">
        <v>0</v>
      </c>
      <c r="F967">
        <v>0</v>
      </c>
      <c r="G967" s="2" t="e">
        <v>#VALUE!</v>
      </c>
      <c r="H967" s="3" t="s">
        <v>213</v>
      </c>
      <c r="I967" s="3" t="s">
        <v>213</v>
      </c>
      <c r="J967" s="3">
        <v>0</v>
      </c>
    </row>
    <row r="968" spans="1:10" x14ac:dyDescent="0.3">
      <c r="A968" t="s">
        <v>76</v>
      </c>
      <c r="B968" t="s">
        <v>219</v>
      </c>
      <c r="C968">
        <v>0</v>
      </c>
      <c r="D968" s="1" t="e">
        <v>#VALUE!</v>
      </c>
      <c r="E968">
        <v>0</v>
      </c>
      <c r="F968">
        <v>0</v>
      </c>
      <c r="G968" s="2" t="e">
        <v>#VALUE!</v>
      </c>
      <c r="H968" s="3" t="s">
        <v>213</v>
      </c>
      <c r="I968" s="3" t="s">
        <v>213</v>
      </c>
      <c r="J968" s="3">
        <v>0</v>
      </c>
    </row>
    <row r="969" spans="1:10" x14ac:dyDescent="0.3">
      <c r="A969" t="s">
        <v>19</v>
      </c>
      <c r="B969" t="s">
        <v>466</v>
      </c>
      <c r="C969">
        <v>0</v>
      </c>
      <c r="D969" s="1" t="e">
        <v>#VALUE!</v>
      </c>
      <c r="E969">
        <v>0</v>
      </c>
      <c r="F969">
        <v>0</v>
      </c>
      <c r="G969" s="2" t="e">
        <v>#VALUE!</v>
      </c>
      <c r="H969" s="3" t="s">
        <v>213</v>
      </c>
      <c r="I969" s="3" t="s">
        <v>213</v>
      </c>
      <c r="J969" s="3">
        <v>0</v>
      </c>
    </row>
    <row r="970" spans="1:10" x14ac:dyDescent="0.3">
      <c r="A970" t="s">
        <v>480</v>
      </c>
      <c r="B970" t="s">
        <v>282</v>
      </c>
      <c r="C970">
        <v>0</v>
      </c>
      <c r="D970" s="1" t="e">
        <v>#VALUE!</v>
      </c>
      <c r="E970">
        <v>0</v>
      </c>
      <c r="F970">
        <v>0</v>
      </c>
      <c r="G970" s="2" t="e">
        <v>#VALUE!</v>
      </c>
      <c r="H970" s="3" t="s">
        <v>213</v>
      </c>
      <c r="I970" s="3" t="s">
        <v>213</v>
      </c>
      <c r="J970" s="3">
        <v>0</v>
      </c>
    </row>
    <row r="971" spans="1:10" x14ac:dyDescent="0.3">
      <c r="A971" t="s">
        <v>480</v>
      </c>
      <c r="B971" t="s">
        <v>481</v>
      </c>
      <c r="C971">
        <v>0</v>
      </c>
      <c r="D971" s="1" t="e">
        <v>#VALUE!</v>
      </c>
      <c r="E971">
        <v>0</v>
      </c>
      <c r="F971">
        <v>0</v>
      </c>
      <c r="G971" s="2" t="e">
        <v>#VALUE!</v>
      </c>
      <c r="H971" s="3" t="s">
        <v>213</v>
      </c>
      <c r="I971" s="3" t="s">
        <v>213</v>
      </c>
      <c r="J971" s="3">
        <v>0</v>
      </c>
    </row>
    <row r="972" spans="1:10" x14ac:dyDescent="0.3">
      <c r="A972" t="s">
        <v>488</v>
      </c>
      <c r="B972" t="s">
        <v>215</v>
      </c>
      <c r="C972">
        <v>0</v>
      </c>
      <c r="D972" s="1" t="e">
        <v>#VALUE!</v>
      </c>
      <c r="E972">
        <v>0</v>
      </c>
      <c r="F972" t="e">
        <v>#VALUE!</v>
      </c>
      <c r="G972" s="2" t="e">
        <v>#VALUE!</v>
      </c>
      <c r="H972" s="3" t="s">
        <v>213</v>
      </c>
      <c r="I972" s="3" t="s">
        <v>213</v>
      </c>
      <c r="J972" s="3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7908-B798-403D-B7D2-1B23BF4A7877}">
  <dimension ref="B2:J172"/>
  <sheetViews>
    <sheetView zoomScale="90" zoomScaleNormal="90" workbookViewId="0">
      <selection activeCell="B2" sqref="B2"/>
    </sheetView>
  </sheetViews>
  <sheetFormatPr defaultRowHeight="15.6" x14ac:dyDescent="0.3"/>
  <cols>
    <col min="2" max="2" width="45.8984375" bestFit="1" customWidth="1"/>
    <col min="3" max="3" width="18.5" bestFit="1" customWidth="1"/>
    <col min="4" max="4" width="26.09765625" style="3" bestFit="1" customWidth="1"/>
    <col min="5" max="5" width="35.3984375" style="3" bestFit="1" customWidth="1"/>
    <col min="6" max="6" width="18" bestFit="1" customWidth="1"/>
    <col min="7" max="7" width="14.3984375" bestFit="1" customWidth="1"/>
    <col min="8" max="8" width="25.09765625" bestFit="1" customWidth="1"/>
    <col min="9" max="9" width="33.59765625" bestFit="1" customWidth="1"/>
    <col min="10" max="11" width="21.19921875" bestFit="1" customWidth="1"/>
  </cols>
  <sheetData>
    <row r="2" spans="2:10" x14ac:dyDescent="0.3">
      <c r="B2" s="10" t="s">
        <v>491</v>
      </c>
      <c r="C2" t="s">
        <v>1</v>
      </c>
      <c r="D2" t="s">
        <v>2</v>
      </c>
      <c r="E2" t="s">
        <v>492</v>
      </c>
      <c r="F2" t="s">
        <v>3</v>
      </c>
      <c r="G2" t="s">
        <v>4</v>
      </c>
      <c r="H2" t="s">
        <v>493</v>
      </c>
      <c r="I2" t="s">
        <v>494</v>
      </c>
      <c r="J2" t="s">
        <v>5</v>
      </c>
    </row>
    <row r="3" spans="2:10" x14ac:dyDescent="0.3">
      <c r="B3" s="11" t="s">
        <v>101</v>
      </c>
      <c r="C3">
        <v>19</v>
      </c>
      <c r="D3">
        <v>0</v>
      </c>
      <c r="E3" t="e">
        <v>#DIV/0!</v>
      </c>
      <c r="F3" s="13">
        <v>0.15789999999999998</v>
      </c>
      <c r="G3">
        <v>3</v>
      </c>
      <c r="H3">
        <v>0</v>
      </c>
      <c r="I3" s="14">
        <v>0</v>
      </c>
      <c r="J3" s="12">
        <v>0</v>
      </c>
    </row>
    <row r="4" spans="2:10" x14ac:dyDescent="0.3">
      <c r="B4" s="11" t="s">
        <v>102</v>
      </c>
      <c r="C4">
        <v>112</v>
      </c>
      <c r="D4">
        <v>0</v>
      </c>
      <c r="E4">
        <v>0</v>
      </c>
      <c r="F4" s="13">
        <v>0.1429</v>
      </c>
      <c r="G4">
        <v>16</v>
      </c>
      <c r="H4">
        <v>1</v>
      </c>
      <c r="I4" s="14">
        <v>6.25E-2</v>
      </c>
      <c r="J4" s="12">
        <v>0</v>
      </c>
    </row>
    <row r="5" spans="2:10" x14ac:dyDescent="0.3">
      <c r="B5" s="11" t="s">
        <v>103</v>
      </c>
      <c r="C5">
        <v>79</v>
      </c>
      <c r="D5">
        <v>0</v>
      </c>
      <c r="E5" t="e">
        <v>#DIV/0!</v>
      </c>
      <c r="F5" s="13">
        <v>0.1013</v>
      </c>
      <c r="G5">
        <v>8</v>
      </c>
      <c r="H5">
        <v>0</v>
      </c>
      <c r="I5" s="14">
        <v>0</v>
      </c>
      <c r="J5" s="12">
        <v>0</v>
      </c>
    </row>
    <row r="6" spans="2:10" x14ac:dyDescent="0.3">
      <c r="B6" s="11" t="s">
        <v>73</v>
      </c>
      <c r="C6">
        <v>2124</v>
      </c>
      <c r="D6">
        <v>0.21571428571428569</v>
      </c>
      <c r="E6">
        <v>4.4020000000000001</v>
      </c>
      <c r="F6" s="13">
        <v>6.8071428571428561E-2</v>
      </c>
      <c r="G6">
        <v>147</v>
      </c>
      <c r="H6">
        <v>8</v>
      </c>
      <c r="I6" s="14">
        <v>6.3314285714285726E-2</v>
      </c>
      <c r="J6" s="12">
        <v>36.17</v>
      </c>
    </row>
    <row r="7" spans="2:10" x14ac:dyDescent="0.3">
      <c r="B7" s="11" t="s">
        <v>104</v>
      </c>
      <c r="C7">
        <v>184</v>
      </c>
      <c r="D7">
        <v>0</v>
      </c>
      <c r="E7" t="e">
        <v>#DIV/0!</v>
      </c>
      <c r="F7" s="13">
        <v>5.9800000000000006E-2</v>
      </c>
      <c r="G7">
        <v>11</v>
      </c>
      <c r="H7">
        <v>0</v>
      </c>
      <c r="I7" s="14">
        <v>0</v>
      </c>
      <c r="J7" s="12">
        <v>0</v>
      </c>
    </row>
    <row r="8" spans="2:10" x14ac:dyDescent="0.3">
      <c r="B8" s="11" t="s">
        <v>105</v>
      </c>
      <c r="C8">
        <v>211</v>
      </c>
      <c r="D8">
        <v>0.82</v>
      </c>
      <c r="E8">
        <v>8.18</v>
      </c>
      <c r="F8" s="13">
        <v>0.14219999999999999</v>
      </c>
      <c r="G8">
        <v>30</v>
      </c>
      <c r="H8">
        <v>3</v>
      </c>
      <c r="I8" s="14">
        <v>0.1</v>
      </c>
      <c r="J8" s="12">
        <v>24.55</v>
      </c>
    </row>
    <row r="9" spans="2:10" x14ac:dyDescent="0.3">
      <c r="B9" s="11" t="s">
        <v>28</v>
      </c>
      <c r="C9">
        <v>1788</v>
      </c>
      <c r="D9">
        <v>0.23714285714285716</v>
      </c>
      <c r="E9">
        <v>6.1459999999999999</v>
      </c>
      <c r="F9" s="13">
        <v>9.6795000000000006E-2</v>
      </c>
      <c r="G9">
        <v>208</v>
      </c>
      <c r="H9">
        <v>7</v>
      </c>
      <c r="I9" s="14">
        <v>3.2969999999999999E-2</v>
      </c>
      <c r="J9" s="12">
        <v>41.910000000000004</v>
      </c>
    </row>
    <row r="10" spans="2:10" x14ac:dyDescent="0.3">
      <c r="B10" s="11" t="s">
        <v>34</v>
      </c>
      <c r="C10">
        <v>137</v>
      </c>
      <c r="D10">
        <v>1.21</v>
      </c>
      <c r="E10">
        <v>5.82</v>
      </c>
      <c r="F10" s="13">
        <v>0.17519999999999999</v>
      </c>
      <c r="G10">
        <v>24</v>
      </c>
      <c r="H10">
        <v>5</v>
      </c>
      <c r="I10" s="14">
        <v>0.20829999999999999</v>
      </c>
      <c r="J10" s="12">
        <v>29.11</v>
      </c>
    </row>
    <row r="11" spans="2:10" x14ac:dyDescent="0.3">
      <c r="B11" s="11" t="s">
        <v>106</v>
      </c>
      <c r="C11">
        <v>208</v>
      </c>
      <c r="D11">
        <v>0</v>
      </c>
      <c r="E11" t="e">
        <v>#DIV/0!</v>
      </c>
      <c r="F11" s="13">
        <v>3.3700000000000001E-2</v>
      </c>
      <c r="G11">
        <v>7</v>
      </c>
      <c r="H11">
        <v>0</v>
      </c>
      <c r="I11" s="14">
        <v>0</v>
      </c>
      <c r="J11" s="12">
        <v>0</v>
      </c>
    </row>
    <row r="12" spans="2:10" x14ac:dyDescent="0.3">
      <c r="B12" s="11" t="s">
        <v>86</v>
      </c>
      <c r="C12">
        <v>16</v>
      </c>
      <c r="D12" t="e">
        <v>#DIV/0!</v>
      </c>
      <c r="E12" t="e">
        <v>#DIV/0!</v>
      </c>
      <c r="F12" s="13">
        <v>0</v>
      </c>
      <c r="G12">
        <v>0</v>
      </c>
      <c r="H12">
        <v>0</v>
      </c>
      <c r="I12" s="14">
        <v>0</v>
      </c>
      <c r="J12" s="12">
        <v>0</v>
      </c>
    </row>
    <row r="13" spans="2:10" x14ac:dyDescent="0.3">
      <c r="B13" s="11" t="s">
        <v>40</v>
      </c>
      <c r="C13">
        <v>518</v>
      </c>
      <c r="D13">
        <v>2.4480000000000004</v>
      </c>
      <c r="E13">
        <v>9.9039999999999999</v>
      </c>
      <c r="F13" s="13">
        <v>0.12327999999999999</v>
      </c>
      <c r="G13">
        <v>60</v>
      </c>
      <c r="H13">
        <v>16</v>
      </c>
      <c r="I13" s="14">
        <v>0.26895999999999998</v>
      </c>
      <c r="J13" s="12">
        <v>143.01999999999998</v>
      </c>
    </row>
    <row r="14" spans="2:10" x14ac:dyDescent="0.3">
      <c r="B14" s="11" t="s">
        <v>107</v>
      </c>
      <c r="C14">
        <v>50</v>
      </c>
      <c r="D14" t="e">
        <v>#DIV/0!</v>
      </c>
      <c r="E14" t="e">
        <v>#DIV/0!</v>
      </c>
      <c r="F14" s="13">
        <v>0</v>
      </c>
      <c r="G14">
        <v>0</v>
      </c>
      <c r="H14">
        <v>0</v>
      </c>
      <c r="I14" s="14">
        <v>0</v>
      </c>
      <c r="J14" s="12">
        <v>0</v>
      </c>
    </row>
    <row r="15" spans="2:10" x14ac:dyDescent="0.3">
      <c r="B15" s="11" t="s">
        <v>243</v>
      </c>
      <c r="C15">
        <v>617</v>
      </c>
      <c r="D15">
        <v>7.0000000000000007E-2</v>
      </c>
      <c r="E15">
        <v>1.7</v>
      </c>
      <c r="F15" s="13">
        <v>7.7800000000000008E-2</v>
      </c>
      <c r="G15">
        <v>48</v>
      </c>
      <c r="H15">
        <v>2</v>
      </c>
      <c r="I15" s="14">
        <v>4.1700000000000001E-2</v>
      </c>
      <c r="J15" s="12">
        <v>3.4</v>
      </c>
    </row>
    <row r="16" spans="2:10" x14ac:dyDescent="0.3">
      <c r="B16" s="11" t="s">
        <v>83</v>
      </c>
      <c r="C16">
        <v>439</v>
      </c>
      <c r="D16">
        <v>0</v>
      </c>
      <c r="E16" t="e">
        <v>#DIV/0!</v>
      </c>
      <c r="F16" s="13">
        <v>5.7199999999999994E-2</v>
      </c>
      <c r="G16">
        <v>29</v>
      </c>
      <c r="H16">
        <v>0</v>
      </c>
      <c r="I16" s="14">
        <v>0</v>
      </c>
      <c r="J16" s="12">
        <v>0</v>
      </c>
    </row>
    <row r="17" spans="2:10" x14ac:dyDescent="0.3">
      <c r="B17" s="11" t="s">
        <v>65</v>
      </c>
      <c r="C17">
        <v>279</v>
      </c>
      <c r="D17">
        <v>0.64500000000000002</v>
      </c>
      <c r="E17">
        <v>7.72</v>
      </c>
      <c r="F17" s="13">
        <v>2.8700000000000003E-2</v>
      </c>
      <c r="G17">
        <v>12</v>
      </c>
      <c r="H17">
        <v>1</v>
      </c>
      <c r="I17" s="14">
        <v>5.5566666666666674E-2</v>
      </c>
      <c r="J17" s="12">
        <v>7.72</v>
      </c>
    </row>
    <row r="18" spans="2:10" x14ac:dyDescent="0.3">
      <c r="B18" s="11" t="s">
        <v>108</v>
      </c>
      <c r="C18">
        <v>595</v>
      </c>
      <c r="D18">
        <v>0.25</v>
      </c>
      <c r="E18">
        <v>2.0699999999999998</v>
      </c>
      <c r="F18" s="13">
        <v>0.15629999999999999</v>
      </c>
      <c r="G18">
        <v>93</v>
      </c>
      <c r="H18">
        <v>11</v>
      </c>
      <c r="I18" s="14">
        <v>0.1183</v>
      </c>
      <c r="J18" s="12">
        <v>22.8</v>
      </c>
    </row>
    <row r="19" spans="2:10" x14ac:dyDescent="0.3">
      <c r="B19" s="11" t="s">
        <v>109</v>
      </c>
      <c r="C19">
        <v>611</v>
      </c>
      <c r="D19">
        <v>0.28000000000000003</v>
      </c>
      <c r="E19">
        <v>2.09</v>
      </c>
      <c r="F19" s="13">
        <v>0.10800000000000001</v>
      </c>
      <c r="G19">
        <v>66</v>
      </c>
      <c r="H19">
        <v>9</v>
      </c>
      <c r="I19" s="14">
        <v>0.13639999999999999</v>
      </c>
      <c r="J19" s="12">
        <v>18.78</v>
      </c>
    </row>
    <row r="20" spans="2:10" x14ac:dyDescent="0.3">
      <c r="B20" s="11" t="s">
        <v>72</v>
      </c>
      <c r="C20">
        <v>980</v>
      </c>
      <c r="D20">
        <v>0.17400000000000002</v>
      </c>
      <c r="E20">
        <v>2.8874999999999997</v>
      </c>
      <c r="F20" s="13">
        <v>0.10306</v>
      </c>
      <c r="G20">
        <v>98</v>
      </c>
      <c r="H20">
        <v>7</v>
      </c>
      <c r="I20" s="14">
        <v>6.1939999999999995E-2</v>
      </c>
      <c r="J20" s="12">
        <v>20.7</v>
      </c>
    </row>
    <row r="21" spans="2:10" x14ac:dyDescent="0.3">
      <c r="B21" s="11" t="s">
        <v>87</v>
      </c>
      <c r="C21">
        <v>172</v>
      </c>
      <c r="D21">
        <v>0</v>
      </c>
      <c r="E21" t="e">
        <v>#DIV/0!</v>
      </c>
      <c r="F21" s="13">
        <v>6.9500000000000006E-2</v>
      </c>
      <c r="G21">
        <v>12</v>
      </c>
      <c r="H21">
        <v>0</v>
      </c>
      <c r="I21" s="14">
        <v>0</v>
      </c>
      <c r="J21" s="12">
        <v>0</v>
      </c>
    </row>
    <row r="22" spans="2:10" x14ac:dyDescent="0.3">
      <c r="B22" s="11" t="s">
        <v>88</v>
      </c>
      <c r="C22">
        <v>1033</v>
      </c>
      <c r="D22">
        <v>0.115</v>
      </c>
      <c r="E22">
        <v>5.63</v>
      </c>
      <c r="F22" s="13">
        <v>7.4199999999999988E-2</v>
      </c>
      <c r="G22">
        <v>87</v>
      </c>
      <c r="H22">
        <v>3</v>
      </c>
      <c r="I22" s="14">
        <v>2.085E-2</v>
      </c>
      <c r="J22" s="12">
        <v>16.89</v>
      </c>
    </row>
    <row r="23" spans="2:10" x14ac:dyDescent="0.3">
      <c r="B23" s="11" t="s">
        <v>110</v>
      </c>
      <c r="C23">
        <v>323</v>
      </c>
      <c r="D23">
        <v>0.32</v>
      </c>
      <c r="E23">
        <v>1.74</v>
      </c>
      <c r="F23" s="13">
        <v>0.10220000000000001</v>
      </c>
      <c r="G23">
        <v>33</v>
      </c>
      <c r="H23">
        <v>6</v>
      </c>
      <c r="I23" s="14">
        <v>0.18179999999999999</v>
      </c>
      <c r="J23" s="12">
        <v>10.41</v>
      </c>
    </row>
    <row r="24" spans="2:10" x14ac:dyDescent="0.3">
      <c r="B24" s="11" t="s">
        <v>111</v>
      </c>
      <c r="C24">
        <v>379</v>
      </c>
      <c r="D24">
        <v>0.08</v>
      </c>
      <c r="E24">
        <v>2</v>
      </c>
      <c r="F24" s="13">
        <v>6.8600000000000008E-2</v>
      </c>
      <c r="G24">
        <v>26</v>
      </c>
      <c r="H24">
        <v>1</v>
      </c>
      <c r="I24" s="14">
        <v>3.85E-2</v>
      </c>
      <c r="J24" s="12">
        <v>2</v>
      </c>
    </row>
    <row r="25" spans="2:10" x14ac:dyDescent="0.3">
      <c r="B25" s="11" t="s">
        <v>33</v>
      </c>
      <c r="C25">
        <v>851</v>
      </c>
      <c r="D25">
        <v>0.42666666666666669</v>
      </c>
      <c r="E25">
        <v>6.0649999999999995</v>
      </c>
      <c r="F25" s="13">
        <v>4.7533333333333337E-2</v>
      </c>
      <c r="G25">
        <v>41</v>
      </c>
      <c r="H25">
        <v>3</v>
      </c>
      <c r="I25" s="14">
        <v>7.0366666666666675E-2</v>
      </c>
      <c r="J25" s="12">
        <v>18.2</v>
      </c>
    </row>
    <row r="26" spans="2:10" x14ac:dyDescent="0.3">
      <c r="B26" s="11" t="s">
        <v>112</v>
      </c>
      <c r="C26">
        <v>1063</v>
      </c>
      <c r="D26">
        <v>0.18</v>
      </c>
      <c r="E26">
        <v>4.55</v>
      </c>
      <c r="F26" s="13">
        <v>4.8899999999999999E-2</v>
      </c>
      <c r="G26">
        <v>52</v>
      </c>
      <c r="H26">
        <v>2</v>
      </c>
      <c r="I26" s="14">
        <v>3.85E-2</v>
      </c>
      <c r="J26" s="12">
        <v>9.1</v>
      </c>
    </row>
    <row r="27" spans="2:10" x14ac:dyDescent="0.3">
      <c r="B27" s="11" t="s">
        <v>43</v>
      </c>
      <c r="C27">
        <v>234</v>
      </c>
      <c r="D27">
        <v>0.67</v>
      </c>
      <c r="E27">
        <v>3.21</v>
      </c>
      <c r="F27" s="13">
        <v>0.1026</v>
      </c>
      <c r="G27">
        <v>24</v>
      </c>
      <c r="H27">
        <v>5</v>
      </c>
      <c r="I27" s="14">
        <v>0.20829999999999999</v>
      </c>
      <c r="J27" s="12">
        <v>16.07</v>
      </c>
    </row>
    <row r="28" spans="2:10" x14ac:dyDescent="0.3">
      <c r="B28" s="11" t="s">
        <v>113</v>
      </c>
      <c r="C28">
        <v>2264</v>
      </c>
      <c r="D28">
        <v>0.18</v>
      </c>
      <c r="E28">
        <v>2.31</v>
      </c>
      <c r="F28" s="13">
        <v>0.106</v>
      </c>
      <c r="G28">
        <v>240</v>
      </c>
      <c r="H28">
        <v>19</v>
      </c>
      <c r="I28" s="14">
        <v>7.9199999999999993E-2</v>
      </c>
      <c r="J28" s="12">
        <v>43.94</v>
      </c>
    </row>
    <row r="29" spans="2:10" x14ac:dyDescent="0.3">
      <c r="B29" s="11" t="s">
        <v>260</v>
      </c>
      <c r="C29">
        <v>5025</v>
      </c>
      <c r="D29">
        <v>0.33</v>
      </c>
      <c r="E29">
        <v>2.42</v>
      </c>
      <c r="F29" s="13">
        <v>0.10349999999999999</v>
      </c>
      <c r="G29">
        <v>520</v>
      </c>
      <c r="H29">
        <v>71</v>
      </c>
      <c r="I29" s="14">
        <v>0.13650000000000001</v>
      </c>
      <c r="J29" s="12">
        <v>172.02</v>
      </c>
    </row>
    <row r="30" spans="2:10" x14ac:dyDescent="0.3">
      <c r="B30" s="11" t="s">
        <v>13</v>
      </c>
      <c r="C30">
        <v>2025</v>
      </c>
      <c r="D30">
        <v>0.63250000000000006</v>
      </c>
      <c r="E30">
        <v>4.7324999999999999</v>
      </c>
      <c r="F30" s="13">
        <v>0.11212500000000002</v>
      </c>
      <c r="G30">
        <v>213</v>
      </c>
      <c r="H30">
        <v>30</v>
      </c>
      <c r="I30" s="14">
        <v>0.14622499999999999</v>
      </c>
      <c r="J30" s="12">
        <v>123.16</v>
      </c>
    </row>
    <row r="31" spans="2:10" x14ac:dyDescent="0.3">
      <c r="B31" s="11" t="s">
        <v>69</v>
      </c>
      <c r="C31">
        <v>292</v>
      </c>
      <c r="D31">
        <v>0.36</v>
      </c>
      <c r="E31">
        <v>10.504999999999999</v>
      </c>
      <c r="F31" s="13">
        <v>0.14005000000000001</v>
      </c>
      <c r="G31">
        <v>81</v>
      </c>
      <c r="H31">
        <v>3</v>
      </c>
      <c r="I31" s="14">
        <v>1.83E-2</v>
      </c>
      <c r="J31" s="12">
        <v>29.1</v>
      </c>
    </row>
    <row r="32" spans="2:10" x14ac:dyDescent="0.3">
      <c r="B32" s="11" t="s">
        <v>114</v>
      </c>
      <c r="C32">
        <v>386</v>
      </c>
      <c r="D32">
        <v>0.46</v>
      </c>
      <c r="E32">
        <v>6.49</v>
      </c>
      <c r="F32" s="13">
        <v>0.10880000000000001</v>
      </c>
      <c r="G32">
        <v>42</v>
      </c>
      <c r="H32">
        <v>3</v>
      </c>
      <c r="I32" s="14">
        <v>7.1399999999999991E-2</v>
      </c>
      <c r="J32" s="12">
        <v>19.46</v>
      </c>
    </row>
    <row r="33" spans="2:10" x14ac:dyDescent="0.3">
      <c r="B33" s="11" t="s">
        <v>18</v>
      </c>
      <c r="C33">
        <v>3583</v>
      </c>
      <c r="D33">
        <v>0.50000000000000011</v>
      </c>
      <c r="E33">
        <v>5.9233333333333329</v>
      </c>
      <c r="F33" s="13">
        <v>0.1017</v>
      </c>
      <c r="G33">
        <v>359</v>
      </c>
      <c r="H33">
        <v>30</v>
      </c>
      <c r="I33" s="14">
        <v>7.2466666666666665E-2</v>
      </c>
      <c r="J33" s="12">
        <v>220.75000000000003</v>
      </c>
    </row>
    <row r="34" spans="2:10" x14ac:dyDescent="0.3">
      <c r="B34" s="11" t="s">
        <v>115</v>
      </c>
      <c r="C34">
        <v>188</v>
      </c>
      <c r="D34">
        <v>0</v>
      </c>
      <c r="E34" t="e">
        <v>#DIV/0!</v>
      </c>
      <c r="F34" s="13">
        <v>7.4499999999999997E-2</v>
      </c>
      <c r="G34">
        <v>14</v>
      </c>
      <c r="H34">
        <v>0</v>
      </c>
      <c r="I34" s="14">
        <v>0</v>
      </c>
      <c r="J34" s="12">
        <v>0</v>
      </c>
    </row>
    <row r="35" spans="2:10" x14ac:dyDescent="0.3">
      <c r="B35" s="11" t="s">
        <v>59</v>
      </c>
      <c r="C35">
        <v>1546</v>
      </c>
      <c r="D35">
        <v>0.41</v>
      </c>
      <c r="E35">
        <v>2.83</v>
      </c>
      <c r="F35" s="13">
        <v>7.4349999999999999E-2</v>
      </c>
      <c r="G35">
        <v>124</v>
      </c>
      <c r="H35">
        <v>8</v>
      </c>
      <c r="I35" s="14">
        <v>0.13635</v>
      </c>
      <c r="J35" s="12">
        <v>22.64</v>
      </c>
    </row>
    <row r="36" spans="2:10" x14ac:dyDescent="0.3">
      <c r="B36" s="11" t="s">
        <v>116</v>
      </c>
      <c r="C36">
        <v>84</v>
      </c>
      <c r="D36">
        <v>0</v>
      </c>
      <c r="E36" t="e">
        <v>#DIV/0!</v>
      </c>
      <c r="F36" s="13">
        <v>7.1399999999999991E-2</v>
      </c>
      <c r="G36">
        <v>6</v>
      </c>
      <c r="H36">
        <v>0</v>
      </c>
      <c r="I36" s="14">
        <v>0</v>
      </c>
      <c r="J36" s="12">
        <v>0</v>
      </c>
    </row>
    <row r="37" spans="2:10" x14ac:dyDescent="0.3">
      <c r="B37" s="11" t="s">
        <v>117</v>
      </c>
      <c r="C37">
        <v>6</v>
      </c>
      <c r="D37" t="e">
        <v>#DIV/0!</v>
      </c>
      <c r="E37" t="e">
        <v>#DIV/0!</v>
      </c>
      <c r="F37" s="13">
        <v>0</v>
      </c>
      <c r="G37">
        <v>0</v>
      </c>
      <c r="H37">
        <v>0</v>
      </c>
      <c r="I37" s="14">
        <v>0</v>
      </c>
      <c r="J37" s="12">
        <v>0</v>
      </c>
    </row>
    <row r="38" spans="2:10" x14ac:dyDescent="0.3">
      <c r="B38" s="11" t="s">
        <v>118</v>
      </c>
      <c r="C38">
        <v>685</v>
      </c>
      <c r="D38">
        <v>0.28999999999999998</v>
      </c>
      <c r="E38">
        <v>3.61</v>
      </c>
      <c r="F38" s="13">
        <v>5.5500000000000001E-2</v>
      </c>
      <c r="G38">
        <v>38</v>
      </c>
      <c r="H38">
        <v>3</v>
      </c>
      <c r="I38" s="14">
        <v>7.8899999999999998E-2</v>
      </c>
      <c r="J38" s="12">
        <v>10.84</v>
      </c>
    </row>
    <row r="39" spans="2:10" x14ac:dyDescent="0.3">
      <c r="B39" s="11" t="s">
        <v>31</v>
      </c>
      <c r="C39">
        <v>845</v>
      </c>
      <c r="D39">
        <v>0.65500000000000003</v>
      </c>
      <c r="E39">
        <v>4.8100000000000005</v>
      </c>
      <c r="F39" s="13">
        <v>5.1400000000000001E-2</v>
      </c>
      <c r="G39">
        <v>43</v>
      </c>
      <c r="H39">
        <v>6</v>
      </c>
      <c r="I39" s="14">
        <v>0.13600000000000001</v>
      </c>
      <c r="J39" s="12">
        <v>28.81</v>
      </c>
    </row>
    <row r="40" spans="2:10" x14ac:dyDescent="0.3">
      <c r="B40" s="11" t="s">
        <v>16</v>
      </c>
      <c r="C40">
        <v>2920</v>
      </c>
      <c r="D40">
        <v>1.0129411764705885</v>
      </c>
      <c r="E40">
        <v>5.8308333333333335</v>
      </c>
      <c r="F40" s="13">
        <v>0.11501111111111112</v>
      </c>
      <c r="G40">
        <v>327</v>
      </c>
      <c r="H40">
        <v>33</v>
      </c>
      <c r="I40" s="14">
        <v>0.19927777777777778</v>
      </c>
      <c r="J40" s="12">
        <v>237.24999999999994</v>
      </c>
    </row>
    <row r="41" spans="2:10" x14ac:dyDescent="0.3">
      <c r="B41" s="11" t="s">
        <v>44</v>
      </c>
      <c r="C41">
        <v>1130</v>
      </c>
      <c r="D41">
        <v>0.55000000000000004</v>
      </c>
      <c r="E41">
        <v>6.88</v>
      </c>
      <c r="F41" s="13">
        <v>6.6400000000000001E-2</v>
      </c>
      <c r="G41">
        <v>75</v>
      </c>
      <c r="H41">
        <v>6</v>
      </c>
      <c r="I41" s="14">
        <v>0.08</v>
      </c>
      <c r="J41" s="12">
        <v>41.29</v>
      </c>
    </row>
    <row r="42" spans="2:10" x14ac:dyDescent="0.3">
      <c r="B42" s="11" t="s">
        <v>119</v>
      </c>
      <c r="C42">
        <v>30</v>
      </c>
      <c r="D42">
        <v>0</v>
      </c>
      <c r="E42" t="e">
        <v>#DIV/0!</v>
      </c>
      <c r="F42" s="13">
        <v>0.16670000000000001</v>
      </c>
      <c r="G42">
        <v>5</v>
      </c>
      <c r="H42">
        <v>0</v>
      </c>
      <c r="I42" s="14">
        <v>0</v>
      </c>
      <c r="J42" s="12">
        <v>0</v>
      </c>
    </row>
    <row r="43" spans="2:10" x14ac:dyDescent="0.3">
      <c r="B43" s="11" t="s">
        <v>74</v>
      </c>
      <c r="C43">
        <v>5156</v>
      </c>
      <c r="D43">
        <v>0.50142857142857145</v>
      </c>
      <c r="E43">
        <v>3.3371428571428572</v>
      </c>
      <c r="F43" s="13">
        <v>0.10939999999999998</v>
      </c>
      <c r="G43">
        <v>542</v>
      </c>
      <c r="H43">
        <v>76</v>
      </c>
      <c r="I43" s="14">
        <v>0.14064285714285713</v>
      </c>
      <c r="J43" s="12">
        <v>274.21999999999997</v>
      </c>
    </row>
    <row r="44" spans="2:10" x14ac:dyDescent="0.3">
      <c r="B44" s="11" t="s">
        <v>45</v>
      </c>
      <c r="C44">
        <v>1489</v>
      </c>
      <c r="D44">
        <v>0.44</v>
      </c>
      <c r="E44">
        <v>4.05</v>
      </c>
      <c r="F44" s="13">
        <v>6.25E-2</v>
      </c>
      <c r="G44">
        <v>93</v>
      </c>
      <c r="H44">
        <v>10</v>
      </c>
      <c r="I44" s="14">
        <v>0.1075</v>
      </c>
      <c r="J44" s="12">
        <v>40.5</v>
      </c>
    </row>
    <row r="45" spans="2:10" x14ac:dyDescent="0.3">
      <c r="B45" s="11" t="s">
        <v>120</v>
      </c>
      <c r="C45">
        <v>750</v>
      </c>
      <c r="D45">
        <v>0.19</v>
      </c>
      <c r="E45">
        <v>11.08</v>
      </c>
      <c r="F45" s="13">
        <v>7.7300000000000008E-2</v>
      </c>
      <c r="G45">
        <v>58</v>
      </c>
      <c r="H45">
        <v>1</v>
      </c>
      <c r="I45" s="14">
        <v>1.72E-2</v>
      </c>
      <c r="J45" s="12">
        <v>11.08</v>
      </c>
    </row>
    <row r="46" spans="2:10" x14ac:dyDescent="0.3">
      <c r="B46" s="11" t="s">
        <v>46</v>
      </c>
      <c r="C46">
        <v>865</v>
      </c>
      <c r="D46">
        <v>0.06</v>
      </c>
      <c r="E46">
        <v>2.0699999999999998</v>
      </c>
      <c r="F46" s="13">
        <v>7.7499999999999999E-2</v>
      </c>
      <c r="G46">
        <v>67</v>
      </c>
      <c r="H46">
        <v>2</v>
      </c>
      <c r="I46" s="14">
        <v>2.9900000000000003E-2</v>
      </c>
      <c r="J46" s="12">
        <v>4.13</v>
      </c>
    </row>
    <row r="47" spans="2:10" x14ac:dyDescent="0.3">
      <c r="B47" s="11" t="s">
        <v>79</v>
      </c>
      <c r="C47">
        <v>77</v>
      </c>
      <c r="D47">
        <v>0</v>
      </c>
      <c r="E47" t="e">
        <v>#DIV/0!</v>
      </c>
      <c r="F47" s="13">
        <v>8.3333333333333332E-3</v>
      </c>
      <c r="G47">
        <v>1</v>
      </c>
      <c r="H47">
        <v>0</v>
      </c>
      <c r="I47" s="14">
        <v>0</v>
      </c>
      <c r="J47" s="12">
        <v>0</v>
      </c>
    </row>
    <row r="48" spans="2:10" x14ac:dyDescent="0.3">
      <c r="B48" s="11" t="s">
        <v>121</v>
      </c>
      <c r="C48">
        <v>132</v>
      </c>
      <c r="D48">
        <v>0</v>
      </c>
      <c r="E48" t="e">
        <v>#DIV/0!</v>
      </c>
      <c r="F48" s="13">
        <v>1.52E-2</v>
      </c>
      <c r="G48">
        <v>2</v>
      </c>
      <c r="H48">
        <v>0</v>
      </c>
      <c r="I48" s="14">
        <v>0</v>
      </c>
      <c r="J48" s="12">
        <v>0</v>
      </c>
    </row>
    <row r="49" spans="2:10" x14ac:dyDescent="0.3">
      <c r="B49" s="11" t="s">
        <v>47</v>
      </c>
      <c r="C49">
        <v>293</v>
      </c>
      <c r="D49">
        <v>0.48</v>
      </c>
      <c r="E49">
        <v>8.9700000000000006</v>
      </c>
      <c r="F49" s="13">
        <v>0.1263</v>
      </c>
      <c r="G49">
        <v>37</v>
      </c>
      <c r="H49">
        <v>2</v>
      </c>
      <c r="I49" s="14">
        <v>5.4100000000000002E-2</v>
      </c>
      <c r="J49" s="12">
        <v>17.940000000000001</v>
      </c>
    </row>
    <row r="50" spans="2:10" x14ac:dyDescent="0.3">
      <c r="B50" s="11" t="s">
        <v>24</v>
      </c>
      <c r="C50">
        <v>1010</v>
      </c>
      <c r="D50">
        <v>0.59</v>
      </c>
      <c r="E50">
        <v>9.3000000000000007</v>
      </c>
      <c r="F50" s="13">
        <v>9.4100000000000003E-2</v>
      </c>
      <c r="G50">
        <v>95</v>
      </c>
      <c r="H50">
        <v>6</v>
      </c>
      <c r="I50" s="14">
        <v>6.3200000000000006E-2</v>
      </c>
      <c r="J50" s="12">
        <v>55.82</v>
      </c>
    </row>
    <row r="51" spans="2:10" x14ac:dyDescent="0.3">
      <c r="B51" s="11" t="s">
        <v>122</v>
      </c>
      <c r="C51">
        <v>455</v>
      </c>
      <c r="D51">
        <v>0.21</v>
      </c>
      <c r="E51">
        <v>2.16</v>
      </c>
      <c r="F51" s="13">
        <v>0.1143</v>
      </c>
      <c r="G51">
        <v>52</v>
      </c>
      <c r="H51">
        <v>5</v>
      </c>
      <c r="I51" s="14">
        <v>9.6199999999999994E-2</v>
      </c>
      <c r="J51" s="12">
        <v>10.78</v>
      </c>
    </row>
    <row r="52" spans="2:10" x14ac:dyDescent="0.3">
      <c r="B52" s="11" t="s">
        <v>123</v>
      </c>
      <c r="C52">
        <v>541</v>
      </c>
      <c r="D52">
        <v>0.02</v>
      </c>
      <c r="E52">
        <v>1.7</v>
      </c>
      <c r="F52" s="13">
        <v>0.1331</v>
      </c>
      <c r="G52">
        <v>72</v>
      </c>
      <c r="H52">
        <v>1</v>
      </c>
      <c r="I52" s="14">
        <v>1.3899999999999999E-2</v>
      </c>
      <c r="J52" s="12">
        <v>1.7</v>
      </c>
    </row>
    <row r="53" spans="2:10" x14ac:dyDescent="0.3">
      <c r="B53" s="11" t="s">
        <v>124</v>
      </c>
      <c r="C53">
        <v>1441</v>
      </c>
      <c r="D53">
        <v>0.1</v>
      </c>
      <c r="E53">
        <v>2.63</v>
      </c>
      <c r="F53" s="13">
        <v>5.62E-2</v>
      </c>
      <c r="G53">
        <v>81</v>
      </c>
      <c r="H53">
        <v>3</v>
      </c>
      <c r="I53" s="14">
        <v>3.7000000000000005E-2</v>
      </c>
      <c r="J53" s="12">
        <v>7.89</v>
      </c>
    </row>
    <row r="54" spans="2:10" x14ac:dyDescent="0.3">
      <c r="B54" s="11" t="s">
        <v>35</v>
      </c>
      <c r="C54">
        <v>894</v>
      </c>
      <c r="D54">
        <v>0.67</v>
      </c>
      <c r="E54">
        <v>10.23</v>
      </c>
      <c r="F54" s="13">
        <v>0.1376</v>
      </c>
      <c r="G54">
        <v>123</v>
      </c>
      <c r="H54">
        <v>8</v>
      </c>
      <c r="I54" s="14">
        <v>6.5000000000000002E-2</v>
      </c>
      <c r="J54" s="12">
        <v>81.86</v>
      </c>
    </row>
    <row r="55" spans="2:10" x14ac:dyDescent="0.3">
      <c r="B55" s="11" t="s">
        <v>125</v>
      </c>
      <c r="C55">
        <v>397</v>
      </c>
      <c r="D55">
        <v>0.19</v>
      </c>
      <c r="E55">
        <v>1.71</v>
      </c>
      <c r="F55" s="13">
        <v>8.8200000000000001E-2</v>
      </c>
      <c r="G55">
        <v>35</v>
      </c>
      <c r="H55">
        <v>4</v>
      </c>
      <c r="I55" s="14">
        <v>0.1143</v>
      </c>
      <c r="J55" s="12">
        <v>6.82</v>
      </c>
    </row>
    <row r="56" spans="2:10" x14ac:dyDescent="0.3">
      <c r="B56" s="11" t="s">
        <v>81</v>
      </c>
      <c r="C56">
        <v>1499</v>
      </c>
      <c r="D56">
        <v>0.34749999999999998</v>
      </c>
      <c r="E56">
        <v>6.8025000000000002</v>
      </c>
      <c r="F56" s="13">
        <v>7.0000000000000007E-2</v>
      </c>
      <c r="G56">
        <v>103</v>
      </c>
      <c r="H56">
        <v>6</v>
      </c>
      <c r="I56" s="14">
        <v>6.0550000000000007E-2</v>
      </c>
      <c r="J56" s="12">
        <v>36.840000000000003</v>
      </c>
    </row>
    <row r="57" spans="2:10" x14ac:dyDescent="0.3">
      <c r="B57" s="11" t="s">
        <v>126</v>
      </c>
      <c r="C57">
        <v>404</v>
      </c>
      <c r="D57">
        <v>0.27</v>
      </c>
      <c r="E57">
        <v>1.87</v>
      </c>
      <c r="F57" s="13">
        <v>0.10150000000000001</v>
      </c>
      <c r="G57">
        <v>41</v>
      </c>
      <c r="H57">
        <v>6</v>
      </c>
      <c r="I57" s="14">
        <v>0.14630000000000001</v>
      </c>
      <c r="J57" s="12">
        <v>11.22</v>
      </c>
    </row>
    <row r="58" spans="2:10" x14ac:dyDescent="0.3">
      <c r="B58" s="11" t="s">
        <v>127</v>
      </c>
      <c r="C58">
        <v>164</v>
      </c>
      <c r="D58">
        <v>0</v>
      </c>
      <c r="E58" t="e">
        <v>#DIV/0!</v>
      </c>
      <c r="F58" s="13">
        <v>2.4399999999999998E-2</v>
      </c>
      <c r="G58">
        <v>4</v>
      </c>
      <c r="H58">
        <v>0</v>
      </c>
      <c r="I58" s="14">
        <v>0</v>
      </c>
      <c r="J58" s="12">
        <v>0</v>
      </c>
    </row>
    <row r="59" spans="2:10" x14ac:dyDescent="0.3">
      <c r="B59" s="11" t="s">
        <v>89</v>
      </c>
      <c r="C59">
        <v>1007</v>
      </c>
      <c r="D59">
        <v>5.5E-2</v>
      </c>
      <c r="E59">
        <v>2.39</v>
      </c>
      <c r="F59" s="13">
        <v>0.11515</v>
      </c>
      <c r="G59">
        <v>105</v>
      </c>
      <c r="H59">
        <v>4</v>
      </c>
      <c r="I59" s="14">
        <v>2.2200000000000001E-2</v>
      </c>
      <c r="J59" s="12">
        <v>9.56</v>
      </c>
    </row>
    <row r="60" spans="2:10" x14ac:dyDescent="0.3">
      <c r="B60" s="11" t="s">
        <v>128</v>
      </c>
      <c r="C60">
        <v>1350</v>
      </c>
      <c r="D60">
        <v>0.37</v>
      </c>
      <c r="E60">
        <v>5.19</v>
      </c>
      <c r="F60" s="13">
        <v>9.3299999999999994E-2</v>
      </c>
      <c r="G60">
        <v>126</v>
      </c>
      <c r="H60">
        <v>9</v>
      </c>
      <c r="I60" s="14">
        <v>7.1399999999999991E-2</v>
      </c>
      <c r="J60" s="12">
        <v>46.74</v>
      </c>
    </row>
    <row r="61" spans="2:10" x14ac:dyDescent="0.3">
      <c r="B61" s="11" t="s">
        <v>129</v>
      </c>
      <c r="C61">
        <v>250</v>
      </c>
      <c r="D61">
        <v>0.6</v>
      </c>
      <c r="E61">
        <v>12.05</v>
      </c>
      <c r="F61" s="13">
        <v>0.08</v>
      </c>
      <c r="G61">
        <v>20</v>
      </c>
      <c r="H61">
        <v>1</v>
      </c>
      <c r="I61" s="14">
        <v>0.05</v>
      </c>
      <c r="J61" s="12">
        <v>12.05</v>
      </c>
    </row>
    <row r="62" spans="2:10" x14ac:dyDescent="0.3">
      <c r="B62" s="11" t="s">
        <v>90</v>
      </c>
      <c r="C62">
        <v>13</v>
      </c>
      <c r="D62" t="e">
        <v>#DIV/0!</v>
      </c>
      <c r="E62" t="e">
        <v>#DIV/0!</v>
      </c>
      <c r="F62" s="13">
        <v>0</v>
      </c>
      <c r="G62">
        <v>0</v>
      </c>
      <c r="H62">
        <v>0</v>
      </c>
      <c r="I62" s="14">
        <v>0</v>
      </c>
      <c r="J62" s="12">
        <v>0</v>
      </c>
    </row>
    <row r="63" spans="2:10" x14ac:dyDescent="0.3">
      <c r="B63" s="11" t="s">
        <v>130</v>
      </c>
      <c r="C63">
        <v>312</v>
      </c>
      <c r="D63">
        <v>0.15</v>
      </c>
      <c r="E63">
        <v>2.87</v>
      </c>
      <c r="F63" s="13">
        <v>6.0899999999999996E-2</v>
      </c>
      <c r="G63">
        <v>19</v>
      </c>
      <c r="H63">
        <v>1</v>
      </c>
      <c r="I63" s="14">
        <v>5.2600000000000001E-2</v>
      </c>
      <c r="J63" s="12">
        <v>2.87</v>
      </c>
    </row>
    <row r="64" spans="2:10" x14ac:dyDescent="0.3">
      <c r="B64" s="11" t="s">
        <v>131</v>
      </c>
      <c r="C64">
        <v>392</v>
      </c>
      <c r="D64">
        <v>0</v>
      </c>
      <c r="E64" t="e">
        <v>#DIV/0!</v>
      </c>
      <c r="F64" s="13">
        <v>4.8499999999999995E-2</v>
      </c>
      <c r="G64">
        <v>19</v>
      </c>
      <c r="H64">
        <v>0</v>
      </c>
      <c r="I64" s="14">
        <v>0</v>
      </c>
      <c r="J64" s="12">
        <v>0</v>
      </c>
    </row>
    <row r="65" spans="2:10" x14ac:dyDescent="0.3">
      <c r="B65" s="11" t="s">
        <v>84</v>
      </c>
      <c r="C65">
        <v>959</v>
      </c>
      <c r="D65">
        <v>1.4999999999999999E-2</v>
      </c>
      <c r="E65">
        <v>1.96</v>
      </c>
      <c r="F65" s="13">
        <v>7.4633333333333329E-2</v>
      </c>
      <c r="G65">
        <v>109</v>
      </c>
      <c r="H65">
        <v>1</v>
      </c>
      <c r="I65" s="14">
        <v>4.7666666666666664E-3</v>
      </c>
      <c r="J65" s="12">
        <v>1.96</v>
      </c>
    </row>
    <row r="66" spans="2:10" x14ac:dyDescent="0.3">
      <c r="B66" s="11" t="s">
        <v>36</v>
      </c>
      <c r="C66">
        <v>271</v>
      </c>
      <c r="D66">
        <v>1.23</v>
      </c>
      <c r="E66">
        <v>7.36</v>
      </c>
      <c r="F66" s="13">
        <v>8.8599999999999998E-2</v>
      </c>
      <c r="G66">
        <v>24</v>
      </c>
      <c r="H66">
        <v>4</v>
      </c>
      <c r="I66" s="14">
        <v>0.16670000000000001</v>
      </c>
      <c r="J66" s="12">
        <v>29.43</v>
      </c>
    </row>
    <row r="67" spans="2:10" x14ac:dyDescent="0.3">
      <c r="B67" s="11" t="s">
        <v>48</v>
      </c>
      <c r="C67">
        <v>530</v>
      </c>
      <c r="D67">
        <v>0.2</v>
      </c>
      <c r="E67">
        <v>3.22</v>
      </c>
      <c r="F67" s="13">
        <v>0.11890000000000001</v>
      </c>
      <c r="G67">
        <v>63</v>
      </c>
      <c r="H67">
        <v>4</v>
      </c>
      <c r="I67" s="14">
        <v>6.3500000000000001E-2</v>
      </c>
      <c r="J67" s="12">
        <v>12.88</v>
      </c>
    </row>
    <row r="68" spans="2:10" x14ac:dyDescent="0.3">
      <c r="B68" s="11" t="s">
        <v>17</v>
      </c>
      <c r="C68">
        <v>3833</v>
      </c>
      <c r="D68">
        <v>0.625</v>
      </c>
      <c r="E68">
        <v>5.1850000000000005</v>
      </c>
      <c r="F68" s="13">
        <v>0.13</v>
      </c>
      <c r="G68">
        <v>484</v>
      </c>
      <c r="H68">
        <v>59</v>
      </c>
      <c r="I68" s="14">
        <v>0.12875</v>
      </c>
      <c r="J68" s="12">
        <v>365.07</v>
      </c>
    </row>
    <row r="69" spans="2:10" x14ac:dyDescent="0.3">
      <c r="B69" s="11" t="s">
        <v>132</v>
      </c>
      <c r="C69">
        <v>0</v>
      </c>
      <c r="D69" t="e">
        <v>#DIV/0!</v>
      </c>
      <c r="E69" t="e">
        <v>#DIV/0!</v>
      </c>
      <c r="F69" s="13">
        <v>0</v>
      </c>
      <c r="G69">
        <v>0</v>
      </c>
      <c r="H69">
        <v>0</v>
      </c>
      <c r="I69" s="14">
        <v>0</v>
      </c>
      <c r="J69" s="12">
        <v>0</v>
      </c>
    </row>
    <row r="70" spans="2:10" x14ac:dyDescent="0.3">
      <c r="B70" s="11" t="s">
        <v>49</v>
      </c>
      <c r="C70">
        <v>584</v>
      </c>
      <c r="D70">
        <v>0.23</v>
      </c>
      <c r="E70">
        <v>2.14</v>
      </c>
      <c r="F70" s="13">
        <v>6.5099999999999991E-2</v>
      </c>
      <c r="G70">
        <v>38</v>
      </c>
      <c r="H70">
        <v>4</v>
      </c>
      <c r="I70" s="14">
        <v>0.10529999999999999</v>
      </c>
      <c r="J70" s="12">
        <v>8.5500000000000007</v>
      </c>
    </row>
    <row r="71" spans="2:10" x14ac:dyDescent="0.3">
      <c r="B71" s="11" t="s">
        <v>133</v>
      </c>
      <c r="C71">
        <v>489</v>
      </c>
      <c r="D71">
        <v>0.05</v>
      </c>
      <c r="E71">
        <v>2.31</v>
      </c>
      <c r="F71" s="13">
        <v>9.6099999999999991E-2</v>
      </c>
      <c r="G71">
        <v>47</v>
      </c>
      <c r="H71">
        <v>1</v>
      </c>
      <c r="I71" s="14">
        <v>2.1299999999999999E-2</v>
      </c>
      <c r="J71" s="12">
        <v>2.31</v>
      </c>
    </row>
    <row r="72" spans="2:10" x14ac:dyDescent="0.3">
      <c r="B72" s="11" t="s">
        <v>134</v>
      </c>
      <c r="C72">
        <v>1145</v>
      </c>
      <c r="D72">
        <v>0.28000000000000003</v>
      </c>
      <c r="E72">
        <v>2.8</v>
      </c>
      <c r="F72" s="13">
        <v>0.12140000000000001</v>
      </c>
      <c r="G72">
        <v>139</v>
      </c>
      <c r="H72">
        <v>14</v>
      </c>
      <c r="I72" s="14">
        <v>0.1007</v>
      </c>
      <c r="J72" s="12">
        <v>39.14</v>
      </c>
    </row>
    <row r="73" spans="2:10" x14ac:dyDescent="0.3">
      <c r="B73" s="11" t="s">
        <v>135</v>
      </c>
      <c r="C73">
        <v>541</v>
      </c>
      <c r="D73">
        <v>0</v>
      </c>
      <c r="E73" t="e">
        <v>#DIV/0!</v>
      </c>
      <c r="F73" s="13">
        <v>4.6199999999999998E-2</v>
      </c>
      <c r="G73">
        <v>25</v>
      </c>
      <c r="H73">
        <v>0</v>
      </c>
      <c r="I73" s="14">
        <v>0</v>
      </c>
      <c r="J73" s="12">
        <v>0</v>
      </c>
    </row>
    <row r="74" spans="2:10" x14ac:dyDescent="0.3">
      <c r="B74" s="11" t="s">
        <v>136</v>
      </c>
      <c r="C74">
        <v>599</v>
      </c>
      <c r="D74">
        <v>0</v>
      </c>
      <c r="E74" t="e">
        <v>#DIV/0!</v>
      </c>
      <c r="F74" s="13">
        <v>4.3400000000000001E-2</v>
      </c>
      <c r="G74">
        <v>26</v>
      </c>
      <c r="H74">
        <v>0</v>
      </c>
      <c r="I74" s="14">
        <v>0</v>
      </c>
      <c r="J74" s="12">
        <v>0</v>
      </c>
    </row>
    <row r="75" spans="2:10" x14ac:dyDescent="0.3">
      <c r="B75" s="11" t="s">
        <v>37</v>
      </c>
      <c r="C75">
        <v>244</v>
      </c>
      <c r="D75">
        <v>0.51</v>
      </c>
      <c r="E75">
        <v>5.87</v>
      </c>
      <c r="F75" s="13">
        <v>0.23769999999999999</v>
      </c>
      <c r="G75">
        <v>58</v>
      </c>
      <c r="H75">
        <v>5</v>
      </c>
      <c r="I75" s="14">
        <v>8.6199999999999999E-2</v>
      </c>
      <c r="J75" s="12">
        <v>29.37</v>
      </c>
    </row>
    <row r="76" spans="2:10" x14ac:dyDescent="0.3">
      <c r="B76" s="11" t="s">
        <v>137</v>
      </c>
      <c r="C76">
        <v>1535</v>
      </c>
      <c r="D76">
        <v>0.05</v>
      </c>
      <c r="E76">
        <v>1.49</v>
      </c>
      <c r="F76" s="13">
        <v>5.5999999999999994E-2</v>
      </c>
      <c r="G76">
        <v>86</v>
      </c>
      <c r="H76">
        <v>3</v>
      </c>
      <c r="I76" s="14">
        <v>3.49E-2</v>
      </c>
      <c r="J76" s="12">
        <v>4.47</v>
      </c>
    </row>
    <row r="77" spans="2:10" x14ac:dyDescent="0.3">
      <c r="B77" s="11" t="s">
        <v>11</v>
      </c>
      <c r="C77">
        <v>14328</v>
      </c>
      <c r="D77">
        <v>0.80438775510204108</v>
      </c>
      <c r="E77">
        <v>10.432162162162161</v>
      </c>
      <c r="F77" s="13">
        <v>5.9646093749999969E-2</v>
      </c>
      <c r="G77">
        <v>1134</v>
      </c>
      <c r="H77">
        <v>102</v>
      </c>
      <c r="I77" s="14">
        <v>5.0439062500000006E-2</v>
      </c>
      <c r="J77" s="12">
        <v>935.83999999999992</v>
      </c>
    </row>
    <row r="78" spans="2:10" x14ac:dyDescent="0.3">
      <c r="B78" s="11" t="s">
        <v>75</v>
      </c>
      <c r="C78">
        <v>1582</v>
      </c>
      <c r="D78">
        <v>0.52500000000000002</v>
      </c>
      <c r="E78">
        <v>6.9859999999999998</v>
      </c>
      <c r="F78" s="13">
        <v>8.5357142857142868E-2</v>
      </c>
      <c r="G78">
        <v>137</v>
      </c>
      <c r="H78">
        <v>11</v>
      </c>
      <c r="I78" s="14">
        <v>7.6985714285714282E-2</v>
      </c>
      <c r="J78" s="12">
        <v>55.670000000000009</v>
      </c>
    </row>
    <row r="79" spans="2:10" x14ac:dyDescent="0.3">
      <c r="B79" s="11" t="s">
        <v>29</v>
      </c>
      <c r="C79">
        <v>1005</v>
      </c>
      <c r="D79">
        <v>0.12</v>
      </c>
      <c r="E79">
        <v>2.06</v>
      </c>
      <c r="F79" s="13">
        <v>0.10550000000000001</v>
      </c>
      <c r="G79">
        <v>106</v>
      </c>
      <c r="H79">
        <v>6</v>
      </c>
      <c r="I79" s="14">
        <v>5.6600000000000004E-2</v>
      </c>
      <c r="J79" s="12">
        <v>12.34</v>
      </c>
    </row>
    <row r="80" spans="2:10" x14ac:dyDescent="0.3">
      <c r="B80" s="11" t="s">
        <v>138</v>
      </c>
      <c r="C80">
        <v>1041</v>
      </c>
      <c r="D80">
        <v>0.2</v>
      </c>
      <c r="E80">
        <v>2.42</v>
      </c>
      <c r="F80" s="13">
        <v>9.5100000000000004E-2</v>
      </c>
      <c r="G80">
        <v>99</v>
      </c>
      <c r="H80">
        <v>8</v>
      </c>
      <c r="I80" s="14">
        <v>8.0799999999999997E-2</v>
      </c>
      <c r="J80" s="12">
        <v>19.329999999999998</v>
      </c>
    </row>
    <row r="81" spans="2:10" x14ac:dyDescent="0.3">
      <c r="B81" s="11" t="s">
        <v>91</v>
      </c>
      <c r="C81">
        <v>750</v>
      </c>
      <c r="D81">
        <v>0.08</v>
      </c>
      <c r="E81">
        <v>2.79</v>
      </c>
      <c r="F81" s="13">
        <v>6.6099999999999992E-2</v>
      </c>
      <c r="G81">
        <v>49</v>
      </c>
      <c r="H81">
        <v>1</v>
      </c>
      <c r="I81" s="14">
        <v>2.9399999999999999E-2</v>
      </c>
      <c r="J81" s="12">
        <v>2.79</v>
      </c>
    </row>
    <row r="82" spans="2:10" x14ac:dyDescent="0.3">
      <c r="B82" s="11" t="s">
        <v>92</v>
      </c>
      <c r="C82">
        <v>148</v>
      </c>
      <c r="D82">
        <v>0.14000000000000001</v>
      </c>
      <c r="E82">
        <v>1.96</v>
      </c>
      <c r="F82" s="13">
        <v>9.06E-2</v>
      </c>
      <c r="G82">
        <v>16</v>
      </c>
      <c r="H82">
        <v>2</v>
      </c>
      <c r="I82" s="14">
        <v>7.145E-2</v>
      </c>
      <c r="J82" s="12">
        <v>3.92</v>
      </c>
    </row>
    <row r="83" spans="2:10" x14ac:dyDescent="0.3">
      <c r="B83" s="11" t="s">
        <v>50</v>
      </c>
      <c r="C83">
        <v>299</v>
      </c>
      <c r="D83">
        <v>0.68</v>
      </c>
      <c r="E83">
        <v>9.33</v>
      </c>
      <c r="F83" s="13">
        <v>0.1371</v>
      </c>
      <c r="G83">
        <v>41</v>
      </c>
      <c r="H83">
        <v>3</v>
      </c>
      <c r="I83" s="14">
        <v>7.3200000000000001E-2</v>
      </c>
      <c r="J83" s="12">
        <v>28</v>
      </c>
    </row>
    <row r="84" spans="2:10" x14ac:dyDescent="0.3">
      <c r="B84" s="11" t="s">
        <v>139</v>
      </c>
      <c r="C84">
        <v>5</v>
      </c>
      <c r="D84" t="e">
        <v>#DIV/0!</v>
      </c>
      <c r="E84" t="e">
        <v>#DIV/0!</v>
      </c>
      <c r="F84" s="13">
        <v>0</v>
      </c>
      <c r="G84">
        <v>0</v>
      </c>
      <c r="H84">
        <v>0</v>
      </c>
      <c r="I84" s="14">
        <v>0</v>
      </c>
      <c r="J84" s="12">
        <v>0</v>
      </c>
    </row>
    <row r="85" spans="2:10" x14ac:dyDescent="0.3">
      <c r="B85" s="11" t="s">
        <v>51</v>
      </c>
      <c r="C85">
        <v>549</v>
      </c>
      <c r="D85">
        <v>0.55000000000000004</v>
      </c>
      <c r="E85">
        <v>6.65</v>
      </c>
      <c r="F85" s="13">
        <v>0.11109999999999999</v>
      </c>
      <c r="G85">
        <v>61</v>
      </c>
      <c r="H85">
        <v>5</v>
      </c>
      <c r="I85" s="14">
        <v>8.199999999999999E-2</v>
      </c>
      <c r="J85" s="12">
        <v>33.270000000000003</v>
      </c>
    </row>
    <row r="86" spans="2:10" x14ac:dyDescent="0.3">
      <c r="B86" s="11" t="s">
        <v>15</v>
      </c>
      <c r="C86">
        <v>3053</v>
      </c>
      <c r="D86">
        <v>1.0880000000000001</v>
      </c>
      <c r="E86">
        <v>5.8639999999999999</v>
      </c>
      <c r="F86" s="13">
        <v>9.5340000000000008E-2</v>
      </c>
      <c r="G86">
        <v>295</v>
      </c>
      <c r="H86">
        <v>53</v>
      </c>
      <c r="I86" s="14">
        <v>0.20630000000000001</v>
      </c>
      <c r="J86" s="12">
        <v>306.99</v>
      </c>
    </row>
    <row r="87" spans="2:10" x14ac:dyDescent="0.3">
      <c r="B87" s="11" t="s">
        <v>140</v>
      </c>
      <c r="C87">
        <v>947</v>
      </c>
      <c r="D87">
        <v>0.18</v>
      </c>
      <c r="E87">
        <v>2.69</v>
      </c>
      <c r="F87" s="13">
        <v>3.1699999999999999E-2</v>
      </c>
      <c r="G87">
        <v>30</v>
      </c>
      <c r="H87">
        <v>2</v>
      </c>
      <c r="I87" s="14">
        <v>6.6699999999999995E-2</v>
      </c>
      <c r="J87" s="12">
        <v>5.38</v>
      </c>
    </row>
    <row r="88" spans="2:10" x14ac:dyDescent="0.3">
      <c r="B88" s="11" t="s">
        <v>52</v>
      </c>
      <c r="C88">
        <v>90</v>
      </c>
      <c r="D88">
        <v>2.0699999999999998</v>
      </c>
      <c r="E88">
        <v>12.43</v>
      </c>
      <c r="F88" s="13">
        <v>6.6699999999999995E-2</v>
      </c>
      <c r="G88">
        <v>6</v>
      </c>
      <c r="H88">
        <v>1</v>
      </c>
      <c r="I88" s="14">
        <v>0.16670000000000001</v>
      </c>
      <c r="J88" s="12">
        <v>12.43</v>
      </c>
    </row>
    <row r="89" spans="2:10" x14ac:dyDescent="0.3">
      <c r="B89" s="11" t="s">
        <v>141</v>
      </c>
      <c r="C89">
        <v>0</v>
      </c>
      <c r="D89" t="e">
        <v>#DIV/0!</v>
      </c>
      <c r="E89" t="e">
        <v>#DIV/0!</v>
      </c>
      <c r="F89" s="13">
        <v>0</v>
      </c>
      <c r="G89">
        <v>0</v>
      </c>
      <c r="H89">
        <v>0</v>
      </c>
      <c r="I89" s="14">
        <v>0</v>
      </c>
      <c r="J89" s="12">
        <v>0</v>
      </c>
    </row>
    <row r="90" spans="2:10" x14ac:dyDescent="0.3">
      <c r="B90" s="11" t="s">
        <v>142</v>
      </c>
      <c r="C90">
        <v>78</v>
      </c>
      <c r="D90">
        <v>0</v>
      </c>
      <c r="E90" t="e">
        <v>#DIV/0!</v>
      </c>
      <c r="F90" s="13">
        <v>3.85E-2</v>
      </c>
      <c r="G90">
        <v>3</v>
      </c>
      <c r="H90">
        <v>0</v>
      </c>
      <c r="I90" s="14">
        <v>0</v>
      </c>
      <c r="J90" s="12">
        <v>0</v>
      </c>
    </row>
    <row r="91" spans="2:10" x14ac:dyDescent="0.3">
      <c r="B91" s="11" t="s">
        <v>60</v>
      </c>
      <c r="C91">
        <v>2079</v>
      </c>
      <c r="D91">
        <v>0.13500000000000001</v>
      </c>
      <c r="E91">
        <v>7.26</v>
      </c>
      <c r="F91" s="13">
        <v>6.6700000000000009E-2</v>
      </c>
      <c r="G91">
        <v>145</v>
      </c>
      <c r="H91">
        <v>4</v>
      </c>
      <c r="I91" s="14">
        <v>1.8700000000000001E-2</v>
      </c>
      <c r="J91" s="12">
        <v>29.02</v>
      </c>
    </row>
    <row r="92" spans="2:10" x14ac:dyDescent="0.3">
      <c r="B92" s="11" t="s">
        <v>143</v>
      </c>
      <c r="C92">
        <v>0</v>
      </c>
      <c r="D92" t="e">
        <v>#DIV/0!</v>
      </c>
      <c r="E92" t="e">
        <v>#DIV/0!</v>
      </c>
      <c r="F92" s="13">
        <v>0</v>
      </c>
      <c r="G92">
        <v>0</v>
      </c>
      <c r="H92">
        <v>0</v>
      </c>
      <c r="I92" s="14">
        <v>0</v>
      </c>
      <c r="J92" s="12">
        <v>0</v>
      </c>
    </row>
    <row r="93" spans="2:10" x14ac:dyDescent="0.3">
      <c r="B93" s="11" t="s">
        <v>85</v>
      </c>
      <c r="C93">
        <v>228</v>
      </c>
      <c r="D93">
        <v>1.04</v>
      </c>
      <c r="E93">
        <v>10.035</v>
      </c>
      <c r="F93" s="13">
        <v>8.0399999999999999E-2</v>
      </c>
      <c r="G93">
        <v>27</v>
      </c>
      <c r="H93">
        <v>3</v>
      </c>
      <c r="I93" s="14">
        <v>7.506666666666667E-2</v>
      </c>
      <c r="J93" s="12">
        <v>27.86</v>
      </c>
    </row>
    <row r="94" spans="2:10" x14ac:dyDescent="0.3">
      <c r="B94" s="11" t="s">
        <v>144</v>
      </c>
      <c r="C94">
        <v>183</v>
      </c>
      <c r="D94">
        <v>0.79</v>
      </c>
      <c r="E94">
        <v>11.03</v>
      </c>
      <c r="F94" s="13">
        <v>7.6499999999999999E-2</v>
      </c>
      <c r="G94">
        <v>14</v>
      </c>
      <c r="H94">
        <v>1</v>
      </c>
      <c r="I94" s="14">
        <v>7.1399999999999991E-2</v>
      </c>
      <c r="J94" s="12">
        <v>11.03</v>
      </c>
    </row>
    <row r="95" spans="2:10" x14ac:dyDescent="0.3">
      <c r="B95" s="11" t="s">
        <v>61</v>
      </c>
      <c r="C95">
        <v>424</v>
      </c>
      <c r="D95">
        <v>0.91999999999999993</v>
      </c>
      <c r="E95">
        <v>5.2850000000000001</v>
      </c>
      <c r="F95" s="13">
        <v>9.7049999999999997E-2</v>
      </c>
      <c r="G95">
        <v>39</v>
      </c>
      <c r="H95">
        <v>7</v>
      </c>
      <c r="I95" s="14">
        <v>0.17244999999999999</v>
      </c>
      <c r="J95" s="12">
        <v>37.54</v>
      </c>
    </row>
    <row r="96" spans="2:10" x14ac:dyDescent="0.3">
      <c r="B96" s="11" t="s">
        <v>70</v>
      </c>
      <c r="C96">
        <v>589</v>
      </c>
      <c r="D96">
        <v>0.09</v>
      </c>
      <c r="E96">
        <v>7.1</v>
      </c>
      <c r="F96" s="13">
        <v>6.275E-2</v>
      </c>
      <c r="G96">
        <v>36</v>
      </c>
      <c r="H96">
        <v>1</v>
      </c>
      <c r="I96" s="14">
        <v>1.2500000000000001E-2</v>
      </c>
      <c r="J96" s="12">
        <v>7.1</v>
      </c>
    </row>
    <row r="97" spans="2:10" x14ac:dyDescent="0.3">
      <c r="B97" s="11" t="s">
        <v>145</v>
      </c>
      <c r="C97">
        <v>728</v>
      </c>
      <c r="D97">
        <v>0.26</v>
      </c>
      <c r="E97">
        <v>1.53</v>
      </c>
      <c r="F97" s="13">
        <v>7.9699999999999993E-2</v>
      </c>
      <c r="G97">
        <v>58</v>
      </c>
      <c r="H97">
        <v>10</v>
      </c>
      <c r="I97" s="14">
        <v>0.1724</v>
      </c>
      <c r="J97" s="12">
        <v>15.3</v>
      </c>
    </row>
    <row r="98" spans="2:10" x14ac:dyDescent="0.3">
      <c r="B98" s="11" t="s">
        <v>146</v>
      </c>
      <c r="C98">
        <v>0</v>
      </c>
      <c r="D98" t="e">
        <v>#DIV/0!</v>
      </c>
      <c r="E98" t="e">
        <v>#DIV/0!</v>
      </c>
      <c r="F98" s="13">
        <v>0</v>
      </c>
      <c r="G98">
        <v>0</v>
      </c>
      <c r="H98">
        <v>0</v>
      </c>
      <c r="I98" s="14">
        <v>0</v>
      </c>
      <c r="J98" s="12">
        <v>0</v>
      </c>
    </row>
    <row r="99" spans="2:10" x14ac:dyDescent="0.3">
      <c r="B99" s="11" t="s">
        <v>147</v>
      </c>
      <c r="C99">
        <v>363</v>
      </c>
      <c r="D99">
        <v>0.65</v>
      </c>
      <c r="E99">
        <v>5.59</v>
      </c>
      <c r="F99" s="13">
        <v>7.1599999999999997E-2</v>
      </c>
      <c r="G99">
        <v>26</v>
      </c>
      <c r="H99">
        <v>3</v>
      </c>
      <c r="I99" s="14">
        <v>0.11539999999999999</v>
      </c>
      <c r="J99" s="12">
        <v>16.78</v>
      </c>
    </row>
    <row r="100" spans="2:10" x14ac:dyDescent="0.3">
      <c r="B100" s="11" t="s">
        <v>93</v>
      </c>
      <c r="C100">
        <v>34</v>
      </c>
      <c r="D100">
        <v>0</v>
      </c>
      <c r="E100" t="e">
        <v>#DIV/0!</v>
      </c>
      <c r="F100" s="13">
        <v>0.11905</v>
      </c>
      <c r="G100">
        <v>3</v>
      </c>
      <c r="H100">
        <v>0</v>
      </c>
      <c r="I100" s="14">
        <v>0</v>
      </c>
      <c r="J100" s="12">
        <v>0</v>
      </c>
    </row>
    <row r="101" spans="2:10" x14ac:dyDescent="0.3">
      <c r="B101" s="11" t="s">
        <v>82</v>
      </c>
      <c r="C101">
        <v>1073</v>
      </c>
      <c r="D101">
        <v>0.20499999999999999</v>
      </c>
      <c r="E101">
        <v>4.07</v>
      </c>
      <c r="F101" s="13">
        <v>0.10499999999999998</v>
      </c>
      <c r="G101">
        <v>126</v>
      </c>
      <c r="H101">
        <v>8</v>
      </c>
      <c r="I101" s="14">
        <v>5.5974999999999997E-2</v>
      </c>
      <c r="J101" s="12">
        <v>33.68</v>
      </c>
    </row>
    <row r="102" spans="2:10" x14ac:dyDescent="0.3">
      <c r="B102" s="11" t="s">
        <v>148</v>
      </c>
      <c r="C102">
        <v>131</v>
      </c>
      <c r="D102">
        <v>0</v>
      </c>
      <c r="E102" t="e">
        <v>#DIV/0!</v>
      </c>
      <c r="F102" s="13">
        <v>4.58E-2</v>
      </c>
      <c r="G102">
        <v>6</v>
      </c>
      <c r="H102">
        <v>0</v>
      </c>
      <c r="I102" s="14">
        <v>0</v>
      </c>
      <c r="J102" s="12">
        <v>0</v>
      </c>
    </row>
    <row r="103" spans="2:10" x14ac:dyDescent="0.3">
      <c r="B103" s="11" t="s">
        <v>149</v>
      </c>
      <c r="C103">
        <v>37</v>
      </c>
      <c r="D103" t="e">
        <v>#DIV/0!</v>
      </c>
      <c r="E103" t="e">
        <v>#DIV/0!</v>
      </c>
      <c r="F103" s="13">
        <v>0</v>
      </c>
      <c r="G103">
        <v>0</v>
      </c>
      <c r="H103">
        <v>0</v>
      </c>
      <c r="I103" s="14">
        <v>0</v>
      </c>
      <c r="J103" s="12">
        <v>0</v>
      </c>
    </row>
    <row r="104" spans="2:10" x14ac:dyDescent="0.3">
      <c r="B104" s="11" t="s">
        <v>94</v>
      </c>
      <c r="C104">
        <v>593</v>
      </c>
      <c r="D104">
        <v>0.23</v>
      </c>
      <c r="E104">
        <v>3.46</v>
      </c>
      <c r="F104" s="13">
        <v>6.1900000000000004E-2</v>
      </c>
      <c r="G104">
        <v>37</v>
      </c>
      <c r="H104">
        <v>2</v>
      </c>
      <c r="I104" s="14">
        <v>6.6650000000000001E-2</v>
      </c>
      <c r="J104" s="12">
        <v>6.92</v>
      </c>
    </row>
    <row r="105" spans="2:10" x14ac:dyDescent="0.3">
      <c r="B105" s="11" t="s">
        <v>21</v>
      </c>
      <c r="C105">
        <v>1940</v>
      </c>
      <c r="D105">
        <v>2.2916666666666665</v>
      </c>
      <c r="E105">
        <v>8.288333333333334</v>
      </c>
      <c r="F105" s="13">
        <v>9.3066666666666673E-2</v>
      </c>
      <c r="G105">
        <v>179</v>
      </c>
      <c r="H105">
        <v>13</v>
      </c>
      <c r="I105" s="14">
        <v>0.25114999999999998</v>
      </c>
      <c r="J105" s="12">
        <v>97.59</v>
      </c>
    </row>
    <row r="106" spans="2:10" x14ac:dyDescent="0.3">
      <c r="B106" s="11" t="s">
        <v>150</v>
      </c>
      <c r="C106">
        <v>4078</v>
      </c>
      <c r="D106">
        <v>0.28999999999999998</v>
      </c>
      <c r="E106">
        <v>5.08</v>
      </c>
      <c r="F106" s="13">
        <v>6.4500000000000002E-2</v>
      </c>
      <c r="G106">
        <v>263</v>
      </c>
      <c r="H106">
        <v>15</v>
      </c>
      <c r="I106" s="14">
        <v>5.7000000000000002E-2</v>
      </c>
      <c r="J106" s="12">
        <v>76.260000000000005</v>
      </c>
    </row>
    <row r="107" spans="2:10" x14ac:dyDescent="0.3">
      <c r="B107" s="11" t="s">
        <v>53</v>
      </c>
      <c r="C107">
        <v>664</v>
      </c>
      <c r="D107">
        <v>0.05</v>
      </c>
      <c r="E107">
        <v>1.76</v>
      </c>
      <c r="F107" s="13">
        <v>0.11449999999999999</v>
      </c>
      <c r="G107">
        <v>76</v>
      </c>
      <c r="H107">
        <v>2</v>
      </c>
      <c r="I107" s="14">
        <v>2.63E-2</v>
      </c>
      <c r="J107" s="12">
        <v>3.51</v>
      </c>
    </row>
    <row r="108" spans="2:10" x14ac:dyDescent="0.3">
      <c r="B108" s="11" t="s">
        <v>95</v>
      </c>
      <c r="C108">
        <v>4349</v>
      </c>
      <c r="D108">
        <v>0.315</v>
      </c>
      <c r="E108">
        <v>3.12</v>
      </c>
      <c r="F108" s="13">
        <v>7.8699999999999992E-2</v>
      </c>
      <c r="G108">
        <v>386</v>
      </c>
      <c r="H108">
        <v>35</v>
      </c>
      <c r="I108" s="14">
        <v>0.1021</v>
      </c>
      <c r="J108" s="12">
        <v>111.83000000000001</v>
      </c>
    </row>
    <row r="109" spans="2:10" x14ac:dyDescent="0.3">
      <c r="B109" s="11" t="s">
        <v>151</v>
      </c>
      <c r="C109">
        <v>299</v>
      </c>
      <c r="D109">
        <v>0</v>
      </c>
      <c r="E109" t="e">
        <v>#DIV/0!</v>
      </c>
      <c r="F109" s="13">
        <v>5.0199999999999995E-2</v>
      </c>
      <c r="G109">
        <v>15</v>
      </c>
      <c r="H109">
        <v>0</v>
      </c>
      <c r="I109" s="14">
        <v>0</v>
      </c>
      <c r="J109" s="12">
        <v>0</v>
      </c>
    </row>
    <row r="110" spans="2:10" x14ac:dyDescent="0.3">
      <c r="B110" s="11" t="s">
        <v>10</v>
      </c>
      <c r="C110">
        <v>4602</v>
      </c>
      <c r="D110">
        <v>0.32</v>
      </c>
      <c r="E110">
        <v>2.4900000000000002</v>
      </c>
      <c r="F110" s="13">
        <v>0.12210000000000001</v>
      </c>
      <c r="G110">
        <v>562</v>
      </c>
      <c r="H110">
        <v>72</v>
      </c>
      <c r="I110" s="14">
        <v>0.12809999999999999</v>
      </c>
      <c r="J110" s="12">
        <v>179.12</v>
      </c>
    </row>
    <row r="111" spans="2:10" x14ac:dyDescent="0.3">
      <c r="B111" s="11" t="s">
        <v>22</v>
      </c>
      <c r="C111">
        <v>13338</v>
      </c>
      <c r="D111">
        <v>0.58947368421052626</v>
      </c>
      <c r="E111">
        <v>10.832142857142856</v>
      </c>
      <c r="F111" s="13">
        <v>6.3378947368421062E-2</v>
      </c>
      <c r="G111">
        <v>928</v>
      </c>
      <c r="H111">
        <v>38</v>
      </c>
      <c r="I111" s="14">
        <v>5.7068421052631567E-2</v>
      </c>
      <c r="J111" s="12">
        <v>430.90000000000009</v>
      </c>
    </row>
    <row r="112" spans="2:10" x14ac:dyDescent="0.3">
      <c r="B112" s="11" t="s">
        <v>9</v>
      </c>
      <c r="C112">
        <v>23883</v>
      </c>
      <c r="D112">
        <v>0.82929487179487182</v>
      </c>
      <c r="E112">
        <v>9.7766666666666655</v>
      </c>
      <c r="F112" s="13">
        <v>6.5749418604651194E-2</v>
      </c>
      <c r="G112">
        <v>1769</v>
      </c>
      <c r="H112">
        <v>130</v>
      </c>
      <c r="I112" s="14">
        <v>7.5127906976744194E-2</v>
      </c>
      <c r="J112" s="12">
        <v>1351.8899999999999</v>
      </c>
    </row>
    <row r="113" spans="2:10" x14ac:dyDescent="0.3">
      <c r="B113" s="11" t="s">
        <v>38</v>
      </c>
      <c r="C113">
        <v>630</v>
      </c>
      <c r="D113">
        <v>0.25</v>
      </c>
      <c r="E113">
        <v>2.21</v>
      </c>
      <c r="F113" s="13">
        <v>5.7099999999999998E-2</v>
      </c>
      <c r="G113">
        <v>36</v>
      </c>
      <c r="H113">
        <v>4</v>
      </c>
      <c r="I113" s="14">
        <v>0.11109999999999999</v>
      </c>
      <c r="J113" s="12">
        <v>8.84</v>
      </c>
    </row>
    <row r="114" spans="2:10" x14ac:dyDescent="0.3">
      <c r="B114" s="11" t="s">
        <v>8</v>
      </c>
      <c r="C114">
        <v>25669</v>
      </c>
      <c r="D114">
        <v>0.62639999999999996</v>
      </c>
      <c r="E114">
        <v>7.6161111111111115</v>
      </c>
      <c r="F114" s="13">
        <v>7.8549999999999995E-2</v>
      </c>
      <c r="G114">
        <v>2466</v>
      </c>
      <c r="H114">
        <v>158</v>
      </c>
      <c r="I114" s="14">
        <v>6.9665384615384615E-2</v>
      </c>
      <c r="J114" s="12">
        <v>1090.6500000000001</v>
      </c>
    </row>
    <row r="115" spans="2:10" x14ac:dyDescent="0.3">
      <c r="B115" s="11" t="s">
        <v>96</v>
      </c>
      <c r="C115">
        <v>288</v>
      </c>
      <c r="D115">
        <v>0.42499999999999999</v>
      </c>
      <c r="E115">
        <v>5.97</v>
      </c>
      <c r="F115" s="13">
        <v>7.8949999999999992E-2</v>
      </c>
      <c r="G115">
        <v>23</v>
      </c>
      <c r="H115">
        <v>2</v>
      </c>
      <c r="I115" s="14">
        <v>7.145E-2</v>
      </c>
      <c r="J115" s="12">
        <v>11.94</v>
      </c>
    </row>
    <row r="116" spans="2:10" x14ac:dyDescent="0.3">
      <c r="B116" s="11" t="s">
        <v>42</v>
      </c>
      <c r="C116">
        <v>4917</v>
      </c>
      <c r="D116">
        <v>0.63888888888888884</v>
      </c>
      <c r="E116">
        <v>10.255833333333333</v>
      </c>
      <c r="F116" s="13">
        <v>5.1240816326530624E-2</v>
      </c>
      <c r="G116">
        <v>249</v>
      </c>
      <c r="H116">
        <v>16</v>
      </c>
      <c r="I116" s="14">
        <v>5.3834693877551021E-2</v>
      </c>
      <c r="J116" s="12">
        <v>159.41999999999999</v>
      </c>
    </row>
    <row r="117" spans="2:10" x14ac:dyDescent="0.3">
      <c r="B117" s="11" t="s">
        <v>27</v>
      </c>
      <c r="C117">
        <v>23038</v>
      </c>
      <c r="D117">
        <v>0.12333333333333334</v>
      </c>
      <c r="E117">
        <v>7.7439999999999998</v>
      </c>
      <c r="F117" s="13">
        <v>0.12728333333333333</v>
      </c>
      <c r="G117">
        <v>1932</v>
      </c>
      <c r="H117">
        <v>32</v>
      </c>
      <c r="I117" s="14">
        <v>1.0333333333333335E-2</v>
      </c>
      <c r="J117" s="12">
        <v>377.39000000000004</v>
      </c>
    </row>
    <row r="118" spans="2:10" x14ac:dyDescent="0.3">
      <c r="B118" s="11" t="s">
        <v>77</v>
      </c>
      <c r="C118">
        <v>2180</v>
      </c>
      <c r="D118">
        <v>1.7241666666666664</v>
      </c>
      <c r="E118">
        <v>13.6525</v>
      </c>
      <c r="F118" s="13">
        <v>4.3660714285714289E-2</v>
      </c>
      <c r="G118">
        <v>79</v>
      </c>
      <c r="H118">
        <v>4</v>
      </c>
      <c r="I118" s="14">
        <v>7.5892857142857137E-2</v>
      </c>
      <c r="J118" s="12">
        <v>54.61</v>
      </c>
    </row>
    <row r="119" spans="2:10" x14ac:dyDescent="0.3">
      <c r="B119" s="11" t="s">
        <v>20</v>
      </c>
      <c r="C119">
        <v>4422</v>
      </c>
      <c r="D119">
        <v>0.21666666666666665</v>
      </c>
      <c r="E119">
        <v>5.5049999999999999</v>
      </c>
      <c r="F119" s="13">
        <v>0.16016666666666665</v>
      </c>
      <c r="G119">
        <v>447</v>
      </c>
      <c r="H119">
        <v>22</v>
      </c>
      <c r="I119" s="14">
        <v>5.0833333333333335E-2</v>
      </c>
      <c r="J119" s="12">
        <v>179.2</v>
      </c>
    </row>
    <row r="120" spans="2:10" x14ac:dyDescent="0.3">
      <c r="B120" s="11" t="s">
        <v>152</v>
      </c>
      <c r="C120">
        <v>17</v>
      </c>
      <c r="D120">
        <v>3.62</v>
      </c>
      <c r="E120">
        <v>7.24</v>
      </c>
      <c r="F120" s="13">
        <v>0.1176</v>
      </c>
      <c r="G120">
        <v>2</v>
      </c>
      <c r="H120">
        <v>1</v>
      </c>
      <c r="I120" s="14">
        <v>0.5</v>
      </c>
      <c r="J120" s="12">
        <v>7.24</v>
      </c>
    </row>
    <row r="121" spans="2:10" x14ac:dyDescent="0.3">
      <c r="B121" s="11" t="s">
        <v>153</v>
      </c>
      <c r="C121">
        <v>146</v>
      </c>
      <c r="D121">
        <v>0.45</v>
      </c>
      <c r="E121">
        <v>2.97</v>
      </c>
      <c r="F121" s="13">
        <v>0.13699999999999998</v>
      </c>
      <c r="G121">
        <v>20</v>
      </c>
      <c r="H121">
        <v>3</v>
      </c>
      <c r="I121" s="14">
        <v>0.15</v>
      </c>
      <c r="J121" s="12">
        <v>8.91</v>
      </c>
    </row>
    <row r="122" spans="2:10" x14ac:dyDescent="0.3">
      <c r="B122" s="11" t="s">
        <v>154</v>
      </c>
      <c r="C122">
        <v>645</v>
      </c>
      <c r="D122">
        <v>0</v>
      </c>
      <c r="E122" t="e">
        <v>#DIV/0!</v>
      </c>
      <c r="F122" s="13">
        <v>3.1E-2</v>
      </c>
      <c r="G122">
        <v>20</v>
      </c>
      <c r="H122">
        <v>0</v>
      </c>
      <c r="I122" s="14">
        <v>0</v>
      </c>
      <c r="J122" s="12">
        <v>0</v>
      </c>
    </row>
    <row r="123" spans="2:10" x14ac:dyDescent="0.3">
      <c r="B123" s="11" t="s">
        <v>97</v>
      </c>
      <c r="C123">
        <v>605</v>
      </c>
      <c r="D123">
        <v>0</v>
      </c>
      <c r="E123" t="e">
        <v>#DIV/0!</v>
      </c>
      <c r="F123" s="13">
        <v>2.29E-2</v>
      </c>
      <c r="G123">
        <v>15</v>
      </c>
      <c r="H123">
        <v>0</v>
      </c>
      <c r="I123" s="14">
        <v>0</v>
      </c>
      <c r="J123" s="12">
        <v>0</v>
      </c>
    </row>
    <row r="124" spans="2:10" x14ac:dyDescent="0.3">
      <c r="B124" s="11" t="s">
        <v>155</v>
      </c>
      <c r="C124">
        <v>271</v>
      </c>
      <c r="D124">
        <v>0.4</v>
      </c>
      <c r="E124">
        <v>2.37</v>
      </c>
      <c r="F124" s="13">
        <v>6.6400000000000001E-2</v>
      </c>
      <c r="G124">
        <v>18</v>
      </c>
      <c r="H124">
        <v>3</v>
      </c>
      <c r="I124" s="14">
        <v>0.16670000000000001</v>
      </c>
      <c r="J124" s="12">
        <v>7.12</v>
      </c>
    </row>
    <row r="125" spans="2:10" x14ac:dyDescent="0.3">
      <c r="B125" s="11" t="s">
        <v>62</v>
      </c>
      <c r="C125">
        <v>194</v>
      </c>
      <c r="D125">
        <v>9.65</v>
      </c>
      <c r="E125">
        <v>173.74</v>
      </c>
      <c r="F125" s="13">
        <v>8.2699999999999996E-2</v>
      </c>
      <c r="G125">
        <v>13</v>
      </c>
      <c r="H125">
        <v>1</v>
      </c>
      <c r="I125" s="14">
        <v>5.5549999999999995E-2</v>
      </c>
      <c r="J125" s="12">
        <v>173.74</v>
      </c>
    </row>
    <row r="126" spans="2:10" x14ac:dyDescent="0.3">
      <c r="B126" s="11" t="s">
        <v>54</v>
      </c>
      <c r="C126">
        <v>409</v>
      </c>
      <c r="D126">
        <v>0.67</v>
      </c>
      <c r="E126">
        <v>7.36</v>
      </c>
      <c r="F126" s="13">
        <v>0.1076</v>
      </c>
      <c r="G126">
        <v>44</v>
      </c>
      <c r="H126">
        <v>4</v>
      </c>
      <c r="I126" s="14">
        <v>9.0899999999999995E-2</v>
      </c>
      <c r="J126" s="12">
        <v>29.43</v>
      </c>
    </row>
    <row r="127" spans="2:10" x14ac:dyDescent="0.3">
      <c r="B127" s="11" t="s">
        <v>156</v>
      </c>
      <c r="C127">
        <v>0</v>
      </c>
      <c r="D127" t="e">
        <v>#DIV/0!</v>
      </c>
      <c r="E127" t="e">
        <v>#DIV/0!</v>
      </c>
      <c r="F127" s="13">
        <v>0</v>
      </c>
      <c r="G127">
        <v>0</v>
      </c>
      <c r="H127">
        <v>0</v>
      </c>
      <c r="I127" s="14">
        <v>0</v>
      </c>
      <c r="J127" s="12">
        <v>0</v>
      </c>
    </row>
    <row r="128" spans="2:10" x14ac:dyDescent="0.3">
      <c r="B128" s="11" t="s">
        <v>157</v>
      </c>
      <c r="C128">
        <v>184</v>
      </c>
      <c r="D128">
        <v>1.26</v>
      </c>
      <c r="E128">
        <v>6.91</v>
      </c>
      <c r="F128" s="13">
        <v>5.9800000000000006E-2</v>
      </c>
      <c r="G128">
        <v>11</v>
      </c>
      <c r="H128">
        <v>2</v>
      </c>
      <c r="I128" s="14">
        <v>0.18179999999999999</v>
      </c>
      <c r="J128" s="12">
        <v>13.81</v>
      </c>
    </row>
    <row r="129" spans="2:10" x14ac:dyDescent="0.3">
      <c r="B129" s="11" t="s">
        <v>55</v>
      </c>
      <c r="C129">
        <v>301</v>
      </c>
      <c r="D129">
        <v>0.59</v>
      </c>
      <c r="E129">
        <v>10.53</v>
      </c>
      <c r="F129" s="13">
        <v>5.9800000000000006E-2</v>
      </c>
      <c r="G129">
        <v>18</v>
      </c>
      <c r="H129">
        <v>1</v>
      </c>
      <c r="I129" s="14">
        <v>5.5599999999999997E-2</v>
      </c>
      <c r="J129" s="12">
        <v>10.53</v>
      </c>
    </row>
    <row r="130" spans="2:10" x14ac:dyDescent="0.3">
      <c r="B130" s="11" t="s">
        <v>158</v>
      </c>
      <c r="C130">
        <v>612</v>
      </c>
      <c r="D130">
        <v>0.57999999999999996</v>
      </c>
      <c r="E130">
        <v>5.34</v>
      </c>
      <c r="F130" s="13">
        <v>6.0499999999999998E-2</v>
      </c>
      <c r="G130">
        <v>37</v>
      </c>
      <c r="H130">
        <v>4</v>
      </c>
      <c r="I130" s="14">
        <v>0.1081</v>
      </c>
      <c r="J130" s="12">
        <v>21.36</v>
      </c>
    </row>
    <row r="131" spans="2:10" x14ac:dyDescent="0.3">
      <c r="B131" s="11" t="s">
        <v>41</v>
      </c>
      <c r="C131">
        <v>5478</v>
      </c>
      <c r="D131">
        <v>0.27</v>
      </c>
      <c r="E131">
        <v>5.6775000000000002</v>
      </c>
      <c r="F131" s="13">
        <v>7.8108333333333335E-2</v>
      </c>
      <c r="G131">
        <v>492</v>
      </c>
      <c r="H131">
        <v>43</v>
      </c>
      <c r="I131" s="14">
        <v>5.2633333333333338E-2</v>
      </c>
      <c r="J131" s="12">
        <v>161.03</v>
      </c>
    </row>
    <row r="132" spans="2:10" x14ac:dyDescent="0.3">
      <c r="B132" s="11" t="s">
        <v>56</v>
      </c>
      <c r="C132">
        <v>276</v>
      </c>
      <c r="D132">
        <v>0.32</v>
      </c>
      <c r="E132">
        <v>3.36</v>
      </c>
      <c r="F132" s="13">
        <v>7.6100000000000001E-2</v>
      </c>
      <c r="G132">
        <v>21</v>
      </c>
      <c r="H132">
        <v>2</v>
      </c>
      <c r="I132" s="14">
        <v>9.5199999999999993E-2</v>
      </c>
      <c r="J132" s="12">
        <v>6.72</v>
      </c>
    </row>
    <row r="133" spans="2:10" x14ac:dyDescent="0.3">
      <c r="B133" s="11" t="s">
        <v>63</v>
      </c>
      <c r="C133">
        <v>2586</v>
      </c>
      <c r="D133">
        <v>0.245</v>
      </c>
      <c r="E133">
        <v>4.8599999999999994</v>
      </c>
      <c r="F133" s="13">
        <v>9.06E-2</v>
      </c>
      <c r="G133">
        <v>268</v>
      </c>
      <c r="H133">
        <v>15</v>
      </c>
      <c r="I133" s="14">
        <v>5.135E-2</v>
      </c>
      <c r="J133" s="12">
        <v>64.91</v>
      </c>
    </row>
    <row r="134" spans="2:10" x14ac:dyDescent="0.3">
      <c r="B134" s="11" t="s">
        <v>7</v>
      </c>
      <c r="C134">
        <v>7598</v>
      </c>
      <c r="D134">
        <v>1.08</v>
      </c>
      <c r="E134">
        <v>6.2450000000000001</v>
      </c>
      <c r="F134" s="13">
        <v>0.11856666666666667</v>
      </c>
      <c r="G134">
        <v>908</v>
      </c>
      <c r="H134">
        <v>157</v>
      </c>
      <c r="I134" s="14">
        <v>0.17715</v>
      </c>
      <c r="J134" s="12">
        <v>1166.2199999999998</v>
      </c>
    </row>
    <row r="135" spans="2:10" x14ac:dyDescent="0.3">
      <c r="B135" s="11" t="s">
        <v>159</v>
      </c>
      <c r="C135">
        <v>175</v>
      </c>
      <c r="D135">
        <v>0</v>
      </c>
      <c r="E135" t="e">
        <v>#DIV/0!</v>
      </c>
      <c r="F135" s="13">
        <v>0.08</v>
      </c>
      <c r="G135">
        <v>14</v>
      </c>
      <c r="H135">
        <v>0</v>
      </c>
      <c r="I135" s="14">
        <v>0</v>
      </c>
      <c r="J135" s="12">
        <v>0</v>
      </c>
    </row>
    <row r="136" spans="2:10" x14ac:dyDescent="0.3">
      <c r="B136" s="11" t="s">
        <v>160</v>
      </c>
      <c r="C136">
        <v>479</v>
      </c>
      <c r="D136">
        <v>0.15</v>
      </c>
      <c r="E136">
        <v>4.4400000000000004</v>
      </c>
      <c r="F136" s="13">
        <v>6.0499999999999998E-2</v>
      </c>
      <c r="G136">
        <v>29</v>
      </c>
      <c r="H136">
        <v>1</v>
      </c>
      <c r="I136" s="14">
        <v>3.4500000000000003E-2</v>
      </c>
      <c r="J136" s="12">
        <v>4.4400000000000004</v>
      </c>
    </row>
    <row r="137" spans="2:10" x14ac:dyDescent="0.3">
      <c r="B137" s="11" t="s">
        <v>30</v>
      </c>
      <c r="C137">
        <v>312</v>
      </c>
      <c r="D137">
        <v>0.45</v>
      </c>
      <c r="E137">
        <v>2.77</v>
      </c>
      <c r="F137" s="13">
        <v>0.13780000000000001</v>
      </c>
      <c r="G137">
        <v>43</v>
      </c>
      <c r="H137">
        <v>7</v>
      </c>
      <c r="I137" s="14">
        <v>0.1628</v>
      </c>
      <c r="J137" s="12">
        <v>19.420000000000002</v>
      </c>
    </row>
    <row r="138" spans="2:10" x14ac:dyDescent="0.3">
      <c r="B138" s="11" t="s">
        <v>14</v>
      </c>
      <c r="C138">
        <v>6252</v>
      </c>
      <c r="D138">
        <v>0.28500000000000003</v>
      </c>
      <c r="E138">
        <v>3.4049999999999998</v>
      </c>
      <c r="F138" s="13">
        <v>9.2799999999999994E-2</v>
      </c>
      <c r="G138">
        <v>589</v>
      </c>
      <c r="H138">
        <v>62</v>
      </c>
      <c r="I138" s="14">
        <v>9.6949999999999995E-2</v>
      </c>
      <c r="J138" s="12">
        <v>167.81</v>
      </c>
    </row>
    <row r="139" spans="2:10" x14ac:dyDescent="0.3">
      <c r="B139" s="11" t="s">
        <v>12</v>
      </c>
      <c r="C139">
        <v>7278</v>
      </c>
      <c r="D139">
        <v>0.32333333333333331</v>
      </c>
      <c r="E139">
        <v>4.0366666666666662</v>
      </c>
      <c r="F139" s="13">
        <v>0.10133333333333333</v>
      </c>
      <c r="G139">
        <v>736</v>
      </c>
      <c r="H139">
        <v>66</v>
      </c>
      <c r="I139" s="14">
        <v>8.6199999999999999E-2</v>
      </c>
      <c r="J139" s="12">
        <v>240.39</v>
      </c>
    </row>
    <row r="140" spans="2:10" x14ac:dyDescent="0.3">
      <c r="B140" s="11" t="s">
        <v>32</v>
      </c>
      <c r="C140">
        <v>1326</v>
      </c>
      <c r="D140">
        <v>0.76500000000000001</v>
      </c>
      <c r="E140">
        <v>8.1750000000000007</v>
      </c>
      <c r="F140" s="13">
        <v>8.2900000000000001E-2</v>
      </c>
      <c r="G140">
        <v>113</v>
      </c>
      <c r="H140">
        <v>10</v>
      </c>
      <c r="I140" s="14">
        <v>0.10045</v>
      </c>
      <c r="J140" s="12">
        <v>81.77</v>
      </c>
    </row>
    <row r="141" spans="2:10" x14ac:dyDescent="0.3">
      <c r="B141" s="11" t="s">
        <v>66</v>
      </c>
      <c r="C141">
        <v>1227</v>
      </c>
      <c r="D141">
        <v>0.29333333333333333</v>
      </c>
      <c r="E141">
        <v>6.05</v>
      </c>
      <c r="F141" s="13">
        <v>8.3566666666666678E-2</v>
      </c>
      <c r="G141">
        <v>102</v>
      </c>
      <c r="H141">
        <v>5</v>
      </c>
      <c r="I141" s="14">
        <v>5.5766666666666659E-2</v>
      </c>
      <c r="J141" s="12">
        <v>25.96</v>
      </c>
    </row>
    <row r="142" spans="2:10" x14ac:dyDescent="0.3">
      <c r="B142" s="11" t="s">
        <v>78</v>
      </c>
      <c r="C142">
        <v>2024</v>
      </c>
      <c r="D142">
        <v>4.1357142857142861</v>
      </c>
      <c r="E142">
        <v>33.056666666666665</v>
      </c>
      <c r="F142" s="13">
        <v>7.3112500000000011E-2</v>
      </c>
      <c r="G142">
        <v>147</v>
      </c>
      <c r="H142">
        <v>9</v>
      </c>
      <c r="I142" s="14">
        <v>5.8037499999999992E-2</v>
      </c>
      <c r="J142" s="12">
        <v>116.99</v>
      </c>
    </row>
    <row r="143" spans="2:10" x14ac:dyDescent="0.3">
      <c r="B143" s="11" t="s">
        <v>161</v>
      </c>
      <c r="C143">
        <v>477</v>
      </c>
      <c r="D143">
        <v>0.18</v>
      </c>
      <c r="E143">
        <v>14.52</v>
      </c>
      <c r="F143" s="13">
        <v>0.1656</v>
      </c>
      <c r="G143">
        <v>79</v>
      </c>
      <c r="H143">
        <v>1</v>
      </c>
      <c r="I143" s="14">
        <v>1.2699999999999999E-2</v>
      </c>
      <c r="J143" s="12">
        <v>14.52</v>
      </c>
    </row>
    <row r="144" spans="2:10" x14ac:dyDescent="0.3">
      <c r="B144" s="11" t="s">
        <v>26</v>
      </c>
      <c r="C144">
        <v>641</v>
      </c>
      <c r="D144">
        <v>0.26</v>
      </c>
      <c r="E144">
        <v>2.83</v>
      </c>
      <c r="F144" s="13">
        <v>7.8100000000000003E-2</v>
      </c>
      <c r="G144">
        <v>49</v>
      </c>
      <c r="H144">
        <v>4</v>
      </c>
      <c r="I144" s="14">
        <v>7.8299999999999995E-2</v>
      </c>
      <c r="J144" s="12">
        <v>13.569999999999999</v>
      </c>
    </row>
    <row r="145" spans="2:10" x14ac:dyDescent="0.3">
      <c r="B145" s="11" t="s">
        <v>25</v>
      </c>
      <c r="C145">
        <v>2436</v>
      </c>
      <c r="D145">
        <v>0.27</v>
      </c>
      <c r="E145">
        <v>2.48</v>
      </c>
      <c r="F145" s="13">
        <v>0.1076</v>
      </c>
      <c r="G145">
        <v>262</v>
      </c>
      <c r="H145">
        <v>29</v>
      </c>
      <c r="I145" s="14">
        <v>0.11070000000000001</v>
      </c>
      <c r="J145" s="12">
        <v>71.78</v>
      </c>
    </row>
    <row r="146" spans="2:10" x14ac:dyDescent="0.3">
      <c r="B146" s="11" t="s">
        <v>162</v>
      </c>
      <c r="C146">
        <v>0</v>
      </c>
      <c r="D146" t="e">
        <v>#DIV/0!</v>
      </c>
      <c r="E146" t="e">
        <v>#DIV/0!</v>
      </c>
      <c r="F146" s="13">
        <v>0</v>
      </c>
      <c r="G146">
        <v>0</v>
      </c>
      <c r="H146">
        <v>0</v>
      </c>
      <c r="I146" s="14">
        <v>0</v>
      </c>
      <c r="J146" s="12">
        <v>0</v>
      </c>
    </row>
    <row r="147" spans="2:10" x14ac:dyDescent="0.3">
      <c r="B147" s="11" t="s">
        <v>98</v>
      </c>
      <c r="C147">
        <v>636</v>
      </c>
      <c r="D147">
        <v>0.30499999999999999</v>
      </c>
      <c r="E147">
        <v>12.81</v>
      </c>
      <c r="F147" s="13">
        <v>0.11255</v>
      </c>
      <c r="G147">
        <v>69</v>
      </c>
      <c r="H147">
        <v>1</v>
      </c>
      <c r="I147" s="14">
        <v>2.3799999999999998E-2</v>
      </c>
      <c r="J147" s="12">
        <v>12.81</v>
      </c>
    </row>
    <row r="148" spans="2:10" x14ac:dyDescent="0.3">
      <c r="B148" s="11" t="s">
        <v>99</v>
      </c>
      <c r="C148">
        <v>0</v>
      </c>
      <c r="D148" t="e">
        <v>#DIV/0!</v>
      </c>
      <c r="E148" t="e">
        <v>#DIV/0!</v>
      </c>
      <c r="F148" s="13">
        <v>0</v>
      </c>
      <c r="G148">
        <v>0</v>
      </c>
      <c r="H148">
        <v>0</v>
      </c>
      <c r="I148" s="14">
        <v>0</v>
      </c>
      <c r="J148" s="12">
        <v>0</v>
      </c>
    </row>
    <row r="149" spans="2:10" x14ac:dyDescent="0.3">
      <c r="B149" s="11" t="s">
        <v>163</v>
      </c>
      <c r="C149">
        <v>248</v>
      </c>
      <c r="D149">
        <v>0</v>
      </c>
      <c r="E149" t="e">
        <v>#DIV/0!</v>
      </c>
      <c r="F149" s="13">
        <v>6.0499999999999998E-2</v>
      </c>
      <c r="G149">
        <v>15</v>
      </c>
      <c r="H149">
        <v>0</v>
      </c>
      <c r="I149" s="14">
        <v>0</v>
      </c>
      <c r="J149" s="12">
        <v>0</v>
      </c>
    </row>
    <row r="150" spans="2:10" x14ac:dyDescent="0.3">
      <c r="B150" s="11" t="s">
        <v>454</v>
      </c>
      <c r="C150">
        <v>750</v>
      </c>
      <c r="D150">
        <v>0.52</v>
      </c>
      <c r="E150">
        <v>3.27</v>
      </c>
      <c r="F150" s="13">
        <v>3.3300000000000003E-2</v>
      </c>
      <c r="G150">
        <v>25</v>
      </c>
      <c r="H150">
        <v>4</v>
      </c>
      <c r="I150" s="14">
        <v>0.16</v>
      </c>
      <c r="J150" s="12">
        <v>13.06</v>
      </c>
    </row>
    <row r="151" spans="2:10" x14ac:dyDescent="0.3">
      <c r="B151" s="11" t="s">
        <v>164</v>
      </c>
      <c r="C151">
        <v>125</v>
      </c>
      <c r="D151">
        <v>0</v>
      </c>
      <c r="E151" t="e">
        <v>#DIV/0!</v>
      </c>
      <c r="F151" s="13">
        <v>7.2000000000000008E-2</v>
      </c>
      <c r="G151">
        <v>9</v>
      </c>
      <c r="H151">
        <v>0</v>
      </c>
      <c r="I151" s="14">
        <v>0</v>
      </c>
      <c r="J151" s="12">
        <v>0</v>
      </c>
    </row>
    <row r="152" spans="2:10" x14ac:dyDescent="0.3">
      <c r="B152" s="11" t="s">
        <v>165</v>
      </c>
      <c r="C152">
        <v>35</v>
      </c>
      <c r="D152">
        <v>0</v>
      </c>
      <c r="E152" t="e">
        <v>#DIV/0!</v>
      </c>
      <c r="F152" s="13">
        <v>5.7099999999999998E-2</v>
      </c>
      <c r="G152">
        <v>2</v>
      </c>
      <c r="H152">
        <v>0</v>
      </c>
      <c r="I152" s="14">
        <v>0</v>
      </c>
      <c r="J152" s="12">
        <v>0</v>
      </c>
    </row>
    <row r="153" spans="2:10" x14ac:dyDescent="0.3">
      <c r="B153" s="11" t="s">
        <v>166</v>
      </c>
      <c r="C153">
        <v>189</v>
      </c>
      <c r="D153">
        <v>0</v>
      </c>
      <c r="E153" t="e">
        <v>#DIV/0!</v>
      </c>
      <c r="F153" s="13">
        <v>0.10580000000000001</v>
      </c>
      <c r="G153">
        <v>20</v>
      </c>
      <c r="H153">
        <v>0</v>
      </c>
      <c r="I153" s="14">
        <v>0</v>
      </c>
      <c r="J153" s="12">
        <v>0</v>
      </c>
    </row>
    <row r="154" spans="2:10" x14ac:dyDescent="0.3">
      <c r="B154" s="11" t="s">
        <v>167</v>
      </c>
      <c r="C154">
        <v>127</v>
      </c>
      <c r="D154">
        <v>0.9</v>
      </c>
      <c r="E154">
        <v>6.3</v>
      </c>
      <c r="F154" s="13">
        <v>5.5099999999999996E-2</v>
      </c>
      <c r="G154">
        <v>7</v>
      </c>
      <c r="H154">
        <v>1</v>
      </c>
      <c r="I154" s="14">
        <v>0.1429</v>
      </c>
      <c r="J154" s="12">
        <v>6.3</v>
      </c>
    </row>
    <row r="155" spans="2:10" x14ac:dyDescent="0.3">
      <c r="B155" s="11" t="s">
        <v>57</v>
      </c>
      <c r="C155">
        <v>70</v>
      </c>
      <c r="D155">
        <v>2</v>
      </c>
      <c r="E155">
        <v>7.98</v>
      </c>
      <c r="F155" s="13">
        <v>5.7099999999999998E-2</v>
      </c>
      <c r="G155">
        <v>4</v>
      </c>
      <c r="H155">
        <v>1</v>
      </c>
      <c r="I155" s="14">
        <v>0.25</v>
      </c>
      <c r="J155" s="12">
        <v>7.98</v>
      </c>
    </row>
    <row r="156" spans="2:10" x14ac:dyDescent="0.3">
      <c r="B156" s="11" t="s">
        <v>39</v>
      </c>
      <c r="C156">
        <v>485</v>
      </c>
      <c r="D156">
        <v>0.84</v>
      </c>
      <c r="E156">
        <v>7.81</v>
      </c>
      <c r="F156" s="13">
        <v>7.6299999999999993E-2</v>
      </c>
      <c r="G156">
        <v>37</v>
      </c>
      <c r="H156">
        <v>4</v>
      </c>
      <c r="I156" s="14">
        <v>0.1081</v>
      </c>
      <c r="J156" s="12">
        <v>31.22</v>
      </c>
    </row>
    <row r="157" spans="2:10" x14ac:dyDescent="0.3">
      <c r="B157" s="11" t="s">
        <v>168</v>
      </c>
      <c r="C157">
        <v>1</v>
      </c>
      <c r="D157" t="e">
        <v>#DIV/0!</v>
      </c>
      <c r="E157" t="e">
        <v>#DIV/0!</v>
      </c>
      <c r="F157" s="13">
        <v>0</v>
      </c>
      <c r="G157">
        <v>0</v>
      </c>
      <c r="H157">
        <v>0</v>
      </c>
      <c r="I157" s="14">
        <v>0</v>
      </c>
      <c r="J157" s="12">
        <v>0</v>
      </c>
    </row>
    <row r="158" spans="2:10" x14ac:dyDescent="0.3">
      <c r="B158" s="11" t="s">
        <v>169</v>
      </c>
      <c r="C158">
        <v>134</v>
      </c>
      <c r="D158">
        <v>0.39</v>
      </c>
      <c r="E158">
        <v>6.57</v>
      </c>
      <c r="F158" s="13">
        <v>0.12689999999999999</v>
      </c>
      <c r="G158">
        <v>17</v>
      </c>
      <c r="H158">
        <v>1</v>
      </c>
      <c r="I158" s="14">
        <v>5.8799999999999998E-2</v>
      </c>
      <c r="J158" s="12">
        <v>6.57</v>
      </c>
    </row>
    <row r="159" spans="2:10" x14ac:dyDescent="0.3">
      <c r="B159" s="11" t="s">
        <v>170</v>
      </c>
      <c r="C159">
        <v>128</v>
      </c>
      <c r="D159">
        <v>0.28999999999999998</v>
      </c>
      <c r="E159">
        <v>2.06</v>
      </c>
      <c r="F159" s="13">
        <v>5.4699999999999999E-2</v>
      </c>
      <c r="G159">
        <v>7</v>
      </c>
      <c r="H159">
        <v>1</v>
      </c>
      <c r="I159" s="14">
        <v>0.1429</v>
      </c>
      <c r="J159" s="12">
        <v>2.06</v>
      </c>
    </row>
    <row r="160" spans="2:10" x14ac:dyDescent="0.3">
      <c r="B160" s="11" t="s">
        <v>80</v>
      </c>
      <c r="C160">
        <v>1165</v>
      </c>
      <c r="D160">
        <v>9.8000000000000004E-2</v>
      </c>
      <c r="E160">
        <v>1.9833333333333334</v>
      </c>
      <c r="F160" s="13">
        <v>6.2460000000000002E-2</v>
      </c>
      <c r="G160">
        <v>72</v>
      </c>
      <c r="H160">
        <v>4</v>
      </c>
      <c r="I160" s="14">
        <v>4.82E-2</v>
      </c>
      <c r="J160" s="12">
        <v>8.49</v>
      </c>
    </row>
    <row r="161" spans="2:10" x14ac:dyDescent="0.3">
      <c r="B161" s="11" t="s">
        <v>67</v>
      </c>
      <c r="C161">
        <v>1001</v>
      </c>
      <c r="D161">
        <v>0.83666666666666656</v>
      </c>
      <c r="E161">
        <v>14.285</v>
      </c>
      <c r="F161" s="13">
        <v>4.583333333333333E-2</v>
      </c>
      <c r="G161">
        <v>50</v>
      </c>
      <c r="H161">
        <v>4</v>
      </c>
      <c r="I161" s="14">
        <v>7.1433333333333335E-2</v>
      </c>
      <c r="J161" s="12">
        <v>72.36</v>
      </c>
    </row>
    <row r="162" spans="2:10" x14ac:dyDescent="0.3">
      <c r="B162" s="11" t="s">
        <v>68</v>
      </c>
      <c r="C162">
        <v>2432</v>
      </c>
      <c r="D162">
        <v>2.2433333333333332</v>
      </c>
      <c r="E162">
        <v>9.5133333333333336</v>
      </c>
      <c r="F162" s="13">
        <v>7.5999999999999998E-2</v>
      </c>
      <c r="G162">
        <v>183</v>
      </c>
      <c r="H162">
        <v>13</v>
      </c>
      <c r="I162" s="14">
        <v>5.0333333333333341E-2</v>
      </c>
      <c r="J162" s="12">
        <v>223.63</v>
      </c>
    </row>
    <row r="163" spans="2:10" x14ac:dyDescent="0.3">
      <c r="B163" s="11" t="s">
        <v>76</v>
      </c>
      <c r="C163">
        <v>7262</v>
      </c>
      <c r="D163">
        <v>0.62769230769230766</v>
      </c>
      <c r="E163">
        <v>9.1137499999999996</v>
      </c>
      <c r="F163" s="13">
        <v>3.6489473684210516E-2</v>
      </c>
      <c r="G163">
        <v>410</v>
      </c>
      <c r="H163">
        <v>28</v>
      </c>
      <c r="I163" s="14">
        <v>4.8473684210526322E-2</v>
      </c>
      <c r="J163" s="12">
        <v>235.05</v>
      </c>
    </row>
    <row r="164" spans="2:10" x14ac:dyDescent="0.3">
      <c r="B164" s="11" t="s">
        <v>100</v>
      </c>
      <c r="C164">
        <v>428</v>
      </c>
      <c r="D164">
        <v>0.26</v>
      </c>
      <c r="E164">
        <v>9.84</v>
      </c>
      <c r="F164" s="13">
        <v>6.2299999999999994E-2</v>
      </c>
      <c r="G164">
        <v>27</v>
      </c>
      <c r="H164">
        <v>1</v>
      </c>
      <c r="I164" s="14">
        <v>2.63E-2</v>
      </c>
      <c r="J164" s="12">
        <v>9.84</v>
      </c>
    </row>
    <row r="165" spans="2:10" x14ac:dyDescent="0.3">
      <c r="B165" s="11" t="s">
        <v>23</v>
      </c>
      <c r="C165">
        <v>5550</v>
      </c>
      <c r="D165">
        <v>1.1124137931034481</v>
      </c>
      <c r="E165">
        <v>13.671538461538461</v>
      </c>
      <c r="F165" s="13">
        <v>3.85625E-2</v>
      </c>
      <c r="G165">
        <v>241</v>
      </c>
      <c r="H165">
        <v>21</v>
      </c>
      <c r="I165" s="14">
        <v>3.8324999999999991E-2</v>
      </c>
      <c r="J165" s="12">
        <v>393.21000000000009</v>
      </c>
    </row>
    <row r="166" spans="2:10" x14ac:dyDescent="0.3">
      <c r="B166" s="11" t="s">
        <v>171</v>
      </c>
      <c r="C166">
        <v>169</v>
      </c>
      <c r="D166">
        <v>0</v>
      </c>
      <c r="E166" t="e">
        <v>#DIV/0!</v>
      </c>
      <c r="F166" s="13">
        <v>1.78E-2</v>
      </c>
      <c r="G166">
        <v>3</v>
      </c>
      <c r="H166">
        <v>0</v>
      </c>
      <c r="I166" s="14">
        <v>0</v>
      </c>
      <c r="J166" s="12">
        <v>0</v>
      </c>
    </row>
    <row r="167" spans="2:10" x14ac:dyDescent="0.3">
      <c r="B167" s="11" t="s">
        <v>64</v>
      </c>
      <c r="C167">
        <v>1148</v>
      </c>
      <c r="D167">
        <v>0.19500000000000001</v>
      </c>
      <c r="E167">
        <v>2.5700000000000003</v>
      </c>
      <c r="F167" s="13">
        <v>0.10300000000000001</v>
      </c>
      <c r="G167">
        <v>126</v>
      </c>
      <c r="H167">
        <v>7</v>
      </c>
      <c r="I167" s="14">
        <v>6.9499999999999992E-2</v>
      </c>
      <c r="J167" s="12">
        <v>15.72</v>
      </c>
    </row>
    <row r="168" spans="2:10" x14ac:dyDescent="0.3">
      <c r="B168" s="11" t="s">
        <v>58</v>
      </c>
      <c r="C168">
        <v>170</v>
      </c>
      <c r="D168">
        <v>3.22</v>
      </c>
      <c r="E168">
        <v>8.59</v>
      </c>
      <c r="F168" s="13">
        <v>4.7100000000000003E-2</v>
      </c>
      <c r="G168">
        <v>8</v>
      </c>
      <c r="H168">
        <v>3</v>
      </c>
      <c r="I168" s="14">
        <v>0.375</v>
      </c>
      <c r="J168" s="12">
        <v>25.78</v>
      </c>
    </row>
    <row r="169" spans="2:10" x14ac:dyDescent="0.3">
      <c r="B169" s="11" t="s">
        <v>71</v>
      </c>
      <c r="C169">
        <v>871</v>
      </c>
      <c r="D169">
        <v>0.47</v>
      </c>
      <c r="E169">
        <v>13.15</v>
      </c>
      <c r="F169" s="13">
        <v>3.1274999999999997E-2</v>
      </c>
      <c r="G169">
        <v>25</v>
      </c>
      <c r="H169">
        <v>1</v>
      </c>
      <c r="I169" s="14">
        <v>3.5725E-2</v>
      </c>
      <c r="J169" s="12">
        <v>13.15</v>
      </c>
    </row>
    <row r="170" spans="2:10" x14ac:dyDescent="0.3">
      <c r="B170" s="11" t="s">
        <v>172</v>
      </c>
      <c r="C170">
        <v>1108</v>
      </c>
      <c r="D170">
        <v>0.17</v>
      </c>
      <c r="E170">
        <v>4.82</v>
      </c>
      <c r="F170" s="13">
        <v>5.2300000000000006E-2</v>
      </c>
      <c r="G170">
        <v>58</v>
      </c>
      <c r="H170">
        <v>2</v>
      </c>
      <c r="I170" s="14">
        <v>3.4500000000000003E-2</v>
      </c>
      <c r="J170" s="12">
        <v>9.64</v>
      </c>
    </row>
    <row r="171" spans="2:10" x14ac:dyDescent="0.3">
      <c r="B171" s="11" t="s">
        <v>19</v>
      </c>
      <c r="C171">
        <v>15673</v>
      </c>
      <c r="D171">
        <v>1.0294623655913979</v>
      </c>
      <c r="E171">
        <v>12.015555555555558</v>
      </c>
      <c r="F171" s="13">
        <v>4.7988888888888873E-2</v>
      </c>
      <c r="G171">
        <v>836</v>
      </c>
      <c r="H171">
        <v>58</v>
      </c>
      <c r="I171" s="14">
        <v>5.553846153846153E-2</v>
      </c>
      <c r="J171" s="12">
        <v>939.55000000000007</v>
      </c>
    </row>
    <row r="172" spans="2:10" x14ac:dyDescent="0.3">
      <c r="B172" s="11" t="s">
        <v>495</v>
      </c>
      <c r="C172">
        <v>290140</v>
      </c>
      <c r="D172" s="12">
        <v>0.7913349514563105</v>
      </c>
      <c r="E172">
        <v>8.5875294117647041</v>
      </c>
      <c r="F172" s="13">
        <v>6.478072164948441E-2</v>
      </c>
      <c r="G172">
        <v>24221</v>
      </c>
      <c r="H172">
        <v>1903</v>
      </c>
      <c r="I172" s="14">
        <v>6.5956082474226851E-2</v>
      </c>
      <c r="J172" s="12">
        <v>12683.720000000008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B968-00BA-44F5-8D66-E37A2F39F15C}">
  <dimension ref="A1:J971"/>
  <sheetViews>
    <sheetView zoomScale="66" zoomScaleNormal="55" workbookViewId="0"/>
  </sheetViews>
  <sheetFormatPr defaultRowHeight="15.6" x14ac:dyDescent="0.3"/>
  <cols>
    <col min="1" max="1" width="56.09765625" bestFit="1" customWidth="1"/>
    <col min="2" max="2" width="27" bestFit="1" customWidth="1"/>
    <col min="3" max="3" width="35.69921875" bestFit="1" customWidth="1"/>
    <col min="4" max="4" width="42.69921875" bestFit="1" customWidth="1"/>
    <col min="5" max="5" width="29.59765625" bestFit="1" customWidth="1"/>
    <col min="6" max="6" width="44.5" bestFit="1" customWidth="1"/>
    <col min="7" max="7" width="32" bestFit="1" customWidth="1"/>
    <col min="8" max="8" width="22.8984375" style="3" bestFit="1" customWidth="1"/>
    <col min="9" max="9" width="42.69921875" style="3" bestFit="1" customWidth="1"/>
    <col min="10" max="10" width="25.3984375" bestFit="1" customWidth="1"/>
  </cols>
  <sheetData>
    <row r="1" spans="1:10" s="4" customFormat="1" x14ac:dyDescent="0.3">
      <c r="A1" s="4" t="s">
        <v>0</v>
      </c>
      <c r="B1" s="4" t="s">
        <v>203</v>
      </c>
      <c r="C1" s="4" t="s">
        <v>204</v>
      </c>
      <c r="D1" s="4" t="s">
        <v>205</v>
      </c>
      <c r="E1" s="4" t="s">
        <v>206</v>
      </c>
      <c r="F1" s="4" t="s">
        <v>207</v>
      </c>
      <c r="G1" s="4" t="s">
        <v>496</v>
      </c>
      <c r="H1" s="5" t="s">
        <v>208</v>
      </c>
      <c r="I1" s="5" t="s">
        <v>209</v>
      </c>
      <c r="J1" s="5" t="s">
        <v>210</v>
      </c>
    </row>
    <row r="2" spans="1:10" x14ac:dyDescent="0.3">
      <c r="A2" t="s">
        <v>115</v>
      </c>
      <c r="B2" t="s">
        <v>212</v>
      </c>
      <c r="C2">
        <v>188</v>
      </c>
      <c r="D2" s="1">
        <v>7.4499999999999997E-2</v>
      </c>
      <c r="E2">
        <v>14</v>
      </c>
      <c r="F2">
        <v>0</v>
      </c>
      <c r="G2" s="2">
        <v>0</v>
      </c>
      <c r="H2" s="3">
        <v>0</v>
      </c>
      <c r="I2" s="3" t="s">
        <v>213</v>
      </c>
      <c r="J2" s="3">
        <v>0</v>
      </c>
    </row>
    <row r="3" spans="1:10" x14ac:dyDescent="0.3">
      <c r="A3" t="s">
        <v>8</v>
      </c>
      <c r="B3" t="s">
        <v>215</v>
      </c>
      <c r="C3">
        <v>362</v>
      </c>
      <c r="D3" s="1">
        <v>0.16300000000000001</v>
      </c>
      <c r="E3">
        <v>59</v>
      </c>
      <c r="F3">
        <v>7</v>
      </c>
      <c r="G3" s="2">
        <v>0.1186</v>
      </c>
      <c r="H3" s="3">
        <v>0.2</v>
      </c>
      <c r="I3" s="3">
        <v>1.7</v>
      </c>
      <c r="J3" s="3">
        <v>11.9</v>
      </c>
    </row>
    <row r="4" spans="1:10" x14ac:dyDescent="0.3">
      <c r="A4" t="s">
        <v>73</v>
      </c>
      <c r="B4" t="s">
        <v>217</v>
      </c>
      <c r="C4">
        <v>122</v>
      </c>
      <c r="D4" s="1">
        <v>6.5599999999999992E-2</v>
      </c>
      <c r="E4">
        <v>8</v>
      </c>
      <c r="F4">
        <v>1</v>
      </c>
      <c r="G4" s="2">
        <v>0.125</v>
      </c>
      <c r="H4" s="3">
        <v>0.35</v>
      </c>
      <c r="I4" s="3">
        <v>2.81</v>
      </c>
      <c r="J4" s="3">
        <v>2.81</v>
      </c>
    </row>
    <row r="5" spans="1:10" x14ac:dyDescent="0.3">
      <c r="A5" t="s">
        <v>101</v>
      </c>
      <c r="B5" t="s">
        <v>217</v>
      </c>
      <c r="C5">
        <v>19</v>
      </c>
      <c r="D5" s="1">
        <v>0.15789999999999998</v>
      </c>
      <c r="E5">
        <v>3</v>
      </c>
      <c r="F5">
        <v>0</v>
      </c>
      <c r="G5" s="2">
        <v>0</v>
      </c>
      <c r="H5" s="3">
        <v>0</v>
      </c>
      <c r="I5" s="3" t="s">
        <v>213</v>
      </c>
      <c r="J5" s="3">
        <v>0</v>
      </c>
    </row>
    <row r="6" spans="1:10" x14ac:dyDescent="0.3">
      <c r="A6" t="s">
        <v>102</v>
      </c>
      <c r="B6" t="s">
        <v>218</v>
      </c>
      <c r="C6">
        <v>112</v>
      </c>
      <c r="D6" s="1">
        <v>0.1429</v>
      </c>
      <c r="E6">
        <v>16</v>
      </c>
      <c r="F6">
        <v>1</v>
      </c>
      <c r="G6" s="2">
        <v>6.25E-2</v>
      </c>
      <c r="H6" s="3">
        <v>0</v>
      </c>
      <c r="I6" s="3">
        <v>0</v>
      </c>
      <c r="J6" s="3">
        <v>0</v>
      </c>
    </row>
    <row r="7" spans="1:10" x14ac:dyDescent="0.3">
      <c r="A7" t="s">
        <v>103</v>
      </c>
      <c r="B7" t="s">
        <v>219</v>
      </c>
      <c r="C7">
        <v>79</v>
      </c>
      <c r="D7" s="1">
        <v>0.1013</v>
      </c>
      <c r="E7">
        <v>8</v>
      </c>
      <c r="F7">
        <v>0</v>
      </c>
      <c r="G7" s="2">
        <v>0</v>
      </c>
      <c r="H7" s="3">
        <v>0</v>
      </c>
      <c r="I7" s="3" t="s">
        <v>213</v>
      </c>
      <c r="J7" s="3">
        <v>0</v>
      </c>
    </row>
    <row r="8" spans="1:10" x14ac:dyDescent="0.3">
      <c r="A8" t="s">
        <v>73</v>
      </c>
      <c r="B8" t="s">
        <v>221</v>
      </c>
      <c r="C8">
        <v>160</v>
      </c>
      <c r="D8" s="1">
        <v>8.1300000000000011E-2</v>
      </c>
      <c r="E8">
        <v>13</v>
      </c>
      <c r="F8">
        <v>2</v>
      </c>
      <c r="G8" s="2">
        <v>0.15380000000000002</v>
      </c>
      <c r="H8" s="3">
        <v>0.2</v>
      </c>
      <c r="I8" s="3">
        <v>1.27</v>
      </c>
      <c r="J8" s="3">
        <v>2.54</v>
      </c>
    </row>
    <row r="9" spans="1:10" x14ac:dyDescent="0.3">
      <c r="A9" t="s">
        <v>73</v>
      </c>
      <c r="B9" t="s">
        <v>215</v>
      </c>
      <c r="C9">
        <v>436</v>
      </c>
      <c r="D9" s="1">
        <v>7.3399999999999993E-2</v>
      </c>
      <c r="E9">
        <v>32</v>
      </c>
      <c r="F9">
        <v>2</v>
      </c>
      <c r="G9" s="2">
        <v>6.25E-2</v>
      </c>
      <c r="H9" s="3">
        <v>0.7</v>
      </c>
      <c r="I9" s="3">
        <v>11.2</v>
      </c>
      <c r="J9" s="3">
        <v>22.39</v>
      </c>
    </row>
    <row r="10" spans="1:10" x14ac:dyDescent="0.3">
      <c r="A10" t="s">
        <v>73</v>
      </c>
      <c r="B10" t="s">
        <v>223</v>
      </c>
      <c r="C10">
        <v>415</v>
      </c>
      <c r="D10" s="1">
        <v>6.2699999999999992E-2</v>
      </c>
      <c r="E10">
        <v>26</v>
      </c>
      <c r="F10">
        <v>2</v>
      </c>
      <c r="G10" s="2">
        <v>7.690000000000001E-2</v>
      </c>
      <c r="H10" s="3">
        <v>0.13</v>
      </c>
      <c r="I10" s="3">
        <v>1.7</v>
      </c>
      <c r="J10" s="3">
        <v>3.4</v>
      </c>
    </row>
    <row r="11" spans="1:10" x14ac:dyDescent="0.3">
      <c r="A11" t="s">
        <v>73</v>
      </c>
      <c r="B11" t="s">
        <v>221</v>
      </c>
      <c r="C11">
        <v>455</v>
      </c>
      <c r="D11" s="1">
        <v>8.7899999999999992E-2</v>
      </c>
      <c r="E11">
        <v>40</v>
      </c>
      <c r="F11">
        <v>1</v>
      </c>
      <c r="G11" s="2">
        <v>2.5000000000000001E-2</v>
      </c>
      <c r="H11" s="3">
        <v>0.13</v>
      </c>
      <c r="I11" s="3">
        <v>5.03</v>
      </c>
      <c r="J11" s="3">
        <v>5.03</v>
      </c>
    </row>
    <row r="12" spans="1:10" x14ac:dyDescent="0.3">
      <c r="A12" t="s">
        <v>104</v>
      </c>
      <c r="B12" t="s">
        <v>212</v>
      </c>
      <c r="C12">
        <v>184</v>
      </c>
      <c r="D12" s="1">
        <v>5.9800000000000006E-2</v>
      </c>
      <c r="E12">
        <v>11</v>
      </c>
      <c r="F12">
        <v>0</v>
      </c>
      <c r="G12" s="2">
        <v>0</v>
      </c>
      <c r="H12" s="3">
        <v>0</v>
      </c>
      <c r="I12" s="3" t="s">
        <v>213</v>
      </c>
      <c r="J12" s="3">
        <v>0</v>
      </c>
    </row>
    <row r="13" spans="1:10" x14ac:dyDescent="0.3">
      <c r="A13" t="s">
        <v>105</v>
      </c>
      <c r="B13" t="s">
        <v>224</v>
      </c>
      <c r="C13">
        <v>211</v>
      </c>
      <c r="D13" s="1">
        <v>0.14219999999999999</v>
      </c>
      <c r="E13">
        <v>30</v>
      </c>
      <c r="F13">
        <v>3</v>
      </c>
      <c r="G13" s="2">
        <v>0.1</v>
      </c>
      <c r="H13" s="3">
        <v>0.82</v>
      </c>
      <c r="I13" s="3">
        <v>8.18</v>
      </c>
      <c r="J13" s="3">
        <v>24.55</v>
      </c>
    </row>
    <row r="14" spans="1:10" x14ac:dyDescent="0.3">
      <c r="A14" t="s">
        <v>28</v>
      </c>
      <c r="B14" t="s">
        <v>225</v>
      </c>
      <c r="C14">
        <v>196</v>
      </c>
      <c r="D14" s="1">
        <v>0.15820000000000001</v>
      </c>
      <c r="E14">
        <v>31</v>
      </c>
      <c r="F14">
        <v>2</v>
      </c>
      <c r="G14" s="2">
        <v>6.4500000000000002E-2</v>
      </c>
      <c r="H14" s="3">
        <v>0.17</v>
      </c>
      <c r="I14" s="3">
        <v>2.69</v>
      </c>
      <c r="J14" s="3">
        <v>5.37</v>
      </c>
    </row>
    <row r="15" spans="1:10" x14ac:dyDescent="0.3">
      <c r="A15" t="s">
        <v>28</v>
      </c>
      <c r="B15" t="s">
        <v>226</v>
      </c>
      <c r="C15">
        <v>283</v>
      </c>
      <c r="D15" s="1">
        <v>9.5399999999999985E-2</v>
      </c>
      <c r="E15">
        <v>27</v>
      </c>
      <c r="F15">
        <v>2</v>
      </c>
      <c r="G15" s="2">
        <v>7.4099999999999999E-2</v>
      </c>
      <c r="H15" s="3">
        <v>0.63</v>
      </c>
      <c r="I15" s="3">
        <v>8.49</v>
      </c>
      <c r="J15" s="3">
        <v>16.989999999999998</v>
      </c>
    </row>
    <row r="16" spans="1:10" x14ac:dyDescent="0.3">
      <c r="A16" t="s">
        <v>28</v>
      </c>
      <c r="B16" t="s">
        <v>225</v>
      </c>
      <c r="C16">
        <v>415</v>
      </c>
      <c r="D16" s="1">
        <v>0.1157</v>
      </c>
      <c r="E16">
        <v>48</v>
      </c>
      <c r="F16">
        <v>1</v>
      </c>
      <c r="G16" s="2">
        <v>2.0799999999999999E-2</v>
      </c>
      <c r="H16" s="3">
        <v>0.21</v>
      </c>
      <c r="I16" s="3">
        <v>10.31</v>
      </c>
      <c r="J16" s="3">
        <v>10.31</v>
      </c>
    </row>
    <row r="17" spans="1:10" x14ac:dyDescent="0.3">
      <c r="A17" t="s">
        <v>28</v>
      </c>
      <c r="B17" t="s">
        <v>227</v>
      </c>
      <c r="C17">
        <v>45</v>
      </c>
      <c r="D17" s="1">
        <v>8.8900000000000007E-2</v>
      </c>
      <c r="E17">
        <v>4</v>
      </c>
      <c r="F17">
        <v>1</v>
      </c>
      <c r="G17" s="2">
        <v>0.25</v>
      </c>
      <c r="H17" s="3">
        <v>1.3</v>
      </c>
      <c r="I17" s="3">
        <v>5.18</v>
      </c>
      <c r="J17" s="3">
        <v>5.18</v>
      </c>
    </row>
    <row r="18" spans="1:10" x14ac:dyDescent="0.3">
      <c r="A18" t="s">
        <v>28</v>
      </c>
      <c r="B18" t="s">
        <v>228</v>
      </c>
      <c r="C18">
        <v>265</v>
      </c>
      <c r="D18" s="1">
        <v>0.1245</v>
      </c>
      <c r="E18">
        <v>33</v>
      </c>
      <c r="F18">
        <v>0</v>
      </c>
      <c r="G18" s="2">
        <v>0</v>
      </c>
      <c r="H18" s="3">
        <v>0</v>
      </c>
      <c r="I18" s="3" t="s">
        <v>213</v>
      </c>
      <c r="J18" s="3">
        <v>0</v>
      </c>
    </row>
    <row r="19" spans="1:10" x14ac:dyDescent="0.3">
      <c r="A19" t="s">
        <v>28</v>
      </c>
      <c r="B19" t="s">
        <v>229</v>
      </c>
      <c r="C19">
        <v>139</v>
      </c>
      <c r="D19" s="1">
        <v>0.13669999999999999</v>
      </c>
      <c r="E19">
        <v>19</v>
      </c>
      <c r="F19">
        <v>0</v>
      </c>
      <c r="G19" s="2">
        <v>0</v>
      </c>
      <c r="H19" s="3">
        <v>0</v>
      </c>
      <c r="I19" s="3" t="s">
        <v>213</v>
      </c>
      <c r="J19" s="3">
        <v>0</v>
      </c>
    </row>
    <row r="20" spans="1:10" x14ac:dyDescent="0.3">
      <c r="A20" t="s">
        <v>28</v>
      </c>
      <c r="B20" t="s">
        <v>230</v>
      </c>
      <c r="C20">
        <v>206</v>
      </c>
      <c r="D20" s="1">
        <v>8.2500000000000004E-2</v>
      </c>
      <c r="E20">
        <v>17</v>
      </c>
      <c r="F20">
        <v>0</v>
      </c>
      <c r="G20" s="2">
        <v>0</v>
      </c>
      <c r="H20" s="3">
        <v>0</v>
      </c>
      <c r="I20" s="3" t="s">
        <v>213</v>
      </c>
      <c r="J20" s="3">
        <v>0</v>
      </c>
    </row>
    <row r="21" spans="1:10" x14ac:dyDescent="0.3">
      <c r="A21" t="s">
        <v>28</v>
      </c>
      <c r="B21" t="s">
        <v>227</v>
      </c>
      <c r="C21">
        <v>76</v>
      </c>
      <c r="D21" s="1">
        <v>0.11840000000000001</v>
      </c>
      <c r="E21">
        <v>9</v>
      </c>
      <c r="F21">
        <v>0</v>
      </c>
      <c r="G21" s="2">
        <v>0</v>
      </c>
      <c r="H21" s="3">
        <v>0</v>
      </c>
      <c r="I21" s="3" t="s">
        <v>213</v>
      </c>
      <c r="J21" s="3">
        <v>0</v>
      </c>
    </row>
    <row r="22" spans="1:10" x14ac:dyDescent="0.3">
      <c r="A22" t="s">
        <v>28</v>
      </c>
      <c r="B22" t="s">
        <v>227</v>
      </c>
      <c r="C22">
        <v>22</v>
      </c>
      <c r="D22" s="1">
        <v>0.2273</v>
      </c>
      <c r="E22">
        <v>5</v>
      </c>
      <c r="F22">
        <v>0</v>
      </c>
      <c r="G22" s="2">
        <v>0</v>
      </c>
      <c r="H22" s="3">
        <v>0</v>
      </c>
      <c r="I22" s="3" t="s">
        <v>213</v>
      </c>
      <c r="J22" s="3">
        <v>0</v>
      </c>
    </row>
    <row r="23" spans="1:10" x14ac:dyDescent="0.3">
      <c r="A23" t="s">
        <v>28</v>
      </c>
      <c r="B23" t="s">
        <v>227</v>
      </c>
      <c r="C23">
        <v>16</v>
      </c>
      <c r="D23" s="1">
        <v>0.25</v>
      </c>
      <c r="E23">
        <v>4</v>
      </c>
      <c r="F23">
        <v>0</v>
      </c>
      <c r="G23" s="2">
        <v>0</v>
      </c>
      <c r="H23" s="3">
        <v>0</v>
      </c>
      <c r="I23" s="3" t="s">
        <v>213</v>
      </c>
      <c r="J23" s="3">
        <v>0</v>
      </c>
    </row>
    <row r="24" spans="1:10" x14ac:dyDescent="0.3">
      <c r="A24" t="s">
        <v>28</v>
      </c>
      <c r="B24" t="s">
        <v>231</v>
      </c>
      <c r="C24">
        <v>21</v>
      </c>
      <c r="D24" s="1">
        <v>9.5199999999999993E-2</v>
      </c>
      <c r="E24">
        <v>2</v>
      </c>
      <c r="F24">
        <v>0</v>
      </c>
      <c r="G24" s="2">
        <v>0</v>
      </c>
      <c r="H24" s="3">
        <v>0</v>
      </c>
      <c r="I24" s="3" t="s">
        <v>213</v>
      </c>
      <c r="J24" s="3">
        <v>0</v>
      </c>
    </row>
    <row r="25" spans="1:10" x14ac:dyDescent="0.3">
      <c r="A25" t="s">
        <v>28</v>
      </c>
      <c r="B25" t="s">
        <v>227</v>
      </c>
      <c r="C25">
        <v>0</v>
      </c>
      <c r="D25" s="1">
        <v>0</v>
      </c>
      <c r="E25">
        <v>0</v>
      </c>
      <c r="F25">
        <v>0</v>
      </c>
      <c r="G25" s="2">
        <v>0</v>
      </c>
      <c r="H25" s="3" t="s">
        <v>213</v>
      </c>
      <c r="I25" s="3" t="s">
        <v>213</v>
      </c>
      <c r="J25" s="3">
        <v>0</v>
      </c>
    </row>
    <row r="26" spans="1:10" x14ac:dyDescent="0.3">
      <c r="A26" t="s">
        <v>28</v>
      </c>
      <c r="B26" t="s">
        <v>218</v>
      </c>
      <c r="C26">
        <v>9</v>
      </c>
      <c r="D26" s="1">
        <v>0</v>
      </c>
      <c r="E26">
        <v>0</v>
      </c>
      <c r="F26">
        <v>0</v>
      </c>
      <c r="G26" s="2">
        <v>0</v>
      </c>
      <c r="H26" s="3" t="s">
        <v>213</v>
      </c>
      <c r="I26" s="3" t="s">
        <v>213</v>
      </c>
      <c r="J26" s="3">
        <v>0</v>
      </c>
    </row>
    <row r="27" spans="1:10" x14ac:dyDescent="0.3">
      <c r="A27" t="s">
        <v>28</v>
      </c>
      <c r="B27" t="s">
        <v>225</v>
      </c>
      <c r="C27">
        <v>20</v>
      </c>
      <c r="D27" s="1">
        <v>0.2</v>
      </c>
      <c r="E27">
        <v>4</v>
      </c>
      <c r="F27">
        <v>1</v>
      </c>
      <c r="G27" s="2">
        <v>0.25</v>
      </c>
      <c r="H27" s="3">
        <v>1.01</v>
      </c>
      <c r="I27" s="3">
        <v>4.0599999999999996</v>
      </c>
      <c r="J27" s="3">
        <v>4.0599999999999996</v>
      </c>
    </row>
    <row r="28" spans="1:10" x14ac:dyDescent="0.3">
      <c r="A28" t="s">
        <v>28</v>
      </c>
      <c r="B28" t="s">
        <v>231</v>
      </c>
      <c r="C28">
        <v>21</v>
      </c>
      <c r="D28" s="1">
        <v>0.1905</v>
      </c>
      <c r="E28">
        <v>4</v>
      </c>
      <c r="F28">
        <v>0</v>
      </c>
      <c r="G28" s="2">
        <v>0</v>
      </c>
      <c r="H28" s="3">
        <v>0</v>
      </c>
      <c r="I28" s="3" t="s">
        <v>213</v>
      </c>
      <c r="J28" s="3">
        <v>0</v>
      </c>
    </row>
    <row r="29" spans="1:10" x14ac:dyDescent="0.3">
      <c r="A29" t="s">
        <v>28</v>
      </c>
      <c r="B29" t="s">
        <v>282</v>
      </c>
      <c r="C29">
        <v>19</v>
      </c>
      <c r="D29" s="1">
        <v>5.2600000000000001E-2</v>
      </c>
      <c r="E29">
        <v>1</v>
      </c>
      <c r="F29">
        <v>0</v>
      </c>
      <c r="G29" s="2">
        <v>0</v>
      </c>
      <c r="H29" s="3">
        <v>0</v>
      </c>
      <c r="I29" s="3" t="s">
        <v>213</v>
      </c>
      <c r="J29" s="3">
        <v>0</v>
      </c>
    </row>
    <row r="30" spans="1:10" x14ac:dyDescent="0.3">
      <c r="A30" t="s">
        <v>28</v>
      </c>
      <c r="B30" t="s">
        <v>228</v>
      </c>
      <c r="C30">
        <v>10</v>
      </c>
      <c r="D30" s="1">
        <v>0</v>
      </c>
      <c r="E30">
        <v>0</v>
      </c>
      <c r="F30">
        <v>0</v>
      </c>
      <c r="G30" s="2">
        <v>0</v>
      </c>
      <c r="H30" s="3" t="s">
        <v>213</v>
      </c>
      <c r="I30" s="3" t="s">
        <v>213</v>
      </c>
      <c r="J30" s="3">
        <v>0</v>
      </c>
    </row>
    <row r="31" spans="1:10" x14ac:dyDescent="0.3">
      <c r="A31" t="s">
        <v>28</v>
      </c>
      <c r="B31" t="s">
        <v>226</v>
      </c>
      <c r="C31">
        <v>10</v>
      </c>
      <c r="D31" s="1">
        <v>0</v>
      </c>
      <c r="E31">
        <v>0</v>
      </c>
      <c r="F31">
        <v>0</v>
      </c>
      <c r="G31" s="2">
        <v>0</v>
      </c>
      <c r="H31" s="3" t="s">
        <v>213</v>
      </c>
      <c r="I31" s="3" t="s">
        <v>213</v>
      </c>
      <c r="J31" s="3">
        <v>0</v>
      </c>
    </row>
    <row r="32" spans="1:10" x14ac:dyDescent="0.3">
      <c r="A32" t="s">
        <v>28</v>
      </c>
      <c r="B32" t="s">
        <v>229</v>
      </c>
      <c r="C32">
        <v>8</v>
      </c>
      <c r="D32" s="1">
        <v>0</v>
      </c>
      <c r="E32">
        <v>0</v>
      </c>
      <c r="F32">
        <v>0</v>
      </c>
      <c r="G32" s="2">
        <v>0</v>
      </c>
      <c r="H32" s="3" t="s">
        <v>213</v>
      </c>
      <c r="I32" s="3" t="s">
        <v>213</v>
      </c>
      <c r="J32" s="3">
        <v>0</v>
      </c>
    </row>
    <row r="33" spans="1:10" x14ac:dyDescent="0.3">
      <c r="A33" t="s">
        <v>28</v>
      </c>
      <c r="B33" t="s">
        <v>230</v>
      </c>
      <c r="C33">
        <v>7</v>
      </c>
      <c r="D33" s="1">
        <v>0</v>
      </c>
      <c r="E33">
        <v>0</v>
      </c>
      <c r="F33">
        <v>0</v>
      </c>
      <c r="G33" s="2">
        <v>0</v>
      </c>
      <c r="H33" s="3" t="s">
        <v>213</v>
      </c>
      <c r="I33" s="3" t="s">
        <v>213</v>
      </c>
      <c r="J33" s="3">
        <v>0</v>
      </c>
    </row>
    <row r="34" spans="1:10" x14ac:dyDescent="0.3">
      <c r="A34" t="s">
        <v>34</v>
      </c>
      <c r="B34" t="s">
        <v>248</v>
      </c>
      <c r="C34">
        <v>137</v>
      </c>
      <c r="D34" s="1">
        <v>0.17519999999999999</v>
      </c>
      <c r="E34">
        <v>24</v>
      </c>
      <c r="F34">
        <v>5</v>
      </c>
      <c r="G34" s="2">
        <v>0.20829999999999999</v>
      </c>
      <c r="H34" s="3">
        <v>1.21</v>
      </c>
      <c r="I34" s="3">
        <v>5.82</v>
      </c>
      <c r="J34" s="3">
        <v>29.11</v>
      </c>
    </row>
    <row r="35" spans="1:10" x14ac:dyDescent="0.3">
      <c r="A35" t="s">
        <v>106</v>
      </c>
      <c r="B35" t="s">
        <v>232</v>
      </c>
      <c r="C35">
        <v>208</v>
      </c>
      <c r="D35" s="1">
        <v>3.3700000000000001E-2</v>
      </c>
      <c r="E35">
        <v>7</v>
      </c>
      <c r="F35">
        <v>0</v>
      </c>
      <c r="G35" s="2">
        <v>0</v>
      </c>
      <c r="H35" s="3">
        <v>0</v>
      </c>
      <c r="I35" s="3" t="s">
        <v>213</v>
      </c>
      <c r="J35" s="3">
        <v>0</v>
      </c>
    </row>
    <row r="36" spans="1:10" x14ac:dyDescent="0.3">
      <c r="A36" t="s">
        <v>86</v>
      </c>
      <c r="B36" t="s">
        <v>233</v>
      </c>
      <c r="C36">
        <v>11</v>
      </c>
      <c r="D36" s="1">
        <v>0</v>
      </c>
      <c r="E36">
        <v>0</v>
      </c>
      <c r="F36">
        <v>0</v>
      </c>
      <c r="G36" s="2">
        <v>0</v>
      </c>
      <c r="H36" s="3" t="s">
        <v>213</v>
      </c>
      <c r="I36" s="3" t="s">
        <v>213</v>
      </c>
      <c r="J36" s="3">
        <v>0</v>
      </c>
    </row>
    <row r="37" spans="1:10" x14ac:dyDescent="0.3">
      <c r="A37" t="s">
        <v>86</v>
      </c>
      <c r="B37" t="s">
        <v>233</v>
      </c>
      <c r="C37">
        <v>5</v>
      </c>
      <c r="D37" s="1">
        <v>0</v>
      </c>
      <c r="E37">
        <v>0</v>
      </c>
      <c r="F37">
        <v>0</v>
      </c>
      <c r="G37" s="2">
        <v>0</v>
      </c>
      <c r="H37" s="3" t="s">
        <v>213</v>
      </c>
      <c r="I37" s="3" t="s">
        <v>213</v>
      </c>
      <c r="J37" s="3">
        <v>0</v>
      </c>
    </row>
    <row r="38" spans="1:10" x14ac:dyDescent="0.3">
      <c r="A38" t="s">
        <v>40</v>
      </c>
      <c r="B38" t="s">
        <v>212</v>
      </c>
      <c r="C38">
        <v>148</v>
      </c>
      <c r="D38" s="1">
        <v>8.7799999999999989E-2</v>
      </c>
      <c r="E38">
        <v>13</v>
      </c>
      <c r="F38">
        <v>5</v>
      </c>
      <c r="G38" s="2">
        <v>0.3846</v>
      </c>
      <c r="H38" s="3">
        <v>2.6</v>
      </c>
      <c r="I38" s="3">
        <v>6.75</v>
      </c>
      <c r="J38" s="3">
        <v>33.76</v>
      </c>
    </row>
    <row r="39" spans="1:10" x14ac:dyDescent="0.3">
      <c r="A39" t="s">
        <v>40</v>
      </c>
      <c r="B39" t="s">
        <v>215</v>
      </c>
      <c r="C39">
        <v>86</v>
      </c>
      <c r="D39" s="1">
        <v>0.13949999999999999</v>
      </c>
      <c r="E39">
        <v>12</v>
      </c>
      <c r="F39">
        <v>4</v>
      </c>
      <c r="G39" s="2">
        <v>0.33329999999999999</v>
      </c>
      <c r="H39" s="3">
        <v>1.27</v>
      </c>
      <c r="I39" s="3">
        <v>3.8</v>
      </c>
      <c r="J39" s="3">
        <v>15.18</v>
      </c>
    </row>
    <row r="40" spans="1:10" x14ac:dyDescent="0.3">
      <c r="A40" t="s">
        <v>40</v>
      </c>
      <c r="B40" t="s">
        <v>223</v>
      </c>
      <c r="C40">
        <v>72</v>
      </c>
      <c r="D40" s="1">
        <v>0.18059999999999998</v>
      </c>
      <c r="E40">
        <v>13</v>
      </c>
      <c r="F40">
        <v>1</v>
      </c>
      <c r="G40" s="2">
        <v>7.690000000000001E-2</v>
      </c>
      <c r="H40" s="3">
        <v>0.88</v>
      </c>
      <c r="I40" s="3">
        <v>11.42</v>
      </c>
      <c r="J40" s="3">
        <v>11.42</v>
      </c>
    </row>
    <row r="41" spans="1:10" x14ac:dyDescent="0.3">
      <c r="A41" t="s">
        <v>40</v>
      </c>
      <c r="B41" t="s">
        <v>221</v>
      </c>
      <c r="C41">
        <v>102</v>
      </c>
      <c r="D41" s="1">
        <v>0.1176</v>
      </c>
      <c r="E41">
        <v>12</v>
      </c>
      <c r="F41">
        <v>3</v>
      </c>
      <c r="G41" s="2">
        <v>0.25</v>
      </c>
      <c r="H41" s="3">
        <v>3.87</v>
      </c>
      <c r="I41" s="3">
        <v>15.48</v>
      </c>
      <c r="J41" s="3">
        <v>46.44</v>
      </c>
    </row>
    <row r="42" spans="1:10" x14ac:dyDescent="0.3">
      <c r="A42" t="s">
        <v>40</v>
      </c>
      <c r="B42" t="s">
        <v>221</v>
      </c>
      <c r="C42">
        <v>110</v>
      </c>
      <c r="D42" s="1">
        <v>9.0899999999999995E-2</v>
      </c>
      <c r="E42">
        <v>10</v>
      </c>
      <c r="F42">
        <v>3</v>
      </c>
      <c r="G42" s="2">
        <v>0.3</v>
      </c>
      <c r="H42" s="3">
        <v>3.62</v>
      </c>
      <c r="I42" s="3">
        <v>12.07</v>
      </c>
      <c r="J42" s="3">
        <v>36.22</v>
      </c>
    </row>
    <row r="43" spans="1:10" x14ac:dyDescent="0.3">
      <c r="A43" t="s">
        <v>107</v>
      </c>
      <c r="B43" t="s">
        <v>239</v>
      </c>
      <c r="C43">
        <v>50</v>
      </c>
      <c r="D43" s="1">
        <v>0</v>
      </c>
      <c r="E43">
        <v>0</v>
      </c>
      <c r="F43">
        <v>0</v>
      </c>
      <c r="G43" s="2">
        <v>0</v>
      </c>
      <c r="H43" s="3" t="s">
        <v>213</v>
      </c>
      <c r="I43" s="3" t="s">
        <v>213</v>
      </c>
      <c r="J43" s="3">
        <v>0</v>
      </c>
    </row>
    <row r="44" spans="1:10" x14ac:dyDescent="0.3">
      <c r="A44" t="s">
        <v>243</v>
      </c>
      <c r="B44" t="s">
        <v>244</v>
      </c>
      <c r="C44">
        <v>617</v>
      </c>
      <c r="D44" s="1">
        <v>7.7800000000000008E-2</v>
      </c>
      <c r="E44">
        <v>48</v>
      </c>
      <c r="F44">
        <v>2</v>
      </c>
      <c r="G44" s="2">
        <v>4.1700000000000001E-2</v>
      </c>
      <c r="H44" s="3">
        <v>7.0000000000000007E-2</v>
      </c>
      <c r="I44" s="3">
        <v>1.7</v>
      </c>
      <c r="J44" s="3">
        <v>3.4</v>
      </c>
    </row>
    <row r="45" spans="1:10" x14ac:dyDescent="0.3">
      <c r="A45" t="s">
        <v>83</v>
      </c>
      <c r="B45" t="s">
        <v>245</v>
      </c>
      <c r="C45">
        <v>209</v>
      </c>
      <c r="D45" s="1">
        <v>9.5700000000000007E-2</v>
      </c>
      <c r="E45">
        <v>20</v>
      </c>
      <c r="F45">
        <v>0</v>
      </c>
      <c r="G45" s="2">
        <v>0</v>
      </c>
      <c r="H45" s="3">
        <v>0</v>
      </c>
      <c r="I45" s="3" t="s">
        <v>213</v>
      </c>
      <c r="J45" s="3">
        <v>0</v>
      </c>
    </row>
    <row r="46" spans="1:10" x14ac:dyDescent="0.3">
      <c r="A46" t="s">
        <v>83</v>
      </c>
      <c r="B46" t="s">
        <v>235</v>
      </c>
      <c r="C46">
        <v>174</v>
      </c>
      <c r="D46" s="1">
        <v>4.0199999999999993E-2</v>
      </c>
      <c r="E46">
        <v>7</v>
      </c>
      <c r="F46">
        <v>0</v>
      </c>
      <c r="G46" s="2">
        <v>0</v>
      </c>
      <c r="H46" s="3">
        <v>0</v>
      </c>
      <c r="I46" s="3" t="s">
        <v>213</v>
      </c>
      <c r="J46" s="3">
        <v>0</v>
      </c>
    </row>
    <row r="47" spans="1:10" x14ac:dyDescent="0.3">
      <c r="A47" t="s">
        <v>83</v>
      </c>
      <c r="B47" t="s">
        <v>223</v>
      </c>
      <c r="C47">
        <v>56</v>
      </c>
      <c r="D47" s="1">
        <v>3.5699999999999996E-2</v>
      </c>
      <c r="E47">
        <v>2</v>
      </c>
      <c r="F47">
        <v>0</v>
      </c>
      <c r="G47" s="2">
        <v>0</v>
      </c>
      <c r="H47" s="3">
        <v>0</v>
      </c>
      <c r="I47" s="3" t="s">
        <v>213</v>
      </c>
      <c r="J47" s="3">
        <v>0</v>
      </c>
    </row>
    <row r="48" spans="1:10" x14ac:dyDescent="0.3">
      <c r="A48" t="s">
        <v>65</v>
      </c>
      <c r="B48" t="s">
        <v>238</v>
      </c>
      <c r="C48">
        <v>144</v>
      </c>
      <c r="D48" s="1">
        <v>4.1700000000000001E-2</v>
      </c>
      <c r="E48">
        <v>6</v>
      </c>
      <c r="F48">
        <v>1</v>
      </c>
      <c r="G48" s="2">
        <v>0.16670000000000001</v>
      </c>
      <c r="H48" s="3">
        <v>1.29</v>
      </c>
      <c r="I48" s="3">
        <v>7.72</v>
      </c>
      <c r="J48" s="3">
        <v>7.72</v>
      </c>
    </row>
    <row r="49" spans="1:10" x14ac:dyDescent="0.3">
      <c r="A49" t="s">
        <v>65</v>
      </c>
      <c r="B49" t="s">
        <v>238</v>
      </c>
      <c r="C49">
        <v>135</v>
      </c>
      <c r="D49" s="1">
        <v>4.4400000000000002E-2</v>
      </c>
      <c r="E49">
        <v>6</v>
      </c>
      <c r="F49">
        <v>0</v>
      </c>
      <c r="G49" s="2">
        <v>0</v>
      </c>
      <c r="H49" s="3">
        <v>0</v>
      </c>
      <c r="I49" s="3" t="s">
        <v>213</v>
      </c>
      <c r="J49" s="3">
        <v>0</v>
      </c>
    </row>
    <row r="50" spans="1:10" x14ac:dyDescent="0.3">
      <c r="A50" t="s">
        <v>65</v>
      </c>
      <c r="B50" t="s">
        <v>215</v>
      </c>
      <c r="C50">
        <v>0</v>
      </c>
      <c r="D50" s="1">
        <v>0</v>
      </c>
      <c r="E50">
        <v>0</v>
      </c>
      <c r="F50">
        <v>0</v>
      </c>
      <c r="G50" s="2">
        <v>0</v>
      </c>
      <c r="H50" s="3" t="s">
        <v>213</v>
      </c>
      <c r="I50" s="3" t="s">
        <v>213</v>
      </c>
      <c r="J50" s="3">
        <v>0</v>
      </c>
    </row>
    <row r="51" spans="1:10" x14ac:dyDescent="0.3">
      <c r="A51" t="s">
        <v>108</v>
      </c>
      <c r="B51" t="s">
        <v>233</v>
      </c>
      <c r="C51">
        <v>595</v>
      </c>
      <c r="D51" s="1">
        <v>0.15629999999999999</v>
      </c>
      <c r="E51">
        <v>93</v>
      </c>
      <c r="F51">
        <v>11</v>
      </c>
      <c r="G51" s="2">
        <v>0.1183</v>
      </c>
      <c r="H51" s="3">
        <v>0.25</v>
      </c>
      <c r="I51" s="3">
        <v>2.0699999999999998</v>
      </c>
      <c r="J51" s="3">
        <v>22.8</v>
      </c>
    </row>
    <row r="52" spans="1:10" x14ac:dyDescent="0.3">
      <c r="A52" t="s">
        <v>109</v>
      </c>
      <c r="B52" t="s">
        <v>247</v>
      </c>
      <c r="C52">
        <v>611</v>
      </c>
      <c r="D52" s="1">
        <v>0.10800000000000001</v>
      </c>
      <c r="E52">
        <v>66</v>
      </c>
      <c r="F52">
        <v>9</v>
      </c>
      <c r="G52" s="2">
        <v>0.13639999999999999</v>
      </c>
      <c r="H52" s="3">
        <v>0.28000000000000003</v>
      </c>
      <c r="I52" s="3">
        <v>2.09</v>
      </c>
      <c r="J52" s="3">
        <v>18.78</v>
      </c>
    </row>
    <row r="53" spans="1:10" x14ac:dyDescent="0.3">
      <c r="A53" t="s">
        <v>72</v>
      </c>
      <c r="B53" t="s">
        <v>248</v>
      </c>
      <c r="C53">
        <v>123</v>
      </c>
      <c r="D53" s="1">
        <v>0.13819999999999999</v>
      </c>
      <c r="E53">
        <v>17</v>
      </c>
      <c r="F53">
        <v>2</v>
      </c>
      <c r="G53" s="2">
        <v>0.1176</v>
      </c>
      <c r="H53" s="3">
        <v>0.28000000000000003</v>
      </c>
      <c r="I53" s="3">
        <v>2.34</v>
      </c>
      <c r="J53" s="3">
        <v>4.68</v>
      </c>
    </row>
    <row r="54" spans="1:10" x14ac:dyDescent="0.3">
      <c r="A54" t="s">
        <v>72</v>
      </c>
      <c r="B54" t="s">
        <v>248</v>
      </c>
      <c r="C54">
        <v>148</v>
      </c>
      <c r="D54" s="1">
        <v>0.1081</v>
      </c>
      <c r="E54">
        <v>16</v>
      </c>
      <c r="F54">
        <v>1</v>
      </c>
      <c r="G54" s="2">
        <v>6.25E-2</v>
      </c>
      <c r="H54" s="3">
        <v>0.15</v>
      </c>
      <c r="I54" s="3">
        <v>2.39</v>
      </c>
      <c r="J54" s="3">
        <v>2.39</v>
      </c>
    </row>
    <row r="55" spans="1:10" x14ac:dyDescent="0.3">
      <c r="A55" t="s">
        <v>72</v>
      </c>
      <c r="B55" t="s">
        <v>248</v>
      </c>
      <c r="C55">
        <v>220</v>
      </c>
      <c r="D55" s="1">
        <v>0.15</v>
      </c>
      <c r="E55">
        <v>33</v>
      </c>
      <c r="F55">
        <v>2</v>
      </c>
      <c r="G55" s="2">
        <v>6.0599999999999994E-2</v>
      </c>
      <c r="H55" s="3">
        <v>0.28000000000000003</v>
      </c>
      <c r="I55" s="3">
        <v>4.54</v>
      </c>
      <c r="J55" s="3">
        <v>9.08</v>
      </c>
    </row>
    <row r="56" spans="1:10" x14ac:dyDescent="0.3">
      <c r="A56" t="s">
        <v>72</v>
      </c>
      <c r="B56" t="s">
        <v>248</v>
      </c>
      <c r="C56">
        <v>431</v>
      </c>
      <c r="D56" s="1">
        <v>6.7299999999999999E-2</v>
      </c>
      <c r="E56">
        <v>29</v>
      </c>
      <c r="F56">
        <v>2</v>
      </c>
      <c r="G56" s="2">
        <v>6.9000000000000006E-2</v>
      </c>
      <c r="H56" s="3">
        <v>0.16</v>
      </c>
      <c r="I56" s="3">
        <v>2.2799999999999998</v>
      </c>
      <c r="J56" s="3">
        <v>4.55</v>
      </c>
    </row>
    <row r="57" spans="1:10" x14ac:dyDescent="0.3">
      <c r="A57" t="s">
        <v>72</v>
      </c>
      <c r="B57" t="s">
        <v>251</v>
      </c>
      <c r="C57">
        <v>58</v>
      </c>
      <c r="D57" s="1">
        <v>5.1699999999999996E-2</v>
      </c>
      <c r="E57">
        <v>3</v>
      </c>
      <c r="F57">
        <v>0</v>
      </c>
      <c r="G57" s="2">
        <v>0</v>
      </c>
      <c r="H57" s="3">
        <v>0</v>
      </c>
      <c r="I57" s="3" t="s">
        <v>213</v>
      </c>
      <c r="J57" s="3">
        <v>0</v>
      </c>
    </row>
    <row r="58" spans="1:10" x14ac:dyDescent="0.3">
      <c r="A58" t="s">
        <v>87</v>
      </c>
      <c r="B58" t="s">
        <v>252</v>
      </c>
      <c r="C58">
        <v>88</v>
      </c>
      <c r="D58" s="1">
        <v>7.9500000000000001E-2</v>
      </c>
      <c r="E58">
        <v>7</v>
      </c>
      <c r="F58">
        <v>0</v>
      </c>
      <c r="G58" s="2">
        <v>0</v>
      </c>
      <c r="H58" s="3">
        <v>0</v>
      </c>
      <c r="I58" s="3" t="s">
        <v>213</v>
      </c>
      <c r="J58" s="3">
        <v>0</v>
      </c>
    </row>
    <row r="59" spans="1:10" x14ac:dyDescent="0.3">
      <c r="A59" t="s">
        <v>87</v>
      </c>
      <c r="B59" t="s">
        <v>411</v>
      </c>
      <c r="C59">
        <v>84</v>
      </c>
      <c r="D59" s="1">
        <v>5.9500000000000004E-2</v>
      </c>
      <c r="E59">
        <v>5</v>
      </c>
      <c r="F59">
        <v>0</v>
      </c>
      <c r="G59" s="2">
        <v>0</v>
      </c>
      <c r="H59" s="3">
        <v>0</v>
      </c>
      <c r="I59" s="3" t="s">
        <v>213</v>
      </c>
      <c r="J59" s="3">
        <v>0</v>
      </c>
    </row>
    <row r="60" spans="1:10" x14ac:dyDescent="0.3">
      <c r="A60" t="s">
        <v>88</v>
      </c>
      <c r="B60" t="s">
        <v>253</v>
      </c>
      <c r="C60">
        <v>738</v>
      </c>
      <c r="D60" s="1">
        <v>9.7599999999999992E-2</v>
      </c>
      <c r="E60">
        <v>72</v>
      </c>
      <c r="F60">
        <v>3</v>
      </c>
      <c r="G60" s="2">
        <v>4.1700000000000001E-2</v>
      </c>
      <c r="H60" s="3">
        <v>0.23</v>
      </c>
      <c r="I60" s="3">
        <v>5.63</v>
      </c>
      <c r="J60" s="3">
        <v>16.89</v>
      </c>
    </row>
    <row r="61" spans="1:10" x14ac:dyDescent="0.3">
      <c r="A61" t="s">
        <v>88</v>
      </c>
      <c r="B61" t="s">
        <v>253</v>
      </c>
      <c r="C61">
        <v>295</v>
      </c>
      <c r="D61" s="1">
        <v>5.0799999999999998E-2</v>
      </c>
      <c r="E61">
        <v>15</v>
      </c>
      <c r="F61">
        <v>0</v>
      </c>
      <c r="G61" s="2">
        <v>0</v>
      </c>
      <c r="H61" s="3">
        <v>0</v>
      </c>
      <c r="I61" s="3" t="s">
        <v>213</v>
      </c>
      <c r="J61" s="3">
        <v>0</v>
      </c>
    </row>
    <row r="62" spans="1:10" x14ac:dyDescent="0.3">
      <c r="A62" t="s">
        <v>110</v>
      </c>
      <c r="B62" t="s">
        <v>253</v>
      </c>
      <c r="C62">
        <v>323</v>
      </c>
      <c r="D62" s="1">
        <v>0.10220000000000001</v>
      </c>
      <c r="E62">
        <v>33</v>
      </c>
      <c r="F62">
        <v>6</v>
      </c>
      <c r="G62" s="2">
        <v>0.18179999999999999</v>
      </c>
      <c r="H62" s="3">
        <v>0.32</v>
      </c>
      <c r="I62" s="3">
        <v>1.74</v>
      </c>
      <c r="J62" s="3">
        <v>10.41</v>
      </c>
    </row>
    <row r="63" spans="1:10" x14ac:dyDescent="0.3">
      <c r="A63" t="s">
        <v>111</v>
      </c>
      <c r="B63" t="s">
        <v>242</v>
      </c>
      <c r="C63">
        <v>379</v>
      </c>
      <c r="D63" s="1">
        <v>6.8600000000000008E-2</v>
      </c>
      <c r="E63">
        <v>26</v>
      </c>
      <c r="F63">
        <v>1</v>
      </c>
      <c r="G63" s="2">
        <v>3.85E-2</v>
      </c>
      <c r="H63" s="3">
        <v>0.08</v>
      </c>
      <c r="I63" s="3">
        <v>2</v>
      </c>
      <c r="J63" s="3">
        <v>2</v>
      </c>
    </row>
    <row r="64" spans="1:10" x14ac:dyDescent="0.3">
      <c r="A64" t="s">
        <v>33</v>
      </c>
      <c r="B64" t="s">
        <v>253</v>
      </c>
      <c r="C64">
        <v>239</v>
      </c>
      <c r="D64" s="1">
        <v>5.0199999999999995E-2</v>
      </c>
      <c r="E64">
        <v>12</v>
      </c>
      <c r="F64">
        <v>0</v>
      </c>
      <c r="G64" s="2">
        <v>0</v>
      </c>
      <c r="H64" s="3">
        <v>0</v>
      </c>
      <c r="I64" s="3" t="s">
        <v>213</v>
      </c>
      <c r="J64" s="3">
        <v>0</v>
      </c>
    </row>
    <row r="65" spans="1:10" x14ac:dyDescent="0.3">
      <c r="A65" t="s">
        <v>33</v>
      </c>
      <c r="B65" t="s">
        <v>253</v>
      </c>
      <c r="C65">
        <v>398</v>
      </c>
      <c r="D65" s="1">
        <v>5.0300000000000004E-2</v>
      </c>
      <c r="E65">
        <v>20</v>
      </c>
      <c r="F65">
        <v>2</v>
      </c>
      <c r="G65" s="2">
        <v>0.1</v>
      </c>
      <c r="H65" s="3">
        <v>0.61</v>
      </c>
      <c r="I65" s="3">
        <v>6.08</v>
      </c>
      <c r="J65" s="3">
        <v>12.15</v>
      </c>
    </row>
    <row r="66" spans="1:10" x14ac:dyDescent="0.3">
      <c r="A66" t="s">
        <v>33</v>
      </c>
      <c r="B66" t="s">
        <v>253</v>
      </c>
      <c r="C66">
        <v>214</v>
      </c>
      <c r="D66" s="1">
        <v>4.2099999999999999E-2</v>
      </c>
      <c r="E66">
        <v>9</v>
      </c>
      <c r="F66">
        <v>1</v>
      </c>
      <c r="G66" s="2">
        <v>0.11109999999999999</v>
      </c>
      <c r="H66" s="3">
        <v>0.67</v>
      </c>
      <c r="I66" s="3">
        <v>6.05</v>
      </c>
      <c r="J66" s="3">
        <v>6.05</v>
      </c>
    </row>
    <row r="67" spans="1:10" x14ac:dyDescent="0.3">
      <c r="A67" t="s">
        <v>112</v>
      </c>
      <c r="B67" t="s">
        <v>233</v>
      </c>
      <c r="C67">
        <v>1063</v>
      </c>
      <c r="D67" s="1">
        <v>4.8899999999999999E-2</v>
      </c>
      <c r="E67">
        <v>52</v>
      </c>
      <c r="F67">
        <v>2</v>
      </c>
      <c r="G67" s="2">
        <v>3.85E-2</v>
      </c>
      <c r="H67" s="3">
        <v>0.18</v>
      </c>
      <c r="I67" s="3">
        <v>4.55</v>
      </c>
      <c r="J67" s="3">
        <v>9.1</v>
      </c>
    </row>
    <row r="68" spans="1:10" x14ac:dyDescent="0.3">
      <c r="A68" t="s">
        <v>43</v>
      </c>
      <c r="B68" t="s">
        <v>259</v>
      </c>
      <c r="C68">
        <v>234</v>
      </c>
      <c r="D68" s="1">
        <v>0.1026</v>
      </c>
      <c r="E68">
        <v>24</v>
      </c>
      <c r="F68">
        <v>5</v>
      </c>
      <c r="G68" s="2">
        <v>0.20829999999999999</v>
      </c>
      <c r="H68" s="3">
        <v>0.67</v>
      </c>
      <c r="I68" s="3">
        <v>3.21</v>
      </c>
      <c r="J68" s="3">
        <v>16.07</v>
      </c>
    </row>
    <row r="69" spans="1:10" x14ac:dyDescent="0.3">
      <c r="A69" t="s">
        <v>113</v>
      </c>
      <c r="B69" t="s">
        <v>248</v>
      </c>
      <c r="C69">
        <v>2264</v>
      </c>
      <c r="D69" s="1">
        <v>0.106</v>
      </c>
      <c r="E69">
        <v>240</v>
      </c>
      <c r="F69">
        <v>19</v>
      </c>
      <c r="G69" s="2">
        <v>7.9199999999999993E-2</v>
      </c>
      <c r="H69" s="3">
        <v>0.18</v>
      </c>
      <c r="I69" s="3">
        <v>2.31</v>
      </c>
      <c r="J69" s="3">
        <v>43.94</v>
      </c>
    </row>
    <row r="70" spans="1:10" x14ac:dyDescent="0.3">
      <c r="A70" t="s">
        <v>260</v>
      </c>
      <c r="B70" t="s">
        <v>215</v>
      </c>
      <c r="C70">
        <v>5025</v>
      </c>
      <c r="D70" s="1">
        <v>0.10349999999999999</v>
      </c>
      <c r="E70">
        <v>520</v>
      </c>
      <c r="F70">
        <v>71</v>
      </c>
      <c r="G70" s="2">
        <v>0.13650000000000001</v>
      </c>
      <c r="H70" s="3">
        <v>0.33</v>
      </c>
      <c r="I70" s="3">
        <v>2.42</v>
      </c>
      <c r="J70" s="3">
        <v>172.02</v>
      </c>
    </row>
    <row r="71" spans="1:10" x14ac:dyDescent="0.3">
      <c r="A71" t="s">
        <v>13</v>
      </c>
      <c r="B71" t="s">
        <v>233</v>
      </c>
      <c r="C71">
        <v>387</v>
      </c>
      <c r="D71" s="1">
        <v>0.1318</v>
      </c>
      <c r="E71">
        <v>51</v>
      </c>
      <c r="F71">
        <v>15</v>
      </c>
      <c r="G71" s="2">
        <v>0.29410000000000003</v>
      </c>
      <c r="H71" s="3">
        <v>0.92</v>
      </c>
      <c r="I71" s="3">
        <v>3.12</v>
      </c>
      <c r="J71" s="3">
        <v>46.75</v>
      </c>
    </row>
    <row r="72" spans="1:10" x14ac:dyDescent="0.3">
      <c r="A72" t="s">
        <v>13</v>
      </c>
      <c r="B72" t="s">
        <v>244</v>
      </c>
      <c r="C72">
        <v>349</v>
      </c>
      <c r="D72" s="1">
        <v>0.12890000000000001</v>
      </c>
      <c r="E72">
        <v>45</v>
      </c>
      <c r="F72">
        <v>7</v>
      </c>
      <c r="G72" s="2">
        <v>0.15560000000000002</v>
      </c>
      <c r="H72" s="3">
        <v>1</v>
      </c>
      <c r="I72" s="3">
        <v>6.4</v>
      </c>
      <c r="J72" s="3">
        <v>44.78</v>
      </c>
    </row>
    <row r="73" spans="1:10" x14ac:dyDescent="0.3">
      <c r="A73" t="s">
        <v>13</v>
      </c>
      <c r="B73" t="s">
        <v>228</v>
      </c>
      <c r="C73">
        <v>839</v>
      </c>
      <c r="D73" s="1">
        <v>8.3400000000000002E-2</v>
      </c>
      <c r="E73">
        <v>70</v>
      </c>
      <c r="F73">
        <v>5</v>
      </c>
      <c r="G73" s="2">
        <v>7.1399999999999991E-2</v>
      </c>
      <c r="H73" s="3">
        <v>0.12</v>
      </c>
      <c r="I73" s="3">
        <v>1.7</v>
      </c>
      <c r="J73" s="3">
        <v>8.5</v>
      </c>
    </row>
    <row r="74" spans="1:10" x14ac:dyDescent="0.3">
      <c r="A74" t="s">
        <v>13</v>
      </c>
      <c r="B74" t="s">
        <v>244</v>
      </c>
      <c r="C74">
        <v>450</v>
      </c>
      <c r="D74" s="1">
        <v>0.10439999999999999</v>
      </c>
      <c r="E74">
        <v>47</v>
      </c>
      <c r="F74">
        <v>3</v>
      </c>
      <c r="G74" s="2">
        <v>6.3799999999999996E-2</v>
      </c>
      <c r="H74" s="3">
        <v>0.49</v>
      </c>
      <c r="I74" s="3">
        <v>7.71</v>
      </c>
      <c r="J74" s="3">
        <v>23.13</v>
      </c>
    </row>
    <row r="75" spans="1:10" x14ac:dyDescent="0.3">
      <c r="A75" t="s">
        <v>69</v>
      </c>
      <c r="B75" t="s">
        <v>261</v>
      </c>
      <c r="C75">
        <v>134</v>
      </c>
      <c r="D75" s="1">
        <v>0.31340000000000001</v>
      </c>
      <c r="E75">
        <v>42</v>
      </c>
      <c r="F75">
        <v>2</v>
      </c>
      <c r="G75" s="2">
        <v>4.7599999999999996E-2</v>
      </c>
      <c r="H75" s="3">
        <v>0.39</v>
      </c>
      <c r="I75" s="3">
        <v>8.1</v>
      </c>
      <c r="J75" s="3">
        <v>16.190000000000001</v>
      </c>
    </row>
    <row r="76" spans="1:10" x14ac:dyDescent="0.3">
      <c r="A76" t="s">
        <v>69</v>
      </c>
      <c r="B76" t="s">
        <v>223</v>
      </c>
      <c r="C76">
        <v>158</v>
      </c>
      <c r="D76" s="1">
        <v>0.24679999999999999</v>
      </c>
      <c r="E76">
        <v>39</v>
      </c>
      <c r="F76">
        <v>1</v>
      </c>
      <c r="G76" s="2">
        <v>2.5600000000000001E-2</v>
      </c>
      <c r="H76" s="3">
        <v>0.33</v>
      </c>
      <c r="I76" s="3">
        <v>12.91</v>
      </c>
      <c r="J76" s="3">
        <v>12.91</v>
      </c>
    </row>
    <row r="77" spans="1:10" x14ac:dyDescent="0.3">
      <c r="A77" t="s">
        <v>69</v>
      </c>
      <c r="B77" t="s">
        <v>223</v>
      </c>
      <c r="C77">
        <v>0</v>
      </c>
      <c r="D77" s="1">
        <v>0</v>
      </c>
      <c r="E77">
        <v>0</v>
      </c>
      <c r="F77">
        <v>0</v>
      </c>
      <c r="G77" s="2">
        <v>0</v>
      </c>
      <c r="H77" s="3" t="s">
        <v>213</v>
      </c>
      <c r="I77" s="3" t="s">
        <v>213</v>
      </c>
      <c r="J77" s="3">
        <v>0</v>
      </c>
    </row>
    <row r="78" spans="1:10" x14ac:dyDescent="0.3">
      <c r="A78" t="s">
        <v>69</v>
      </c>
      <c r="B78" t="s">
        <v>261</v>
      </c>
      <c r="C78">
        <v>0</v>
      </c>
      <c r="D78" s="1">
        <v>0</v>
      </c>
      <c r="E78">
        <v>0</v>
      </c>
      <c r="F78">
        <v>0</v>
      </c>
      <c r="G78" s="2">
        <v>0</v>
      </c>
      <c r="H78" s="3" t="s">
        <v>213</v>
      </c>
      <c r="I78" s="3" t="s">
        <v>213</v>
      </c>
      <c r="J78" s="3">
        <v>0</v>
      </c>
    </row>
    <row r="79" spans="1:10" x14ac:dyDescent="0.3">
      <c r="A79" t="s">
        <v>114</v>
      </c>
      <c r="B79" t="s">
        <v>244</v>
      </c>
      <c r="C79">
        <v>386</v>
      </c>
      <c r="D79" s="1">
        <v>0.10880000000000001</v>
      </c>
      <c r="E79">
        <v>42</v>
      </c>
      <c r="F79">
        <v>3</v>
      </c>
      <c r="G79" s="2">
        <v>7.1399999999999991E-2</v>
      </c>
      <c r="H79" s="3">
        <v>0.46</v>
      </c>
      <c r="I79" s="3">
        <v>6.49</v>
      </c>
      <c r="J79" s="3">
        <v>19.46</v>
      </c>
    </row>
    <row r="80" spans="1:10" x14ac:dyDescent="0.3">
      <c r="A80" t="s">
        <v>18</v>
      </c>
      <c r="B80" t="s">
        <v>262</v>
      </c>
      <c r="C80">
        <v>1893</v>
      </c>
      <c r="D80" s="1">
        <v>9.5600000000000004E-2</v>
      </c>
      <c r="E80">
        <v>181</v>
      </c>
      <c r="F80">
        <v>18</v>
      </c>
      <c r="G80" s="2">
        <v>9.9399999999999988E-2</v>
      </c>
      <c r="H80" s="3">
        <v>0.79</v>
      </c>
      <c r="I80" s="3">
        <v>7.94</v>
      </c>
      <c r="J80" s="3">
        <v>142.99</v>
      </c>
    </row>
    <row r="81" spans="1:10" x14ac:dyDescent="0.3">
      <c r="A81" t="s">
        <v>18</v>
      </c>
      <c r="B81" t="s">
        <v>221</v>
      </c>
      <c r="C81">
        <v>1107</v>
      </c>
      <c r="D81" s="1">
        <v>0.1066</v>
      </c>
      <c r="E81">
        <v>118</v>
      </c>
      <c r="F81">
        <v>10</v>
      </c>
      <c r="G81" s="2">
        <v>8.4700000000000011E-2</v>
      </c>
      <c r="H81" s="3">
        <v>0.62</v>
      </c>
      <c r="I81" s="3">
        <v>7.27</v>
      </c>
      <c r="J81" s="3">
        <v>72.650000000000006</v>
      </c>
    </row>
    <row r="82" spans="1:10" x14ac:dyDescent="0.3">
      <c r="A82" t="s">
        <v>18</v>
      </c>
      <c r="B82" t="s">
        <v>262</v>
      </c>
      <c r="C82">
        <v>583</v>
      </c>
      <c r="D82" s="1">
        <v>0.10289999999999999</v>
      </c>
      <c r="E82">
        <v>60</v>
      </c>
      <c r="F82">
        <v>2</v>
      </c>
      <c r="G82" s="2">
        <v>3.3300000000000003E-2</v>
      </c>
      <c r="H82" s="3">
        <v>0.09</v>
      </c>
      <c r="I82" s="3">
        <v>2.56</v>
      </c>
      <c r="J82" s="3">
        <v>5.1100000000000003</v>
      </c>
    </row>
    <row r="83" spans="1:10" x14ac:dyDescent="0.3">
      <c r="A83" t="s">
        <v>59</v>
      </c>
      <c r="B83" t="s">
        <v>232</v>
      </c>
      <c r="C83">
        <v>1287</v>
      </c>
      <c r="D83" s="1">
        <v>8.3100000000000007E-2</v>
      </c>
      <c r="E83">
        <v>107</v>
      </c>
      <c r="F83">
        <v>4</v>
      </c>
      <c r="G83" s="2">
        <v>3.7400000000000003E-2</v>
      </c>
      <c r="H83" s="3">
        <v>0.1</v>
      </c>
      <c r="I83" s="3">
        <v>2.59</v>
      </c>
      <c r="J83" s="3">
        <v>10.37</v>
      </c>
    </row>
    <row r="84" spans="1:10" x14ac:dyDescent="0.3">
      <c r="A84" t="s">
        <v>59</v>
      </c>
      <c r="B84" t="s">
        <v>239</v>
      </c>
      <c r="C84">
        <v>259</v>
      </c>
      <c r="D84" s="1">
        <v>6.5599999999999992E-2</v>
      </c>
      <c r="E84">
        <v>17</v>
      </c>
      <c r="F84">
        <v>4</v>
      </c>
      <c r="G84" s="2">
        <v>0.23530000000000001</v>
      </c>
      <c r="H84" s="3">
        <v>0.72</v>
      </c>
      <c r="I84" s="3">
        <v>3.07</v>
      </c>
      <c r="J84" s="3">
        <v>12.27</v>
      </c>
    </row>
    <row r="85" spans="1:10" x14ac:dyDescent="0.3">
      <c r="A85" t="s">
        <v>116</v>
      </c>
      <c r="B85" t="s">
        <v>212</v>
      </c>
      <c r="C85">
        <v>84</v>
      </c>
      <c r="D85" s="1">
        <v>7.1399999999999991E-2</v>
      </c>
      <c r="E85">
        <v>6</v>
      </c>
      <c r="F85">
        <v>0</v>
      </c>
      <c r="G85" s="2">
        <v>0</v>
      </c>
      <c r="H85" s="3">
        <v>0</v>
      </c>
      <c r="I85" s="3" t="s">
        <v>213</v>
      </c>
      <c r="J85" s="3">
        <v>0</v>
      </c>
    </row>
    <row r="86" spans="1:10" x14ac:dyDescent="0.3">
      <c r="A86" t="s">
        <v>117</v>
      </c>
      <c r="B86" t="s">
        <v>212</v>
      </c>
      <c r="C86">
        <v>6</v>
      </c>
      <c r="D86" s="1">
        <v>0</v>
      </c>
      <c r="E86">
        <v>0</v>
      </c>
      <c r="F86">
        <v>0</v>
      </c>
      <c r="G86" s="2">
        <v>0</v>
      </c>
      <c r="H86" s="3" t="s">
        <v>213</v>
      </c>
      <c r="I86" s="3" t="s">
        <v>213</v>
      </c>
      <c r="J86" s="3">
        <v>0</v>
      </c>
    </row>
    <row r="87" spans="1:10" x14ac:dyDescent="0.3">
      <c r="A87" t="s">
        <v>118</v>
      </c>
      <c r="B87" t="s">
        <v>263</v>
      </c>
      <c r="C87">
        <v>685</v>
      </c>
      <c r="D87" s="1">
        <v>5.5500000000000001E-2</v>
      </c>
      <c r="E87">
        <v>38</v>
      </c>
      <c r="F87">
        <v>3</v>
      </c>
      <c r="G87" s="2">
        <v>7.8899999999999998E-2</v>
      </c>
      <c r="H87" s="3">
        <v>0.28999999999999998</v>
      </c>
      <c r="I87" s="3">
        <v>3.61</v>
      </c>
      <c r="J87" s="3">
        <v>10.84</v>
      </c>
    </row>
    <row r="88" spans="1:10" x14ac:dyDescent="0.3">
      <c r="A88" t="s">
        <v>31</v>
      </c>
      <c r="B88" t="s">
        <v>233</v>
      </c>
      <c r="C88">
        <v>399</v>
      </c>
      <c r="D88" s="1">
        <v>6.0199999999999997E-2</v>
      </c>
      <c r="E88">
        <v>24</v>
      </c>
      <c r="F88">
        <v>4</v>
      </c>
      <c r="G88" s="2">
        <v>0.16670000000000001</v>
      </c>
      <c r="H88" s="3">
        <v>0.8</v>
      </c>
      <c r="I88" s="3">
        <v>4.78</v>
      </c>
      <c r="J88" s="3">
        <v>19.13</v>
      </c>
    </row>
    <row r="89" spans="1:10" x14ac:dyDescent="0.3">
      <c r="A89" t="s">
        <v>31</v>
      </c>
      <c r="B89" t="s">
        <v>233</v>
      </c>
      <c r="C89">
        <v>446</v>
      </c>
      <c r="D89" s="1">
        <v>4.2599999999999999E-2</v>
      </c>
      <c r="E89">
        <v>19</v>
      </c>
      <c r="F89">
        <v>2</v>
      </c>
      <c r="G89" s="2">
        <v>0.10529999999999999</v>
      </c>
      <c r="H89" s="3">
        <v>0.51</v>
      </c>
      <c r="I89" s="3">
        <v>4.84</v>
      </c>
      <c r="J89" s="3">
        <v>9.68</v>
      </c>
    </row>
    <row r="90" spans="1:10" x14ac:dyDescent="0.3">
      <c r="A90" t="s">
        <v>16</v>
      </c>
      <c r="B90" t="s">
        <v>248</v>
      </c>
      <c r="C90">
        <v>1463</v>
      </c>
      <c r="D90" s="1">
        <v>0.1183</v>
      </c>
      <c r="E90">
        <v>173</v>
      </c>
      <c r="F90">
        <v>18</v>
      </c>
      <c r="G90" s="2">
        <v>0.10400000000000001</v>
      </c>
      <c r="H90" s="3">
        <v>0.93</v>
      </c>
      <c r="I90" s="3">
        <v>8.9700000000000006</v>
      </c>
      <c r="J90" s="3">
        <v>161.5</v>
      </c>
    </row>
    <row r="91" spans="1:10" x14ac:dyDescent="0.3">
      <c r="A91" t="s">
        <v>16</v>
      </c>
      <c r="B91" t="s">
        <v>248</v>
      </c>
      <c r="C91">
        <v>356</v>
      </c>
      <c r="D91" s="1">
        <v>8.43E-2</v>
      </c>
      <c r="E91">
        <v>30</v>
      </c>
      <c r="F91">
        <v>3</v>
      </c>
      <c r="G91" s="2">
        <v>0.1</v>
      </c>
      <c r="H91" s="3">
        <v>0.26</v>
      </c>
      <c r="I91" s="3">
        <v>2.57</v>
      </c>
      <c r="J91" s="3">
        <v>7.7</v>
      </c>
    </row>
    <row r="92" spans="1:10" x14ac:dyDescent="0.3">
      <c r="A92" t="s">
        <v>16</v>
      </c>
      <c r="B92" t="s">
        <v>233</v>
      </c>
      <c r="C92">
        <v>118</v>
      </c>
      <c r="D92" s="1">
        <v>0.17800000000000002</v>
      </c>
      <c r="E92">
        <v>21</v>
      </c>
      <c r="F92">
        <v>2</v>
      </c>
      <c r="G92" s="2">
        <v>9.5199999999999993E-2</v>
      </c>
      <c r="H92" s="3">
        <v>0.48</v>
      </c>
      <c r="I92" s="3">
        <v>5.09</v>
      </c>
      <c r="J92" s="3">
        <v>10.17</v>
      </c>
    </row>
    <row r="93" spans="1:10" x14ac:dyDescent="0.3">
      <c r="A93" t="s">
        <v>16</v>
      </c>
      <c r="B93" t="s">
        <v>233</v>
      </c>
      <c r="C93">
        <v>241</v>
      </c>
      <c r="D93" s="1">
        <v>0.13689999999999999</v>
      </c>
      <c r="E93">
        <v>33</v>
      </c>
      <c r="F93">
        <v>1</v>
      </c>
      <c r="G93" s="2">
        <v>3.0299999999999997E-2</v>
      </c>
      <c r="H93" s="3">
        <v>7.0000000000000007E-2</v>
      </c>
      <c r="I93" s="3">
        <v>2.16</v>
      </c>
      <c r="J93" s="3">
        <v>2.16</v>
      </c>
    </row>
    <row r="94" spans="1:10" x14ac:dyDescent="0.3">
      <c r="A94" t="s">
        <v>16</v>
      </c>
      <c r="B94" t="s">
        <v>232</v>
      </c>
      <c r="C94">
        <v>106</v>
      </c>
      <c r="D94" s="1">
        <v>0.11320000000000001</v>
      </c>
      <c r="E94">
        <v>12</v>
      </c>
      <c r="F94">
        <v>1</v>
      </c>
      <c r="G94" s="2">
        <v>8.3299999999999999E-2</v>
      </c>
      <c r="H94" s="3">
        <v>1.22</v>
      </c>
      <c r="I94" s="3">
        <v>14.67</v>
      </c>
      <c r="J94" s="3">
        <v>14.67</v>
      </c>
    </row>
    <row r="95" spans="1:10" x14ac:dyDescent="0.3">
      <c r="A95" t="s">
        <v>16</v>
      </c>
      <c r="B95" t="s">
        <v>228</v>
      </c>
      <c r="C95">
        <v>161</v>
      </c>
      <c r="D95" s="1">
        <v>6.83E-2</v>
      </c>
      <c r="E95">
        <v>11</v>
      </c>
      <c r="F95">
        <v>1</v>
      </c>
      <c r="G95" s="2">
        <v>9.0899999999999995E-2</v>
      </c>
      <c r="H95" s="3">
        <v>1.02</v>
      </c>
      <c r="I95" s="3">
        <v>11.2</v>
      </c>
      <c r="J95" s="3">
        <v>11.2</v>
      </c>
    </row>
    <row r="96" spans="1:10" x14ac:dyDescent="0.3">
      <c r="A96" t="s">
        <v>16</v>
      </c>
      <c r="B96" t="s">
        <v>264</v>
      </c>
      <c r="C96">
        <v>12</v>
      </c>
      <c r="D96" s="1">
        <v>0.33329999999999999</v>
      </c>
      <c r="E96">
        <v>4</v>
      </c>
      <c r="F96">
        <v>1</v>
      </c>
      <c r="G96" s="2">
        <v>0.25</v>
      </c>
      <c r="H96" s="3">
        <v>1.18</v>
      </c>
      <c r="I96" s="3">
        <v>4.7300000000000004</v>
      </c>
      <c r="J96" s="3">
        <v>4.7300000000000004</v>
      </c>
    </row>
    <row r="97" spans="1:10" x14ac:dyDescent="0.3">
      <c r="A97" t="s">
        <v>16</v>
      </c>
      <c r="B97" t="s">
        <v>239</v>
      </c>
      <c r="C97">
        <v>10</v>
      </c>
      <c r="D97" s="1">
        <v>0.2</v>
      </c>
      <c r="E97">
        <v>2</v>
      </c>
      <c r="F97">
        <v>1</v>
      </c>
      <c r="G97" s="2">
        <v>0.5</v>
      </c>
      <c r="H97" s="3">
        <v>1.98</v>
      </c>
      <c r="I97" s="3">
        <v>3.96</v>
      </c>
      <c r="J97" s="3">
        <v>3.96</v>
      </c>
    </row>
    <row r="98" spans="1:10" x14ac:dyDescent="0.3">
      <c r="A98" t="s">
        <v>16</v>
      </c>
      <c r="B98" t="s">
        <v>265</v>
      </c>
      <c r="C98">
        <v>20</v>
      </c>
      <c r="D98" s="1">
        <v>0.1</v>
      </c>
      <c r="E98">
        <v>2</v>
      </c>
      <c r="F98">
        <v>0</v>
      </c>
      <c r="G98" s="2">
        <v>0</v>
      </c>
      <c r="H98" s="3">
        <v>0</v>
      </c>
      <c r="I98" s="3" t="s">
        <v>213</v>
      </c>
      <c r="J98" s="3">
        <v>0</v>
      </c>
    </row>
    <row r="99" spans="1:10" x14ac:dyDescent="0.3">
      <c r="A99" t="s">
        <v>16</v>
      </c>
      <c r="B99" t="s">
        <v>266</v>
      </c>
      <c r="C99">
        <v>21</v>
      </c>
      <c r="D99" s="1">
        <v>4.7599999999999996E-2</v>
      </c>
      <c r="E99">
        <v>1</v>
      </c>
      <c r="F99">
        <v>0</v>
      </c>
      <c r="G99" s="2">
        <v>0</v>
      </c>
      <c r="H99" s="3">
        <v>0</v>
      </c>
      <c r="I99" s="3" t="s">
        <v>213</v>
      </c>
      <c r="J99" s="3">
        <v>0</v>
      </c>
    </row>
    <row r="100" spans="1:10" x14ac:dyDescent="0.3">
      <c r="A100" t="s">
        <v>16</v>
      </c>
      <c r="B100" t="s">
        <v>248</v>
      </c>
      <c r="C100">
        <v>90</v>
      </c>
      <c r="D100" s="1">
        <v>0.1</v>
      </c>
      <c r="E100">
        <v>9</v>
      </c>
      <c r="F100">
        <v>2</v>
      </c>
      <c r="G100" s="2">
        <v>0.22219999999999998</v>
      </c>
      <c r="H100" s="3">
        <v>1.01</v>
      </c>
      <c r="I100" s="3">
        <v>4.55</v>
      </c>
      <c r="J100" s="3">
        <v>9.09</v>
      </c>
    </row>
    <row r="101" spans="1:10" x14ac:dyDescent="0.3">
      <c r="A101" t="s">
        <v>16</v>
      </c>
      <c r="B101" t="s">
        <v>248</v>
      </c>
      <c r="C101">
        <v>83</v>
      </c>
      <c r="D101" s="1">
        <v>0.1084</v>
      </c>
      <c r="E101">
        <v>9</v>
      </c>
      <c r="F101">
        <v>1</v>
      </c>
      <c r="G101" s="2">
        <v>0.11109999999999999</v>
      </c>
      <c r="H101" s="3">
        <v>0.38</v>
      </c>
      <c r="I101" s="3">
        <v>3.38</v>
      </c>
      <c r="J101" s="3">
        <v>3.38</v>
      </c>
    </row>
    <row r="102" spans="1:10" x14ac:dyDescent="0.3">
      <c r="A102" t="s">
        <v>16</v>
      </c>
      <c r="B102" t="s">
        <v>235</v>
      </c>
      <c r="C102">
        <v>168</v>
      </c>
      <c r="D102" s="1">
        <v>8.3299999999999999E-2</v>
      </c>
      <c r="E102">
        <v>14</v>
      </c>
      <c r="F102">
        <v>0</v>
      </c>
      <c r="G102" s="2">
        <v>0</v>
      </c>
      <c r="H102" s="3">
        <v>0</v>
      </c>
      <c r="I102" s="3" t="s">
        <v>213</v>
      </c>
      <c r="J102" s="3">
        <v>0</v>
      </c>
    </row>
    <row r="103" spans="1:10" x14ac:dyDescent="0.3">
      <c r="A103" t="s">
        <v>16</v>
      </c>
      <c r="B103" t="s">
        <v>286</v>
      </c>
      <c r="C103">
        <v>10</v>
      </c>
      <c r="D103" s="1">
        <v>0.1</v>
      </c>
      <c r="E103">
        <v>1</v>
      </c>
      <c r="F103">
        <v>1</v>
      </c>
      <c r="G103" s="2">
        <v>1</v>
      </c>
      <c r="H103" s="3">
        <v>4.7300000000000004</v>
      </c>
      <c r="I103" s="3">
        <v>4.7300000000000004</v>
      </c>
      <c r="J103" s="3">
        <v>4.7300000000000004</v>
      </c>
    </row>
    <row r="104" spans="1:10" x14ac:dyDescent="0.3">
      <c r="A104" t="s">
        <v>16</v>
      </c>
      <c r="B104" t="s">
        <v>239</v>
      </c>
      <c r="C104">
        <v>8</v>
      </c>
      <c r="D104" s="1">
        <v>0.125</v>
      </c>
      <c r="E104">
        <v>1</v>
      </c>
      <c r="F104">
        <v>1</v>
      </c>
      <c r="G104" s="2">
        <v>1</v>
      </c>
      <c r="H104" s="3">
        <v>3.96</v>
      </c>
      <c r="I104" s="3">
        <v>3.96</v>
      </c>
      <c r="J104" s="3">
        <v>3.96</v>
      </c>
    </row>
    <row r="105" spans="1:10" x14ac:dyDescent="0.3">
      <c r="A105" t="s">
        <v>16</v>
      </c>
      <c r="B105" t="s">
        <v>266</v>
      </c>
      <c r="C105">
        <v>27</v>
      </c>
      <c r="D105" s="1">
        <v>0.11109999999999999</v>
      </c>
      <c r="E105">
        <v>3</v>
      </c>
      <c r="F105">
        <v>0</v>
      </c>
      <c r="G105" s="2">
        <v>0</v>
      </c>
      <c r="H105" s="3">
        <v>0</v>
      </c>
      <c r="I105" s="3" t="s">
        <v>213</v>
      </c>
      <c r="J105" s="3">
        <v>0</v>
      </c>
    </row>
    <row r="106" spans="1:10" x14ac:dyDescent="0.3">
      <c r="A106" t="s">
        <v>16</v>
      </c>
      <c r="B106" t="s">
        <v>265</v>
      </c>
      <c r="C106">
        <v>16</v>
      </c>
      <c r="D106" s="1">
        <v>6.25E-2</v>
      </c>
      <c r="E106">
        <v>1</v>
      </c>
      <c r="F106">
        <v>0</v>
      </c>
      <c r="G106" s="2">
        <v>0</v>
      </c>
      <c r="H106" s="3">
        <v>0</v>
      </c>
      <c r="I106" s="3" t="s">
        <v>213</v>
      </c>
      <c r="J106" s="3">
        <v>0</v>
      </c>
    </row>
    <row r="107" spans="1:10" x14ac:dyDescent="0.3">
      <c r="A107" t="s">
        <v>16</v>
      </c>
      <c r="B107" t="s">
        <v>264</v>
      </c>
      <c r="C107">
        <v>10</v>
      </c>
      <c r="D107" s="1">
        <v>0</v>
      </c>
      <c r="E107">
        <v>0</v>
      </c>
      <c r="F107">
        <v>0</v>
      </c>
      <c r="G107" s="2">
        <v>0</v>
      </c>
      <c r="H107" s="3" t="s">
        <v>213</v>
      </c>
      <c r="I107" s="3" t="s">
        <v>213</v>
      </c>
      <c r="J107" s="3">
        <v>0</v>
      </c>
    </row>
    <row r="108" spans="1:10" x14ac:dyDescent="0.3">
      <c r="A108" t="s">
        <v>44</v>
      </c>
      <c r="B108" t="s">
        <v>233</v>
      </c>
      <c r="C108">
        <v>1130</v>
      </c>
      <c r="D108" s="1">
        <v>6.6400000000000001E-2</v>
      </c>
      <c r="E108">
        <v>75</v>
      </c>
      <c r="F108">
        <v>6</v>
      </c>
      <c r="G108" s="2">
        <v>0.08</v>
      </c>
      <c r="H108" s="3">
        <v>0.55000000000000004</v>
      </c>
      <c r="I108" s="3">
        <v>6.88</v>
      </c>
      <c r="J108" s="3">
        <v>41.29</v>
      </c>
    </row>
    <row r="109" spans="1:10" x14ac:dyDescent="0.3">
      <c r="A109" t="s">
        <v>119</v>
      </c>
      <c r="B109" t="s">
        <v>268</v>
      </c>
      <c r="C109">
        <v>30</v>
      </c>
      <c r="D109" s="1">
        <v>0.16670000000000001</v>
      </c>
      <c r="E109">
        <v>5</v>
      </c>
      <c r="F109">
        <v>0</v>
      </c>
      <c r="G109" s="2">
        <v>0</v>
      </c>
      <c r="H109" s="3">
        <v>0</v>
      </c>
      <c r="I109" s="3" t="s">
        <v>213</v>
      </c>
      <c r="J109" s="3">
        <v>0</v>
      </c>
    </row>
    <row r="110" spans="1:10" x14ac:dyDescent="0.3">
      <c r="A110" t="s">
        <v>74</v>
      </c>
      <c r="B110" t="s">
        <v>233</v>
      </c>
      <c r="C110">
        <v>1289</v>
      </c>
      <c r="D110" s="1">
        <v>0.1202</v>
      </c>
      <c r="E110">
        <v>155</v>
      </c>
      <c r="F110">
        <v>19</v>
      </c>
      <c r="G110" s="2">
        <v>0.1226</v>
      </c>
      <c r="H110" s="3">
        <v>0.41</v>
      </c>
      <c r="I110" s="3">
        <v>3.31</v>
      </c>
      <c r="J110" s="3">
        <v>62.95</v>
      </c>
    </row>
    <row r="111" spans="1:10" x14ac:dyDescent="0.3">
      <c r="A111" t="s">
        <v>74</v>
      </c>
      <c r="B111" t="s">
        <v>233</v>
      </c>
      <c r="C111">
        <v>1038</v>
      </c>
      <c r="D111" s="1">
        <v>9.4399999999999998E-2</v>
      </c>
      <c r="E111">
        <v>98</v>
      </c>
      <c r="F111">
        <v>19</v>
      </c>
      <c r="G111" s="2">
        <v>0.19390000000000002</v>
      </c>
      <c r="H111" s="3">
        <v>0.44</v>
      </c>
      <c r="I111" s="3">
        <v>2.2799999999999998</v>
      </c>
      <c r="J111" s="3">
        <v>43.35</v>
      </c>
    </row>
    <row r="112" spans="1:10" x14ac:dyDescent="0.3">
      <c r="A112" t="s">
        <v>74</v>
      </c>
      <c r="B112" t="s">
        <v>269</v>
      </c>
      <c r="C112">
        <v>593</v>
      </c>
      <c r="D112" s="1">
        <v>0.1079</v>
      </c>
      <c r="E112">
        <v>64</v>
      </c>
      <c r="F112">
        <v>13</v>
      </c>
      <c r="G112" s="2">
        <v>0.20309999999999997</v>
      </c>
      <c r="H112" s="3">
        <v>1.48</v>
      </c>
      <c r="I112" s="3">
        <v>7.31</v>
      </c>
      <c r="J112" s="3">
        <v>95</v>
      </c>
    </row>
    <row r="113" spans="1:10" x14ac:dyDescent="0.3">
      <c r="A113" t="s">
        <v>74</v>
      </c>
      <c r="B113" t="s">
        <v>233</v>
      </c>
      <c r="C113">
        <v>1059</v>
      </c>
      <c r="D113" s="1">
        <v>7.9299999999999995E-2</v>
      </c>
      <c r="E113">
        <v>84</v>
      </c>
      <c r="F113">
        <v>9</v>
      </c>
      <c r="G113" s="2">
        <v>0.10710000000000001</v>
      </c>
      <c r="H113" s="3">
        <v>0.49</v>
      </c>
      <c r="I113" s="3">
        <v>4.62</v>
      </c>
      <c r="J113" s="3">
        <v>41.54</v>
      </c>
    </row>
    <row r="114" spans="1:10" x14ac:dyDescent="0.3">
      <c r="A114" t="s">
        <v>74</v>
      </c>
      <c r="B114" t="s">
        <v>233</v>
      </c>
      <c r="C114">
        <v>554</v>
      </c>
      <c r="D114" s="1">
        <v>0.1137</v>
      </c>
      <c r="E114">
        <v>63</v>
      </c>
      <c r="F114">
        <v>6</v>
      </c>
      <c r="G114" s="2">
        <v>9.5199999999999993E-2</v>
      </c>
      <c r="H114" s="3">
        <v>0.21</v>
      </c>
      <c r="I114" s="3">
        <v>2.2000000000000002</v>
      </c>
      <c r="J114" s="3">
        <v>13.17</v>
      </c>
    </row>
    <row r="115" spans="1:10" x14ac:dyDescent="0.3">
      <c r="A115" t="s">
        <v>74</v>
      </c>
      <c r="B115" t="s">
        <v>233</v>
      </c>
      <c r="C115">
        <v>359</v>
      </c>
      <c r="D115" s="1">
        <v>0.12529999999999999</v>
      </c>
      <c r="E115">
        <v>45</v>
      </c>
      <c r="F115">
        <v>5</v>
      </c>
      <c r="G115" s="2">
        <v>0.11109999999999999</v>
      </c>
      <c r="H115" s="3">
        <v>0.19</v>
      </c>
      <c r="I115" s="3">
        <v>1.7</v>
      </c>
      <c r="J115" s="3">
        <v>8.52</v>
      </c>
    </row>
    <row r="116" spans="1:10" x14ac:dyDescent="0.3">
      <c r="A116" t="s">
        <v>74</v>
      </c>
      <c r="B116" t="s">
        <v>233</v>
      </c>
      <c r="C116">
        <v>264</v>
      </c>
      <c r="D116" s="1">
        <v>0.125</v>
      </c>
      <c r="E116">
        <v>33</v>
      </c>
      <c r="F116">
        <v>5</v>
      </c>
      <c r="G116" s="2">
        <v>0.1515</v>
      </c>
      <c r="H116" s="3">
        <v>0.28999999999999998</v>
      </c>
      <c r="I116" s="3">
        <v>1.94</v>
      </c>
      <c r="J116" s="3">
        <v>9.69</v>
      </c>
    </row>
    <row r="117" spans="1:10" x14ac:dyDescent="0.3">
      <c r="A117" t="s">
        <v>45</v>
      </c>
      <c r="B117" t="s">
        <v>233</v>
      </c>
      <c r="C117">
        <v>1489</v>
      </c>
      <c r="D117" s="1">
        <v>6.25E-2</v>
      </c>
      <c r="E117">
        <v>93</v>
      </c>
      <c r="F117">
        <v>10</v>
      </c>
      <c r="G117" s="2">
        <v>0.1075</v>
      </c>
      <c r="H117" s="3">
        <v>0.44</v>
      </c>
      <c r="I117" s="3">
        <v>4.05</v>
      </c>
      <c r="J117" s="3">
        <v>40.5</v>
      </c>
    </row>
    <row r="118" spans="1:10" x14ac:dyDescent="0.3">
      <c r="A118" t="s">
        <v>120</v>
      </c>
      <c r="B118" t="s">
        <v>212</v>
      </c>
      <c r="C118">
        <v>750</v>
      </c>
      <c r="D118" s="1">
        <v>7.7300000000000008E-2</v>
      </c>
      <c r="E118">
        <v>58</v>
      </c>
      <c r="F118">
        <v>1</v>
      </c>
      <c r="G118" s="2">
        <v>1.72E-2</v>
      </c>
      <c r="H118" s="3">
        <v>0.19</v>
      </c>
      <c r="I118" s="3">
        <v>11.08</v>
      </c>
      <c r="J118" s="3">
        <v>11.08</v>
      </c>
    </row>
    <row r="119" spans="1:10" x14ac:dyDescent="0.3">
      <c r="A119" t="s">
        <v>46</v>
      </c>
      <c r="B119" t="s">
        <v>233</v>
      </c>
      <c r="C119">
        <v>865</v>
      </c>
      <c r="D119" s="1">
        <v>7.7499999999999999E-2</v>
      </c>
      <c r="E119">
        <v>67</v>
      </c>
      <c r="F119">
        <v>2</v>
      </c>
      <c r="G119" s="2">
        <v>2.9900000000000003E-2</v>
      </c>
      <c r="H119" s="3">
        <v>0.06</v>
      </c>
      <c r="I119" s="3">
        <v>2.0699999999999998</v>
      </c>
      <c r="J119" s="3">
        <v>4.13</v>
      </c>
    </row>
    <row r="120" spans="1:10" x14ac:dyDescent="0.3">
      <c r="A120" t="s">
        <v>79</v>
      </c>
      <c r="B120" t="s">
        <v>238</v>
      </c>
      <c r="C120">
        <v>20</v>
      </c>
      <c r="D120" s="1">
        <v>0.05</v>
      </c>
      <c r="E120">
        <v>1</v>
      </c>
      <c r="F120">
        <v>0</v>
      </c>
      <c r="G120" s="2">
        <v>0</v>
      </c>
      <c r="H120" s="3">
        <v>0</v>
      </c>
      <c r="I120" s="3" t="s">
        <v>213</v>
      </c>
      <c r="J120" s="3">
        <v>0</v>
      </c>
    </row>
    <row r="121" spans="1:10" x14ac:dyDescent="0.3">
      <c r="A121" t="s">
        <v>79</v>
      </c>
      <c r="B121" t="s">
        <v>313</v>
      </c>
      <c r="C121">
        <v>22</v>
      </c>
      <c r="D121" s="1">
        <v>0</v>
      </c>
      <c r="E121">
        <v>0</v>
      </c>
      <c r="F121">
        <v>0</v>
      </c>
      <c r="G121" s="2">
        <v>0</v>
      </c>
      <c r="H121" s="3" t="s">
        <v>213</v>
      </c>
      <c r="I121" s="3" t="s">
        <v>213</v>
      </c>
      <c r="J121" s="3">
        <v>0</v>
      </c>
    </row>
    <row r="122" spans="1:10" x14ac:dyDescent="0.3">
      <c r="A122" t="s">
        <v>79</v>
      </c>
      <c r="B122" t="s">
        <v>223</v>
      </c>
      <c r="C122">
        <v>8</v>
      </c>
      <c r="D122" s="1">
        <v>0</v>
      </c>
      <c r="E122">
        <v>0</v>
      </c>
      <c r="F122">
        <v>0</v>
      </c>
      <c r="G122" s="2">
        <v>0</v>
      </c>
      <c r="H122" s="3" t="s">
        <v>213</v>
      </c>
      <c r="I122" s="3" t="s">
        <v>213</v>
      </c>
      <c r="J122" s="3">
        <v>0</v>
      </c>
    </row>
    <row r="123" spans="1:10" x14ac:dyDescent="0.3">
      <c r="A123" t="s">
        <v>79</v>
      </c>
      <c r="B123" t="s">
        <v>390</v>
      </c>
      <c r="C123">
        <v>8</v>
      </c>
      <c r="D123" s="1">
        <v>0</v>
      </c>
      <c r="E123">
        <v>0</v>
      </c>
      <c r="F123">
        <v>0</v>
      </c>
      <c r="G123" s="2">
        <v>0</v>
      </c>
      <c r="H123" s="3" t="s">
        <v>213</v>
      </c>
      <c r="I123" s="3" t="s">
        <v>213</v>
      </c>
      <c r="J123" s="3">
        <v>0</v>
      </c>
    </row>
    <row r="124" spans="1:10" x14ac:dyDescent="0.3">
      <c r="A124" t="s">
        <v>79</v>
      </c>
      <c r="B124" t="s">
        <v>416</v>
      </c>
      <c r="C124">
        <v>9</v>
      </c>
      <c r="D124" s="1">
        <v>0</v>
      </c>
      <c r="E124">
        <v>0</v>
      </c>
      <c r="F124">
        <v>0</v>
      </c>
      <c r="G124" s="2">
        <v>0</v>
      </c>
      <c r="H124" s="3" t="s">
        <v>213</v>
      </c>
      <c r="I124" s="3" t="s">
        <v>213</v>
      </c>
      <c r="J124" s="3">
        <v>0</v>
      </c>
    </row>
    <row r="125" spans="1:10" x14ac:dyDescent="0.3">
      <c r="A125" t="s">
        <v>79</v>
      </c>
      <c r="B125" t="s">
        <v>239</v>
      </c>
      <c r="C125">
        <v>10</v>
      </c>
      <c r="D125" s="1">
        <v>0</v>
      </c>
      <c r="E125">
        <v>0</v>
      </c>
      <c r="F125">
        <v>0</v>
      </c>
      <c r="G125" s="2">
        <v>0</v>
      </c>
      <c r="H125" s="3" t="s">
        <v>213</v>
      </c>
      <c r="I125" s="3" t="s">
        <v>213</v>
      </c>
      <c r="J125" s="3">
        <v>0</v>
      </c>
    </row>
    <row r="126" spans="1:10" x14ac:dyDescent="0.3">
      <c r="A126" t="s">
        <v>121</v>
      </c>
      <c r="B126" t="s">
        <v>272</v>
      </c>
      <c r="C126">
        <v>132</v>
      </c>
      <c r="D126" s="1">
        <v>1.52E-2</v>
      </c>
      <c r="E126">
        <v>2</v>
      </c>
      <c r="F126">
        <v>0</v>
      </c>
      <c r="G126" s="2">
        <v>0</v>
      </c>
      <c r="H126" s="3">
        <v>0</v>
      </c>
      <c r="I126" s="3" t="s">
        <v>213</v>
      </c>
      <c r="J126" s="3">
        <v>0</v>
      </c>
    </row>
    <row r="127" spans="1:10" x14ac:dyDescent="0.3">
      <c r="A127" t="s">
        <v>47</v>
      </c>
      <c r="B127" t="s">
        <v>235</v>
      </c>
      <c r="C127">
        <v>293</v>
      </c>
      <c r="D127" s="1">
        <v>0.1263</v>
      </c>
      <c r="E127">
        <v>37</v>
      </c>
      <c r="F127">
        <v>2</v>
      </c>
      <c r="G127" s="2">
        <v>5.4100000000000002E-2</v>
      </c>
      <c r="H127" s="3">
        <v>0.48</v>
      </c>
      <c r="I127" s="3">
        <v>8.9700000000000006</v>
      </c>
      <c r="J127" s="3">
        <v>17.940000000000001</v>
      </c>
    </row>
    <row r="128" spans="1:10" x14ac:dyDescent="0.3">
      <c r="A128" t="s">
        <v>24</v>
      </c>
      <c r="B128" t="s">
        <v>273</v>
      </c>
      <c r="C128">
        <v>1010</v>
      </c>
      <c r="D128" s="1">
        <v>9.4100000000000003E-2</v>
      </c>
      <c r="E128">
        <v>95</v>
      </c>
      <c r="F128">
        <v>6</v>
      </c>
      <c r="G128" s="2">
        <v>6.3200000000000006E-2</v>
      </c>
      <c r="H128" s="3">
        <v>0.59</v>
      </c>
      <c r="I128" s="3">
        <v>9.3000000000000007</v>
      </c>
      <c r="J128" s="3">
        <v>55.82</v>
      </c>
    </row>
    <row r="129" spans="1:10" x14ac:dyDescent="0.3">
      <c r="A129" t="s">
        <v>122</v>
      </c>
      <c r="B129" t="s">
        <v>274</v>
      </c>
      <c r="C129">
        <v>455</v>
      </c>
      <c r="D129" s="1">
        <v>0.1143</v>
      </c>
      <c r="E129">
        <v>52</v>
      </c>
      <c r="F129">
        <v>5</v>
      </c>
      <c r="G129" s="2">
        <v>9.6199999999999994E-2</v>
      </c>
      <c r="H129" s="3">
        <v>0.21</v>
      </c>
      <c r="I129" s="3">
        <v>2.16</v>
      </c>
      <c r="J129" s="3">
        <v>10.78</v>
      </c>
    </row>
    <row r="130" spans="1:10" x14ac:dyDescent="0.3">
      <c r="A130" t="s">
        <v>123</v>
      </c>
      <c r="B130" t="s">
        <v>268</v>
      </c>
      <c r="C130">
        <v>541</v>
      </c>
      <c r="D130" s="1">
        <v>0.1331</v>
      </c>
      <c r="E130">
        <v>72</v>
      </c>
      <c r="F130">
        <v>1</v>
      </c>
      <c r="G130" s="2">
        <v>1.3899999999999999E-2</v>
      </c>
      <c r="H130" s="3">
        <v>0.02</v>
      </c>
      <c r="I130" s="3">
        <v>1.7</v>
      </c>
      <c r="J130" s="3">
        <v>1.7</v>
      </c>
    </row>
    <row r="131" spans="1:10" x14ac:dyDescent="0.3">
      <c r="A131" t="s">
        <v>124</v>
      </c>
      <c r="B131" t="s">
        <v>275</v>
      </c>
      <c r="C131">
        <v>1441</v>
      </c>
      <c r="D131" s="1">
        <v>5.62E-2</v>
      </c>
      <c r="E131">
        <v>81</v>
      </c>
      <c r="F131">
        <v>3</v>
      </c>
      <c r="G131" s="2">
        <v>3.7000000000000005E-2</v>
      </c>
      <c r="H131" s="3">
        <v>0.1</v>
      </c>
      <c r="I131" s="3">
        <v>2.63</v>
      </c>
      <c r="J131" s="3">
        <v>7.89</v>
      </c>
    </row>
    <row r="132" spans="1:10" x14ac:dyDescent="0.3">
      <c r="A132" t="s">
        <v>35</v>
      </c>
      <c r="B132" t="s">
        <v>268</v>
      </c>
      <c r="C132">
        <v>894</v>
      </c>
      <c r="D132" s="1">
        <v>0.1376</v>
      </c>
      <c r="E132">
        <v>123</v>
      </c>
      <c r="F132">
        <v>8</v>
      </c>
      <c r="G132" s="2">
        <v>6.5000000000000002E-2</v>
      </c>
      <c r="H132" s="3">
        <v>0.67</v>
      </c>
      <c r="I132" s="3">
        <v>10.23</v>
      </c>
      <c r="J132" s="3">
        <v>81.86</v>
      </c>
    </row>
    <row r="133" spans="1:10" x14ac:dyDescent="0.3">
      <c r="A133" t="s">
        <v>125</v>
      </c>
      <c r="B133" t="s">
        <v>232</v>
      </c>
      <c r="C133">
        <v>397</v>
      </c>
      <c r="D133" s="1">
        <v>8.8200000000000001E-2</v>
      </c>
      <c r="E133">
        <v>35</v>
      </c>
      <c r="F133">
        <v>4</v>
      </c>
      <c r="G133" s="2">
        <v>0.1143</v>
      </c>
      <c r="H133" s="3">
        <v>0.19</v>
      </c>
      <c r="I133" s="3">
        <v>1.71</v>
      </c>
      <c r="J133" s="3">
        <v>6.82</v>
      </c>
    </row>
    <row r="134" spans="1:10" x14ac:dyDescent="0.3">
      <c r="A134" t="s">
        <v>81</v>
      </c>
      <c r="B134" t="s">
        <v>233</v>
      </c>
      <c r="C134">
        <v>457</v>
      </c>
      <c r="D134" s="1">
        <v>6.5599999999999992E-2</v>
      </c>
      <c r="E134">
        <v>30</v>
      </c>
      <c r="F134">
        <v>2</v>
      </c>
      <c r="G134" s="2">
        <v>6.6699999999999995E-2</v>
      </c>
      <c r="H134" s="3">
        <v>0.45</v>
      </c>
      <c r="I134" s="3">
        <v>6.8</v>
      </c>
      <c r="J134" s="3">
        <v>13.59</v>
      </c>
    </row>
    <row r="135" spans="1:10" x14ac:dyDescent="0.3">
      <c r="A135" t="s">
        <v>81</v>
      </c>
      <c r="B135" t="s">
        <v>233</v>
      </c>
      <c r="C135">
        <v>318</v>
      </c>
      <c r="D135" s="1">
        <v>6.2899999999999998E-2</v>
      </c>
      <c r="E135">
        <v>20</v>
      </c>
      <c r="F135">
        <v>2</v>
      </c>
      <c r="G135" s="2">
        <v>0.1</v>
      </c>
      <c r="H135" s="3">
        <v>0.28000000000000003</v>
      </c>
      <c r="I135" s="3">
        <v>2.85</v>
      </c>
      <c r="J135" s="3">
        <v>5.69</v>
      </c>
    </row>
    <row r="136" spans="1:10" x14ac:dyDescent="0.3">
      <c r="A136" t="s">
        <v>81</v>
      </c>
      <c r="B136" t="s">
        <v>233</v>
      </c>
      <c r="C136">
        <v>299</v>
      </c>
      <c r="D136" s="1">
        <v>9.0299999999999991E-2</v>
      </c>
      <c r="E136">
        <v>27</v>
      </c>
      <c r="F136">
        <v>1</v>
      </c>
      <c r="G136" s="2">
        <v>3.7000000000000005E-2</v>
      </c>
      <c r="H136" s="3">
        <v>0.36</v>
      </c>
      <c r="I136" s="3">
        <v>9.85</v>
      </c>
      <c r="J136" s="3">
        <v>9.85</v>
      </c>
    </row>
    <row r="137" spans="1:10" x14ac:dyDescent="0.3">
      <c r="A137" t="s">
        <v>81</v>
      </c>
      <c r="B137" t="s">
        <v>233</v>
      </c>
      <c r="C137">
        <v>425</v>
      </c>
      <c r="D137" s="1">
        <v>6.1200000000000004E-2</v>
      </c>
      <c r="E137">
        <v>26</v>
      </c>
      <c r="F137">
        <v>1</v>
      </c>
      <c r="G137" s="2">
        <v>3.85E-2</v>
      </c>
      <c r="H137" s="3">
        <v>0.3</v>
      </c>
      <c r="I137" s="3">
        <v>7.71</v>
      </c>
      <c r="J137" s="3">
        <v>7.71</v>
      </c>
    </row>
    <row r="138" spans="1:10" x14ac:dyDescent="0.3">
      <c r="A138" t="s">
        <v>126</v>
      </c>
      <c r="B138" t="s">
        <v>233</v>
      </c>
      <c r="C138">
        <v>404</v>
      </c>
      <c r="D138" s="1">
        <v>0.10150000000000001</v>
      </c>
      <c r="E138">
        <v>41</v>
      </c>
      <c r="F138">
        <v>6</v>
      </c>
      <c r="G138" s="2">
        <v>0.14630000000000001</v>
      </c>
      <c r="H138" s="3">
        <v>0.27</v>
      </c>
      <c r="I138" s="3">
        <v>1.87</v>
      </c>
      <c r="J138" s="3">
        <v>11.22</v>
      </c>
    </row>
    <row r="139" spans="1:10" x14ac:dyDescent="0.3">
      <c r="A139" t="s">
        <v>127</v>
      </c>
      <c r="B139" t="s">
        <v>233</v>
      </c>
      <c r="C139">
        <v>164</v>
      </c>
      <c r="D139" s="1">
        <v>2.4399999999999998E-2</v>
      </c>
      <c r="E139">
        <v>4</v>
      </c>
      <c r="F139">
        <v>0</v>
      </c>
      <c r="G139" s="2">
        <v>0</v>
      </c>
      <c r="H139" s="3">
        <v>0</v>
      </c>
      <c r="I139" s="3" t="s">
        <v>213</v>
      </c>
      <c r="J139" s="3">
        <v>0</v>
      </c>
    </row>
    <row r="140" spans="1:10" x14ac:dyDescent="0.3">
      <c r="A140" t="s">
        <v>89</v>
      </c>
      <c r="B140" t="s">
        <v>233</v>
      </c>
      <c r="C140">
        <v>891</v>
      </c>
      <c r="D140" s="1">
        <v>0.10099999999999999</v>
      </c>
      <c r="E140">
        <v>90</v>
      </c>
      <c r="F140">
        <v>4</v>
      </c>
      <c r="G140" s="2">
        <v>4.4400000000000002E-2</v>
      </c>
      <c r="H140" s="3">
        <v>0.11</v>
      </c>
      <c r="I140" s="3">
        <v>2.39</v>
      </c>
      <c r="J140" s="3">
        <v>9.56</v>
      </c>
    </row>
    <row r="141" spans="1:10" x14ac:dyDescent="0.3">
      <c r="A141" t="s">
        <v>89</v>
      </c>
      <c r="B141" t="s">
        <v>276</v>
      </c>
      <c r="C141">
        <v>116</v>
      </c>
      <c r="D141" s="1">
        <v>0.1293</v>
      </c>
      <c r="E141">
        <v>15</v>
      </c>
      <c r="F141">
        <v>0</v>
      </c>
      <c r="G141" s="2">
        <v>0</v>
      </c>
      <c r="H141" s="3">
        <v>0</v>
      </c>
      <c r="I141" s="3" t="s">
        <v>213</v>
      </c>
      <c r="J141" s="3">
        <v>0</v>
      </c>
    </row>
    <row r="142" spans="1:10" x14ac:dyDescent="0.3">
      <c r="A142" t="s">
        <v>128</v>
      </c>
      <c r="B142" t="s">
        <v>233</v>
      </c>
      <c r="C142">
        <v>1350</v>
      </c>
      <c r="D142" s="1">
        <v>9.3299999999999994E-2</v>
      </c>
      <c r="E142">
        <v>126</v>
      </c>
      <c r="F142">
        <v>9</v>
      </c>
      <c r="G142" s="2">
        <v>7.1399999999999991E-2</v>
      </c>
      <c r="H142" s="3">
        <v>0.37</v>
      </c>
      <c r="I142" s="3">
        <v>5.19</v>
      </c>
      <c r="J142" s="3">
        <v>46.74</v>
      </c>
    </row>
    <row r="143" spans="1:10" x14ac:dyDescent="0.3">
      <c r="A143" t="s">
        <v>129</v>
      </c>
      <c r="B143" t="s">
        <v>264</v>
      </c>
      <c r="C143">
        <v>250</v>
      </c>
      <c r="D143" s="1">
        <v>0.08</v>
      </c>
      <c r="E143">
        <v>20</v>
      </c>
      <c r="F143">
        <v>1</v>
      </c>
      <c r="G143" s="2">
        <v>0.05</v>
      </c>
      <c r="H143" s="3">
        <v>0.6</v>
      </c>
      <c r="I143" s="3">
        <v>12.05</v>
      </c>
      <c r="J143" s="3">
        <v>12.05</v>
      </c>
    </row>
    <row r="144" spans="1:10" x14ac:dyDescent="0.3">
      <c r="A144" t="s">
        <v>90</v>
      </c>
      <c r="B144" t="s">
        <v>277</v>
      </c>
      <c r="C144">
        <v>7</v>
      </c>
      <c r="D144" s="1">
        <v>0</v>
      </c>
      <c r="E144">
        <v>0</v>
      </c>
      <c r="F144">
        <v>0</v>
      </c>
      <c r="G144" s="2">
        <v>0</v>
      </c>
      <c r="H144" s="3" t="s">
        <v>213</v>
      </c>
      <c r="I144" s="3" t="s">
        <v>213</v>
      </c>
      <c r="J144" s="3">
        <v>0</v>
      </c>
    </row>
    <row r="145" spans="1:10" x14ac:dyDescent="0.3">
      <c r="A145" t="s">
        <v>90</v>
      </c>
      <c r="B145" t="s">
        <v>233</v>
      </c>
      <c r="C145">
        <v>6</v>
      </c>
      <c r="D145" s="1">
        <v>0</v>
      </c>
      <c r="E145">
        <v>0</v>
      </c>
      <c r="F145">
        <v>0</v>
      </c>
      <c r="G145" s="2">
        <v>0</v>
      </c>
      <c r="H145" s="3" t="s">
        <v>213</v>
      </c>
      <c r="I145" s="3" t="s">
        <v>213</v>
      </c>
      <c r="J145" s="3">
        <v>0</v>
      </c>
    </row>
    <row r="146" spans="1:10" x14ac:dyDescent="0.3">
      <c r="A146" t="s">
        <v>130</v>
      </c>
      <c r="B146" t="s">
        <v>278</v>
      </c>
      <c r="C146">
        <v>312</v>
      </c>
      <c r="D146" s="1">
        <v>6.0899999999999996E-2</v>
      </c>
      <c r="E146">
        <v>19</v>
      </c>
      <c r="F146">
        <v>1</v>
      </c>
      <c r="G146" s="2">
        <v>5.2600000000000001E-2</v>
      </c>
      <c r="H146" s="3">
        <v>0.15</v>
      </c>
      <c r="I146" s="3">
        <v>2.87</v>
      </c>
      <c r="J146" s="3">
        <v>2.87</v>
      </c>
    </row>
    <row r="147" spans="1:10" x14ac:dyDescent="0.3">
      <c r="A147" t="s">
        <v>131</v>
      </c>
      <c r="B147" t="s">
        <v>248</v>
      </c>
      <c r="C147">
        <v>392</v>
      </c>
      <c r="D147" s="1">
        <v>4.8499999999999995E-2</v>
      </c>
      <c r="E147">
        <v>19</v>
      </c>
      <c r="F147">
        <v>0</v>
      </c>
      <c r="G147" s="2">
        <v>0</v>
      </c>
      <c r="H147" s="3">
        <v>0</v>
      </c>
      <c r="I147" s="3" t="s">
        <v>213</v>
      </c>
      <c r="J147" s="3">
        <v>0</v>
      </c>
    </row>
    <row r="148" spans="1:10" x14ac:dyDescent="0.3">
      <c r="A148" t="s">
        <v>84</v>
      </c>
      <c r="B148" t="s">
        <v>279</v>
      </c>
      <c r="C148">
        <v>519</v>
      </c>
      <c r="D148" s="1">
        <v>0.13489999999999999</v>
      </c>
      <c r="E148">
        <v>70</v>
      </c>
      <c r="F148">
        <v>1</v>
      </c>
      <c r="G148" s="2">
        <v>1.43E-2</v>
      </c>
      <c r="H148" s="3">
        <v>0.03</v>
      </c>
      <c r="I148" s="3">
        <v>1.96</v>
      </c>
      <c r="J148" s="3">
        <v>1.96</v>
      </c>
    </row>
    <row r="149" spans="1:10" x14ac:dyDescent="0.3">
      <c r="A149" t="s">
        <v>84</v>
      </c>
      <c r="B149" t="s">
        <v>279</v>
      </c>
      <c r="C149">
        <v>438</v>
      </c>
      <c r="D149" s="1">
        <v>8.900000000000001E-2</v>
      </c>
      <c r="E149">
        <v>39</v>
      </c>
      <c r="F149">
        <v>0</v>
      </c>
      <c r="G149" s="2">
        <v>0</v>
      </c>
      <c r="H149" s="3">
        <v>0</v>
      </c>
      <c r="I149" s="3" t="s">
        <v>213</v>
      </c>
      <c r="J149" s="3">
        <v>0</v>
      </c>
    </row>
    <row r="150" spans="1:10" x14ac:dyDescent="0.3">
      <c r="A150" t="s">
        <v>84</v>
      </c>
      <c r="B150" t="s">
        <v>279</v>
      </c>
      <c r="C150">
        <v>2</v>
      </c>
      <c r="D150" s="1">
        <v>0</v>
      </c>
      <c r="E150">
        <v>0</v>
      </c>
      <c r="F150">
        <v>0</v>
      </c>
      <c r="G150" s="2">
        <v>0</v>
      </c>
      <c r="H150" s="3" t="s">
        <v>213</v>
      </c>
      <c r="I150" s="3" t="s">
        <v>213</v>
      </c>
      <c r="J150" s="3">
        <v>0</v>
      </c>
    </row>
    <row r="151" spans="1:10" x14ac:dyDescent="0.3">
      <c r="A151" t="s">
        <v>36</v>
      </c>
      <c r="B151" t="s">
        <v>221</v>
      </c>
      <c r="C151">
        <v>271</v>
      </c>
      <c r="D151" s="1">
        <v>8.8599999999999998E-2</v>
      </c>
      <c r="E151">
        <v>24</v>
      </c>
      <c r="F151">
        <v>4</v>
      </c>
      <c r="G151" s="2">
        <v>0.16670000000000001</v>
      </c>
      <c r="H151" s="3">
        <v>1.23</v>
      </c>
      <c r="I151" s="3">
        <v>7.36</v>
      </c>
      <c r="J151" s="3">
        <v>29.43</v>
      </c>
    </row>
    <row r="152" spans="1:10" x14ac:dyDescent="0.3">
      <c r="A152" t="s">
        <v>48</v>
      </c>
      <c r="B152" t="s">
        <v>233</v>
      </c>
      <c r="C152">
        <v>530</v>
      </c>
      <c r="D152" s="1">
        <v>0.11890000000000001</v>
      </c>
      <c r="E152">
        <v>63</v>
      </c>
      <c r="F152">
        <v>4</v>
      </c>
      <c r="G152" s="2">
        <v>6.3500000000000001E-2</v>
      </c>
      <c r="H152" s="3">
        <v>0.2</v>
      </c>
      <c r="I152" s="3">
        <v>3.22</v>
      </c>
      <c r="J152" s="3">
        <v>12.88</v>
      </c>
    </row>
    <row r="153" spans="1:10" x14ac:dyDescent="0.3">
      <c r="A153" t="s">
        <v>17</v>
      </c>
      <c r="B153" t="s">
        <v>212</v>
      </c>
      <c r="C153">
        <v>2873</v>
      </c>
      <c r="D153" s="1">
        <v>0.1225</v>
      </c>
      <c r="E153">
        <v>352</v>
      </c>
      <c r="F153">
        <v>40</v>
      </c>
      <c r="G153" s="2">
        <v>0.11359999999999999</v>
      </c>
      <c r="H153" s="3">
        <v>0.91</v>
      </c>
      <c r="I153" s="3">
        <v>8</v>
      </c>
      <c r="J153" s="3">
        <v>320.05</v>
      </c>
    </row>
    <row r="154" spans="1:10" x14ac:dyDescent="0.3">
      <c r="A154" t="s">
        <v>17</v>
      </c>
      <c r="B154" t="s">
        <v>212</v>
      </c>
      <c r="C154">
        <v>960</v>
      </c>
      <c r="D154" s="1">
        <v>0.13750000000000001</v>
      </c>
      <c r="E154">
        <v>132</v>
      </c>
      <c r="F154">
        <v>19</v>
      </c>
      <c r="G154" s="2">
        <v>0.1439</v>
      </c>
      <c r="H154" s="3">
        <v>0.34</v>
      </c>
      <c r="I154" s="3">
        <v>2.37</v>
      </c>
      <c r="J154" s="3">
        <v>45.02</v>
      </c>
    </row>
    <row r="155" spans="1:10" x14ac:dyDescent="0.3">
      <c r="A155" t="s">
        <v>132</v>
      </c>
      <c r="B155" t="s">
        <v>308</v>
      </c>
      <c r="C155">
        <v>0</v>
      </c>
      <c r="D155" s="1">
        <v>0</v>
      </c>
      <c r="E155">
        <v>0</v>
      </c>
      <c r="F155">
        <v>0</v>
      </c>
      <c r="G155" s="2">
        <v>0</v>
      </c>
      <c r="H155" s="3" t="s">
        <v>213</v>
      </c>
      <c r="I155" s="3" t="s">
        <v>213</v>
      </c>
      <c r="J155" s="3">
        <v>0</v>
      </c>
    </row>
    <row r="156" spans="1:10" x14ac:dyDescent="0.3">
      <c r="A156" t="s">
        <v>49</v>
      </c>
      <c r="B156" t="s">
        <v>233</v>
      </c>
      <c r="C156">
        <v>584</v>
      </c>
      <c r="D156" s="1">
        <v>6.5099999999999991E-2</v>
      </c>
      <c r="E156">
        <v>38</v>
      </c>
      <c r="F156">
        <v>4</v>
      </c>
      <c r="G156" s="2">
        <v>0.10529999999999999</v>
      </c>
      <c r="H156" s="3">
        <v>0.23</v>
      </c>
      <c r="I156" s="3">
        <v>2.14</v>
      </c>
      <c r="J156" s="3">
        <v>8.5500000000000007</v>
      </c>
    </row>
    <row r="157" spans="1:10" x14ac:dyDescent="0.3">
      <c r="A157" t="s">
        <v>133</v>
      </c>
      <c r="B157" t="s">
        <v>309</v>
      </c>
      <c r="C157">
        <v>489</v>
      </c>
      <c r="D157" s="1">
        <v>9.6099999999999991E-2</v>
      </c>
      <c r="E157">
        <v>47</v>
      </c>
      <c r="F157">
        <v>1</v>
      </c>
      <c r="G157" s="2">
        <v>2.1299999999999999E-2</v>
      </c>
      <c r="H157" s="3">
        <v>0.05</v>
      </c>
      <c r="I157" s="3">
        <v>2.31</v>
      </c>
      <c r="J157" s="3">
        <v>2.31</v>
      </c>
    </row>
    <row r="158" spans="1:10" x14ac:dyDescent="0.3">
      <c r="A158" t="s">
        <v>134</v>
      </c>
      <c r="B158" t="s">
        <v>300</v>
      </c>
      <c r="C158">
        <v>1145</v>
      </c>
      <c r="D158" s="1">
        <v>0.12140000000000001</v>
      </c>
      <c r="E158">
        <v>139</v>
      </c>
      <c r="F158">
        <v>14</v>
      </c>
      <c r="G158" s="2">
        <v>0.1007</v>
      </c>
      <c r="H158" s="3">
        <v>0.28000000000000003</v>
      </c>
      <c r="I158" s="3">
        <v>2.8</v>
      </c>
      <c r="J158" s="3">
        <v>39.14</v>
      </c>
    </row>
    <row r="159" spans="1:10" x14ac:dyDescent="0.3">
      <c r="A159" t="s">
        <v>135</v>
      </c>
      <c r="B159" t="s">
        <v>242</v>
      </c>
      <c r="C159">
        <v>541</v>
      </c>
      <c r="D159" s="1">
        <v>4.6199999999999998E-2</v>
      </c>
      <c r="E159">
        <v>25</v>
      </c>
      <c r="F159">
        <v>0</v>
      </c>
      <c r="G159" s="2">
        <v>0</v>
      </c>
      <c r="H159" s="3">
        <v>0</v>
      </c>
      <c r="I159" s="3" t="s">
        <v>213</v>
      </c>
      <c r="J159" s="3">
        <v>0</v>
      </c>
    </row>
    <row r="160" spans="1:10" x14ac:dyDescent="0.3">
      <c r="A160" t="s">
        <v>136</v>
      </c>
      <c r="B160" t="s">
        <v>233</v>
      </c>
      <c r="C160">
        <v>599</v>
      </c>
      <c r="D160" s="1">
        <v>4.3400000000000001E-2</v>
      </c>
      <c r="E160">
        <v>26</v>
      </c>
      <c r="F160">
        <v>0</v>
      </c>
      <c r="G160" s="2">
        <v>0</v>
      </c>
      <c r="H160" s="3">
        <v>0</v>
      </c>
      <c r="I160" s="3" t="s">
        <v>213</v>
      </c>
      <c r="J160" s="3">
        <v>0</v>
      </c>
    </row>
    <row r="161" spans="1:10" x14ac:dyDescent="0.3">
      <c r="A161" t="s">
        <v>37</v>
      </c>
      <c r="B161" t="s">
        <v>233</v>
      </c>
      <c r="C161">
        <v>244</v>
      </c>
      <c r="D161" s="1">
        <v>0.23769999999999999</v>
      </c>
      <c r="E161">
        <v>58</v>
      </c>
      <c r="F161">
        <v>5</v>
      </c>
      <c r="G161" s="2">
        <v>8.6199999999999999E-2</v>
      </c>
      <c r="H161" s="3">
        <v>0.51</v>
      </c>
      <c r="I161" s="3">
        <v>5.87</v>
      </c>
      <c r="J161" s="3">
        <v>29.37</v>
      </c>
    </row>
    <row r="162" spans="1:10" x14ac:dyDescent="0.3">
      <c r="A162" t="s">
        <v>137</v>
      </c>
      <c r="B162" t="s">
        <v>262</v>
      </c>
      <c r="C162">
        <v>1535</v>
      </c>
      <c r="D162" s="1">
        <v>5.5999999999999994E-2</v>
      </c>
      <c r="E162">
        <v>86</v>
      </c>
      <c r="F162">
        <v>3</v>
      </c>
      <c r="G162" s="2">
        <v>3.49E-2</v>
      </c>
      <c r="H162" s="3">
        <v>0.05</v>
      </c>
      <c r="I162" s="3">
        <v>1.49</v>
      </c>
      <c r="J162" s="3">
        <v>4.47</v>
      </c>
    </row>
    <row r="163" spans="1:10" x14ac:dyDescent="0.3">
      <c r="A163" t="s">
        <v>11</v>
      </c>
      <c r="B163" t="s">
        <v>288</v>
      </c>
      <c r="C163">
        <v>723</v>
      </c>
      <c r="D163" s="1">
        <v>9.5399999999999985E-2</v>
      </c>
      <c r="E163">
        <v>69</v>
      </c>
      <c r="F163">
        <v>3</v>
      </c>
      <c r="G163" s="2">
        <v>4.3499999999999997E-2</v>
      </c>
      <c r="H163" s="3">
        <v>0.43</v>
      </c>
      <c r="I163" s="3">
        <v>9.98</v>
      </c>
      <c r="J163" s="3">
        <v>29.93</v>
      </c>
    </row>
    <row r="164" spans="1:10" x14ac:dyDescent="0.3">
      <c r="A164" t="s">
        <v>11</v>
      </c>
      <c r="B164" t="s">
        <v>289</v>
      </c>
      <c r="C164">
        <v>330</v>
      </c>
      <c r="D164" s="1">
        <v>8.7899999999999992E-2</v>
      </c>
      <c r="E164">
        <v>29</v>
      </c>
      <c r="F164">
        <v>1</v>
      </c>
      <c r="G164" s="2">
        <v>3.4500000000000003E-2</v>
      </c>
      <c r="H164" s="3">
        <v>0.27</v>
      </c>
      <c r="I164" s="3">
        <v>7.84</v>
      </c>
      <c r="J164" s="3">
        <v>7.84</v>
      </c>
    </row>
    <row r="165" spans="1:10" x14ac:dyDescent="0.3">
      <c r="A165" t="s">
        <v>11</v>
      </c>
      <c r="B165" t="s">
        <v>230</v>
      </c>
      <c r="C165">
        <v>364</v>
      </c>
      <c r="D165" s="1">
        <v>7.1399999999999991E-2</v>
      </c>
      <c r="E165">
        <v>26</v>
      </c>
      <c r="F165">
        <v>1</v>
      </c>
      <c r="G165" s="2">
        <v>3.85E-2</v>
      </c>
      <c r="H165" s="3">
        <v>0.44</v>
      </c>
      <c r="I165" s="3">
        <v>11.43</v>
      </c>
      <c r="J165" s="3">
        <v>11.43</v>
      </c>
    </row>
    <row r="166" spans="1:10" x14ac:dyDescent="0.3">
      <c r="A166" t="s">
        <v>11</v>
      </c>
      <c r="B166" t="s">
        <v>226</v>
      </c>
      <c r="C166">
        <v>61</v>
      </c>
      <c r="D166" s="1">
        <v>9.8400000000000001E-2</v>
      </c>
      <c r="E166">
        <v>6</v>
      </c>
      <c r="F166">
        <v>1</v>
      </c>
      <c r="G166" s="2">
        <v>0.16670000000000001</v>
      </c>
      <c r="H166" s="3">
        <v>0.79</v>
      </c>
      <c r="I166" s="3">
        <v>4.72</v>
      </c>
      <c r="J166" s="3">
        <v>4.72</v>
      </c>
    </row>
    <row r="167" spans="1:10" x14ac:dyDescent="0.3">
      <c r="A167" t="s">
        <v>11</v>
      </c>
      <c r="B167" t="s">
        <v>245</v>
      </c>
      <c r="C167">
        <v>15</v>
      </c>
      <c r="D167" s="1">
        <v>0</v>
      </c>
      <c r="E167">
        <v>0</v>
      </c>
      <c r="F167">
        <v>0</v>
      </c>
      <c r="G167" s="2">
        <v>0</v>
      </c>
      <c r="H167" s="3" t="s">
        <v>213</v>
      </c>
      <c r="I167" s="3" t="s">
        <v>213</v>
      </c>
      <c r="J167" s="3">
        <v>0</v>
      </c>
    </row>
    <row r="168" spans="1:10" x14ac:dyDescent="0.3">
      <c r="A168" t="s">
        <v>11</v>
      </c>
      <c r="B168" t="s">
        <v>311</v>
      </c>
      <c r="C168">
        <v>268</v>
      </c>
      <c r="D168" s="1">
        <v>7.8399999999999997E-2</v>
      </c>
      <c r="E168">
        <v>21</v>
      </c>
      <c r="F168">
        <v>2</v>
      </c>
      <c r="G168" s="2">
        <v>9.5199999999999993E-2</v>
      </c>
      <c r="H168" s="3">
        <v>1.66</v>
      </c>
      <c r="I168" s="3">
        <v>17.399999999999999</v>
      </c>
      <c r="J168" s="3">
        <v>34.79</v>
      </c>
    </row>
    <row r="169" spans="1:10" x14ac:dyDescent="0.3">
      <c r="A169" t="s">
        <v>11</v>
      </c>
      <c r="B169" t="s">
        <v>221</v>
      </c>
      <c r="C169">
        <v>499</v>
      </c>
      <c r="D169" s="1">
        <v>0.1583</v>
      </c>
      <c r="E169">
        <v>79</v>
      </c>
      <c r="F169">
        <v>13</v>
      </c>
      <c r="G169" s="2">
        <v>0.1646</v>
      </c>
      <c r="H169" s="3">
        <v>1.1599999999999999</v>
      </c>
      <c r="I169" s="3">
        <v>7.03</v>
      </c>
      <c r="J169" s="3">
        <v>91.35</v>
      </c>
    </row>
    <row r="170" spans="1:10" x14ac:dyDescent="0.3">
      <c r="A170" t="s">
        <v>11</v>
      </c>
      <c r="B170" t="s">
        <v>221</v>
      </c>
      <c r="C170">
        <v>633</v>
      </c>
      <c r="D170" s="1">
        <v>8.6899999999999991E-2</v>
      </c>
      <c r="E170">
        <v>55</v>
      </c>
      <c r="F170">
        <v>8</v>
      </c>
      <c r="G170" s="2">
        <v>0.14550000000000002</v>
      </c>
      <c r="H170" s="3">
        <v>1.1299999999999999</v>
      </c>
      <c r="I170" s="3">
        <v>7.74</v>
      </c>
      <c r="J170" s="3">
        <v>61.9</v>
      </c>
    </row>
    <row r="171" spans="1:10" x14ac:dyDescent="0.3">
      <c r="A171" t="s">
        <v>11</v>
      </c>
      <c r="B171" t="s">
        <v>221</v>
      </c>
      <c r="C171">
        <v>182</v>
      </c>
      <c r="D171" s="1">
        <v>0.1099</v>
      </c>
      <c r="E171">
        <v>20</v>
      </c>
      <c r="F171">
        <v>7</v>
      </c>
      <c r="G171" s="2">
        <v>0.35</v>
      </c>
      <c r="H171" s="3">
        <v>2</v>
      </c>
      <c r="I171" s="3">
        <v>5.7</v>
      </c>
      <c r="J171" s="3">
        <v>39.92</v>
      </c>
    </row>
    <row r="172" spans="1:10" x14ac:dyDescent="0.3">
      <c r="A172" t="s">
        <v>11</v>
      </c>
      <c r="B172" t="s">
        <v>221</v>
      </c>
      <c r="C172">
        <v>527</v>
      </c>
      <c r="D172" s="1">
        <v>0.129</v>
      </c>
      <c r="E172">
        <v>68</v>
      </c>
      <c r="F172">
        <v>5</v>
      </c>
      <c r="G172" s="2">
        <v>7.3499999999999996E-2</v>
      </c>
      <c r="H172" s="3">
        <v>0.75</v>
      </c>
      <c r="I172" s="3">
        <v>10.210000000000001</v>
      </c>
      <c r="J172" s="3">
        <v>51.06</v>
      </c>
    </row>
    <row r="173" spans="1:10" x14ac:dyDescent="0.3">
      <c r="A173" t="s">
        <v>11</v>
      </c>
      <c r="B173" t="s">
        <v>229</v>
      </c>
      <c r="C173">
        <v>213</v>
      </c>
      <c r="D173" s="1">
        <v>0.1033</v>
      </c>
      <c r="E173">
        <v>22</v>
      </c>
      <c r="F173">
        <v>4</v>
      </c>
      <c r="G173" s="2">
        <v>0.18179999999999999</v>
      </c>
      <c r="H173" s="3">
        <v>1.1499999999999999</v>
      </c>
      <c r="I173" s="3">
        <v>6.35</v>
      </c>
      <c r="J173" s="3">
        <v>25.4</v>
      </c>
    </row>
    <row r="174" spans="1:10" x14ac:dyDescent="0.3">
      <c r="A174" t="s">
        <v>11</v>
      </c>
      <c r="B174" t="s">
        <v>223</v>
      </c>
      <c r="C174">
        <v>137</v>
      </c>
      <c r="D174" s="1">
        <v>0.13140000000000002</v>
      </c>
      <c r="E174">
        <v>18</v>
      </c>
      <c r="F174">
        <v>4</v>
      </c>
      <c r="G174" s="2">
        <v>0.22219999999999998</v>
      </c>
      <c r="H174" s="3">
        <v>1.25</v>
      </c>
      <c r="I174" s="3">
        <v>5.61</v>
      </c>
      <c r="J174" s="3">
        <v>22.45</v>
      </c>
    </row>
    <row r="175" spans="1:10" x14ac:dyDescent="0.3">
      <c r="A175" t="s">
        <v>11</v>
      </c>
      <c r="B175" t="s">
        <v>223</v>
      </c>
      <c r="C175">
        <v>269</v>
      </c>
      <c r="D175" s="1">
        <v>0.1115</v>
      </c>
      <c r="E175">
        <v>30</v>
      </c>
      <c r="F175">
        <v>3</v>
      </c>
      <c r="G175" s="2">
        <v>0.1</v>
      </c>
      <c r="H175" s="3">
        <v>0.49</v>
      </c>
      <c r="I175" s="3">
        <v>4.87</v>
      </c>
      <c r="J175" s="3">
        <v>14.62</v>
      </c>
    </row>
    <row r="176" spans="1:10" x14ac:dyDescent="0.3">
      <c r="A176" t="s">
        <v>11</v>
      </c>
      <c r="B176" t="s">
        <v>288</v>
      </c>
      <c r="C176">
        <v>336</v>
      </c>
      <c r="D176" s="1">
        <v>6.5500000000000003E-2</v>
      </c>
      <c r="E176">
        <v>22</v>
      </c>
      <c r="F176">
        <v>3</v>
      </c>
      <c r="G176" s="2">
        <v>0.13639999999999999</v>
      </c>
      <c r="H176" s="3">
        <v>1.32</v>
      </c>
      <c r="I176" s="3">
        <v>9.7100000000000009</v>
      </c>
      <c r="J176" s="3">
        <v>29.14</v>
      </c>
    </row>
    <row r="177" spans="1:10" x14ac:dyDescent="0.3">
      <c r="A177" t="s">
        <v>11</v>
      </c>
      <c r="B177" t="s">
        <v>212</v>
      </c>
      <c r="C177">
        <v>371</v>
      </c>
      <c r="D177" s="1">
        <v>4.3099999999999999E-2</v>
      </c>
      <c r="E177">
        <v>16</v>
      </c>
      <c r="F177">
        <v>3</v>
      </c>
      <c r="G177" s="2">
        <v>0.1875</v>
      </c>
      <c r="H177" s="3">
        <v>0.53</v>
      </c>
      <c r="I177" s="3">
        <v>2.82</v>
      </c>
      <c r="J177" s="3">
        <v>8.4600000000000009</v>
      </c>
    </row>
    <row r="178" spans="1:10" x14ac:dyDescent="0.3">
      <c r="A178" t="s">
        <v>11</v>
      </c>
      <c r="B178" t="s">
        <v>221</v>
      </c>
      <c r="C178">
        <v>355</v>
      </c>
      <c r="D178" s="1">
        <v>0.1099</v>
      </c>
      <c r="E178">
        <v>39</v>
      </c>
      <c r="F178">
        <v>2</v>
      </c>
      <c r="G178" s="2">
        <v>5.1299999999999998E-2</v>
      </c>
      <c r="H178" s="3">
        <v>0.09</v>
      </c>
      <c r="I178" s="3">
        <v>1.7</v>
      </c>
      <c r="J178" s="3">
        <v>3.4</v>
      </c>
    </row>
    <row r="179" spans="1:10" x14ac:dyDescent="0.3">
      <c r="A179" t="s">
        <v>11</v>
      </c>
      <c r="B179" t="s">
        <v>215</v>
      </c>
      <c r="C179">
        <v>312</v>
      </c>
      <c r="D179" s="1">
        <v>7.690000000000001E-2</v>
      </c>
      <c r="E179">
        <v>24</v>
      </c>
      <c r="F179">
        <v>2</v>
      </c>
      <c r="G179" s="2">
        <v>8.3299999999999999E-2</v>
      </c>
      <c r="H179" s="3">
        <v>0.7</v>
      </c>
      <c r="I179" s="3">
        <v>8.35</v>
      </c>
      <c r="J179" s="3">
        <v>16.7</v>
      </c>
    </row>
    <row r="180" spans="1:10" x14ac:dyDescent="0.3">
      <c r="A180" t="s">
        <v>11</v>
      </c>
      <c r="B180" t="s">
        <v>289</v>
      </c>
      <c r="C180">
        <v>309</v>
      </c>
      <c r="D180" s="1">
        <v>7.1199999999999999E-2</v>
      </c>
      <c r="E180">
        <v>22</v>
      </c>
      <c r="F180">
        <v>2</v>
      </c>
      <c r="G180" s="2">
        <v>9.0899999999999995E-2</v>
      </c>
      <c r="H180" s="3">
        <v>0.62</v>
      </c>
      <c r="I180" s="3">
        <v>6.79</v>
      </c>
      <c r="J180" s="3">
        <v>13.57</v>
      </c>
    </row>
    <row r="181" spans="1:10" x14ac:dyDescent="0.3">
      <c r="A181" t="s">
        <v>11</v>
      </c>
      <c r="B181" t="s">
        <v>312</v>
      </c>
      <c r="C181">
        <v>242</v>
      </c>
      <c r="D181" s="1">
        <v>8.6800000000000002E-2</v>
      </c>
      <c r="E181">
        <v>21</v>
      </c>
      <c r="F181">
        <v>2</v>
      </c>
      <c r="G181" s="2">
        <v>9.5199999999999993E-2</v>
      </c>
      <c r="H181" s="3">
        <v>0.88</v>
      </c>
      <c r="I181" s="3">
        <v>9.1999999999999993</v>
      </c>
      <c r="J181" s="3">
        <v>18.399999999999999</v>
      </c>
    </row>
    <row r="182" spans="1:10" x14ac:dyDescent="0.3">
      <c r="A182" t="s">
        <v>11</v>
      </c>
      <c r="B182" t="s">
        <v>235</v>
      </c>
      <c r="C182">
        <v>130</v>
      </c>
      <c r="D182" s="1">
        <v>9.2300000000000007E-2</v>
      </c>
      <c r="E182">
        <v>12</v>
      </c>
      <c r="F182">
        <v>2</v>
      </c>
      <c r="G182" s="2">
        <v>0.16670000000000001</v>
      </c>
      <c r="H182" s="3">
        <v>1.0900000000000001</v>
      </c>
      <c r="I182" s="3">
        <v>6.54</v>
      </c>
      <c r="J182" s="3">
        <v>13.08</v>
      </c>
    </row>
    <row r="183" spans="1:10" x14ac:dyDescent="0.3">
      <c r="A183" t="s">
        <v>11</v>
      </c>
      <c r="B183" t="s">
        <v>313</v>
      </c>
      <c r="C183">
        <v>109</v>
      </c>
      <c r="D183" s="1">
        <v>8.2599999999999993E-2</v>
      </c>
      <c r="E183">
        <v>9</v>
      </c>
      <c r="F183">
        <v>2</v>
      </c>
      <c r="G183" s="2">
        <v>0.22219999999999998</v>
      </c>
      <c r="H183" s="3">
        <v>1.96</v>
      </c>
      <c r="I183" s="3">
        <v>8.84</v>
      </c>
      <c r="J183" s="3">
        <v>17.670000000000002</v>
      </c>
    </row>
    <row r="184" spans="1:10" x14ac:dyDescent="0.3">
      <c r="A184" t="s">
        <v>11</v>
      </c>
      <c r="B184" t="s">
        <v>276</v>
      </c>
      <c r="C184">
        <v>101</v>
      </c>
      <c r="D184" s="1">
        <v>4.9500000000000002E-2</v>
      </c>
      <c r="E184">
        <v>5</v>
      </c>
      <c r="F184">
        <v>2</v>
      </c>
      <c r="G184" s="2">
        <v>0.4</v>
      </c>
      <c r="H184" s="3">
        <v>6.17</v>
      </c>
      <c r="I184" s="3">
        <v>15.43</v>
      </c>
      <c r="J184" s="3">
        <v>30.85</v>
      </c>
    </row>
    <row r="185" spans="1:10" x14ac:dyDescent="0.3">
      <c r="A185" t="s">
        <v>11</v>
      </c>
      <c r="B185" t="s">
        <v>313</v>
      </c>
      <c r="C185">
        <v>271</v>
      </c>
      <c r="D185" s="1">
        <v>5.9000000000000004E-2</v>
      </c>
      <c r="E185">
        <v>16</v>
      </c>
      <c r="F185">
        <v>1</v>
      </c>
      <c r="G185" s="2">
        <v>6.25E-2</v>
      </c>
      <c r="H185" s="3">
        <v>0.4</v>
      </c>
      <c r="I185" s="3">
        <v>6.41</v>
      </c>
      <c r="J185" s="3">
        <v>6.41</v>
      </c>
    </row>
    <row r="186" spans="1:10" x14ac:dyDescent="0.3">
      <c r="A186" t="s">
        <v>11</v>
      </c>
      <c r="B186" t="s">
        <v>314</v>
      </c>
      <c r="C186">
        <v>240</v>
      </c>
      <c r="D186" s="1">
        <v>5.8299999999999998E-2</v>
      </c>
      <c r="E186">
        <v>14</v>
      </c>
      <c r="F186">
        <v>1</v>
      </c>
      <c r="G186" s="2">
        <v>7.1399999999999991E-2</v>
      </c>
      <c r="H186" s="3">
        <v>0.75</v>
      </c>
      <c r="I186" s="3">
        <v>10.48</v>
      </c>
      <c r="J186" s="3">
        <v>10.48</v>
      </c>
    </row>
    <row r="187" spans="1:10" x14ac:dyDescent="0.3">
      <c r="A187" t="s">
        <v>11</v>
      </c>
      <c r="B187" t="s">
        <v>219</v>
      </c>
      <c r="C187">
        <v>132</v>
      </c>
      <c r="D187" s="1">
        <v>8.3299999999999999E-2</v>
      </c>
      <c r="E187">
        <v>11</v>
      </c>
      <c r="F187">
        <v>1</v>
      </c>
      <c r="G187" s="2">
        <v>9.0899999999999995E-2</v>
      </c>
      <c r="H187" s="3">
        <v>1.52</v>
      </c>
      <c r="I187" s="3">
        <v>16.7</v>
      </c>
      <c r="J187" s="3">
        <v>16.7</v>
      </c>
    </row>
    <row r="188" spans="1:10" x14ac:dyDescent="0.3">
      <c r="A188" t="s">
        <v>11</v>
      </c>
      <c r="B188" t="s">
        <v>217</v>
      </c>
      <c r="C188">
        <v>136</v>
      </c>
      <c r="D188" s="1">
        <v>7.3499999999999996E-2</v>
      </c>
      <c r="E188">
        <v>10</v>
      </c>
      <c r="F188">
        <v>1</v>
      </c>
      <c r="G188" s="2">
        <v>0.1</v>
      </c>
      <c r="H188" s="3">
        <v>0.92</v>
      </c>
      <c r="I188" s="3">
        <v>9.1999999999999993</v>
      </c>
      <c r="J188" s="3">
        <v>9.1999999999999993</v>
      </c>
    </row>
    <row r="189" spans="1:10" x14ac:dyDescent="0.3">
      <c r="A189" t="s">
        <v>11</v>
      </c>
      <c r="B189" t="s">
        <v>315</v>
      </c>
      <c r="C189">
        <v>169</v>
      </c>
      <c r="D189" s="1">
        <v>3.5499999999999997E-2</v>
      </c>
      <c r="E189">
        <v>6</v>
      </c>
      <c r="F189">
        <v>1</v>
      </c>
      <c r="G189" s="2">
        <v>0.16670000000000001</v>
      </c>
      <c r="H189" s="3">
        <v>2.52</v>
      </c>
      <c r="I189" s="3">
        <v>15.13</v>
      </c>
      <c r="J189" s="3">
        <v>15.13</v>
      </c>
    </row>
    <row r="190" spans="1:10" x14ac:dyDescent="0.3">
      <c r="A190" t="s">
        <v>11</v>
      </c>
      <c r="B190" t="s">
        <v>316</v>
      </c>
      <c r="C190">
        <v>56</v>
      </c>
      <c r="D190" s="1">
        <v>8.929999999999999E-2</v>
      </c>
      <c r="E190">
        <v>5</v>
      </c>
      <c r="F190">
        <v>1</v>
      </c>
      <c r="G190" s="2">
        <v>0.2</v>
      </c>
      <c r="H190" s="3">
        <v>4.99</v>
      </c>
      <c r="I190" s="3">
        <v>24.94</v>
      </c>
      <c r="J190" s="3">
        <v>24.94</v>
      </c>
    </row>
    <row r="191" spans="1:10" x14ac:dyDescent="0.3">
      <c r="A191" t="s">
        <v>11</v>
      </c>
      <c r="B191" t="s">
        <v>264</v>
      </c>
      <c r="C191">
        <v>48</v>
      </c>
      <c r="D191" s="1">
        <v>8.3299999999999999E-2</v>
      </c>
      <c r="E191">
        <v>4</v>
      </c>
      <c r="F191">
        <v>1</v>
      </c>
      <c r="G191" s="2">
        <v>0.25</v>
      </c>
      <c r="H191" s="3">
        <v>6.1</v>
      </c>
      <c r="I191" s="3">
        <v>24.41</v>
      </c>
      <c r="J191" s="3">
        <v>24.41</v>
      </c>
    </row>
    <row r="192" spans="1:10" x14ac:dyDescent="0.3">
      <c r="A192" t="s">
        <v>11</v>
      </c>
      <c r="B192" t="s">
        <v>316</v>
      </c>
      <c r="C192">
        <v>48</v>
      </c>
      <c r="D192" s="1">
        <v>8.3299999999999999E-2</v>
      </c>
      <c r="E192">
        <v>4</v>
      </c>
      <c r="F192">
        <v>1</v>
      </c>
      <c r="G192" s="2">
        <v>0.25</v>
      </c>
      <c r="H192" s="3">
        <v>6.04</v>
      </c>
      <c r="I192" s="3">
        <v>24.17</v>
      </c>
      <c r="J192" s="3">
        <v>24.17</v>
      </c>
    </row>
    <row r="193" spans="1:10" x14ac:dyDescent="0.3">
      <c r="A193" t="s">
        <v>11</v>
      </c>
      <c r="B193" t="s">
        <v>314</v>
      </c>
      <c r="C193">
        <v>55</v>
      </c>
      <c r="D193" s="1">
        <v>7.2700000000000001E-2</v>
      </c>
      <c r="E193">
        <v>4</v>
      </c>
      <c r="F193">
        <v>1</v>
      </c>
      <c r="G193" s="2">
        <v>0.25</v>
      </c>
      <c r="H193" s="3">
        <v>2.44</v>
      </c>
      <c r="I193" s="3">
        <v>9.7799999999999994</v>
      </c>
      <c r="J193" s="3">
        <v>9.7799999999999994</v>
      </c>
    </row>
    <row r="194" spans="1:10" x14ac:dyDescent="0.3">
      <c r="A194" t="s">
        <v>11</v>
      </c>
      <c r="B194" t="s">
        <v>229</v>
      </c>
      <c r="C194">
        <v>41</v>
      </c>
      <c r="D194" s="1">
        <v>4.8799999999999996E-2</v>
      </c>
      <c r="E194">
        <v>2</v>
      </c>
      <c r="F194">
        <v>1</v>
      </c>
      <c r="G194" s="2">
        <v>0.5</v>
      </c>
      <c r="H194" s="3">
        <v>10.51</v>
      </c>
      <c r="I194" s="3">
        <v>21.02</v>
      </c>
      <c r="J194" s="3">
        <v>21.02</v>
      </c>
    </row>
    <row r="195" spans="1:10" x14ac:dyDescent="0.3">
      <c r="A195" t="s">
        <v>11</v>
      </c>
      <c r="B195" t="s">
        <v>313</v>
      </c>
      <c r="C195">
        <v>144</v>
      </c>
      <c r="D195" s="1">
        <v>6.8999999999999999E-3</v>
      </c>
      <c r="E195">
        <v>1</v>
      </c>
      <c r="F195">
        <v>1</v>
      </c>
      <c r="G195" s="2">
        <v>1</v>
      </c>
      <c r="H195" s="3">
        <v>9.1300000000000008</v>
      </c>
      <c r="I195" s="3">
        <v>9.1300000000000008</v>
      </c>
      <c r="J195" s="3">
        <v>9.1300000000000008</v>
      </c>
    </row>
    <row r="196" spans="1:10" x14ac:dyDescent="0.3">
      <c r="A196" t="s">
        <v>11</v>
      </c>
      <c r="B196" t="s">
        <v>282</v>
      </c>
      <c r="C196">
        <v>264</v>
      </c>
      <c r="D196" s="1">
        <v>6.8199999999999997E-2</v>
      </c>
      <c r="E196">
        <v>18</v>
      </c>
      <c r="F196">
        <v>0</v>
      </c>
      <c r="G196" s="2">
        <v>0</v>
      </c>
      <c r="H196" s="3">
        <v>0</v>
      </c>
      <c r="I196" s="3" t="s">
        <v>213</v>
      </c>
      <c r="J196" s="3">
        <v>0</v>
      </c>
    </row>
    <row r="197" spans="1:10" x14ac:dyDescent="0.3">
      <c r="A197" t="s">
        <v>11</v>
      </c>
      <c r="B197" t="s">
        <v>268</v>
      </c>
      <c r="C197">
        <v>241</v>
      </c>
      <c r="D197" s="1">
        <v>5.8099999999999999E-2</v>
      </c>
      <c r="E197">
        <v>14</v>
      </c>
      <c r="F197">
        <v>0</v>
      </c>
      <c r="G197" s="2">
        <v>0</v>
      </c>
      <c r="H197" s="3">
        <v>0</v>
      </c>
      <c r="I197" s="3" t="s">
        <v>213</v>
      </c>
      <c r="J197" s="3">
        <v>0</v>
      </c>
    </row>
    <row r="198" spans="1:10" x14ac:dyDescent="0.3">
      <c r="A198" t="s">
        <v>11</v>
      </c>
      <c r="B198" t="s">
        <v>231</v>
      </c>
      <c r="C198">
        <v>314</v>
      </c>
      <c r="D198" s="1">
        <v>3.8199999999999998E-2</v>
      </c>
      <c r="E198">
        <v>12</v>
      </c>
      <c r="F198">
        <v>0</v>
      </c>
      <c r="G198" s="2">
        <v>0</v>
      </c>
      <c r="H198" s="3">
        <v>0</v>
      </c>
      <c r="I198" s="3" t="s">
        <v>213</v>
      </c>
      <c r="J198" s="3">
        <v>0</v>
      </c>
    </row>
    <row r="199" spans="1:10" x14ac:dyDescent="0.3">
      <c r="A199" t="s">
        <v>11</v>
      </c>
      <c r="B199" t="s">
        <v>212</v>
      </c>
      <c r="C199">
        <v>97</v>
      </c>
      <c r="D199" s="1">
        <v>0.1134</v>
      </c>
      <c r="E199">
        <v>11</v>
      </c>
      <c r="F199">
        <v>0</v>
      </c>
      <c r="G199" s="2">
        <v>0</v>
      </c>
      <c r="H199" s="3">
        <v>0</v>
      </c>
      <c r="I199" s="3" t="s">
        <v>213</v>
      </c>
      <c r="J199" s="3">
        <v>0</v>
      </c>
    </row>
    <row r="200" spans="1:10" x14ac:dyDescent="0.3">
      <c r="A200" t="s">
        <v>11</v>
      </c>
      <c r="B200" t="s">
        <v>268</v>
      </c>
      <c r="C200">
        <v>73</v>
      </c>
      <c r="D200" s="1">
        <v>0.1507</v>
      </c>
      <c r="E200">
        <v>11</v>
      </c>
      <c r="F200">
        <v>0</v>
      </c>
      <c r="G200" s="2">
        <v>0</v>
      </c>
      <c r="H200" s="3">
        <v>0</v>
      </c>
      <c r="I200" s="3" t="s">
        <v>213</v>
      </c>
      <c r="J200" s="3">
        <v>0</v>
      </c>
    </row>
    <row r="201" spans="1:10" x14ac:dyDescent="0.3">
      <c r="A201" t="s">
        <v>11</v>
      </c>
      <c r="B201" t="s">
        <v>239</v>
      </c>
      <c r="C201">
        <v>133</v>
      </c>
      <c r="D201" s="1">
        <v>7.5199999999999989E-2</v>
      </c>
      <c r="E201">
        <v>10</v>
      </c>
      <c r="F201">
        <v>0</v>
      </c>
      <c r="G201" s="2">
        <v>0</v>
      </c>
      <c r="H201" s="3">
        <v>0</v>
      </c>
      <c r="I201" s="3" t="s">
        <v>213</v>
      </c>
      <c r="J201" s="3">
        <v>0</v>
      </c>
    </row>
    <row r="202" spans="1:10" x14ac:dyDescent="0.3">
      <c r="A202" t="s">
        <v>11</v>
      </c>
      <c r="B202" t="s">
        <v>286</v>
      </c>
      <c r="C202">
        <v>98</v>
      </c>
      <c r="D202" s="1">
        <v>0.10199999999999999</v>
      </c>
      <c r="E202">
        <v>10</v>
      </c>
      <c r="F202">
        <v>0</v>
      </c>
      <c r="G202" s="2">
        <v>0</v>
      </c>
      <c r="H202" s="3">
        <v>0</v>
      </c>
      <c r="I202" s="3" t="s">
        <v>213</v>
      </c>
      <c r="J202" s="3">
        <v>0</v>
      </c>
    </row>
    <row r="203" spans="1:10" x14ac:dyDescent="0.3">
      <c r="A203" t="s">
        <v>11</v>
      </c>
      <c r="B203" t="s">
        <v>219</v>
      </c>
      <c r="C203">
        <v>77</v>
      </c>
      <c r="D203" s="1">
        <v>0.11689999999999999</v>
      </c>
      <c r="E203">
        <v>9</v>
      </c>
      <c r="F203">
        <v>0</v>
      </c>
      <c r="G203" s="2">
        <v>0</v>
      </c>
      <c r="H203" s="3">
        <v>0</v>
      </c>
      <c r="I203" s="3" t="s">
        <v>213</v>
      </c>
      <c r="J203" s="3">
        <v>0</v>
      </c>
    </row>
    <row r="204" spans="1:10" x14ac:dyDescent="0.3">
      <c r="A204" t="s">
        <v>11</v>
      </c>
      <c r="B204" t="s">
        <v>313</v>
      </c>
      <c r="C204">
        <v>108</v>
      </c>
      <c r="D204" s="1">
        <v>8.3299999999999999E-2</v>
      </c>
      <c r="E204">
        <v>9</v>
      </c>
      <c r="F204">
        <v>0</v>
      </c>
      <c r="G204" s="2">
        <v>0</v>
      </c>
      <c r="H204" s="3">
        <v>0</v>
      </c>
      <c r="I204" s="3" t="s">
        <v>213</v>
      </c>
      <c r="J204" s="3">
        <v>0</v>
      </c>
    </row>
    <row r="205" spans="1:10" x14ac:dyDescent="0.3">
      <c r="A205" t="s">
        <v>11</v>
      </c>
      <c r="B205" t="s">
        <v>235</v>
      </c>
      <c r="C205">
        <v>167</v>
      </c>
      <c r="D205" s="1">
        <v>4.7899999999999998E-2</v>
      </c>
      <c r="E205">
        <v>8</v>
      </c>
      <c r="F205">
        <v>0</v>
      </c>
      <c r="G205" s="2">
        <v>0</v>
      </c>
      <c r="H205" s="3">
        <v>0</v>
      </c>
      <c r="I205" s="3" t="s">
        <v>213</v>
      </c>
      <c r="J205" s="3">
        <v>0</v>
      </c>
    </row>
    <row r="206" spans="1:10" x14ac:dyDescent="0.3">
      <c r="A206" t="s">
        <v>11</v>
      </c>
      <c r="B206" t="s">
        <v>226</v>
      </c>
      <c r="C206">
        <v>89</v>
      </c>
      <c r="D206" s="1">
        <v>7.8700000000000006E-2</v>
      </c>
      <c r="E206">
        <v>7</v>
      </c>
      <c r="F206">
        <v>0</v>
      </c>
      <c r="G206" s="2">
        <v>0</v>
      </c>
      <c r="H206" s="3">
        <v>0</v>
      </c>
      <c r="I206" s="3" t="s">
        <v>213</v>
      </c>
      <c r="J206" s="3">
        <v>0</v>
      </c>
    </row>
    <row r="207" spans="1:10" x14ac:dyDescent="0.3">
      <c r="A207" t="s">
        <v>11</v>
      </c>
      <c r="B207" t="s">
        <v>235</v>
      </c>
      <c r="C207">
        <v>139</v>
      </c>
      <c r="D207" s="1">
        <v>5.04E-2</v>
      </c>
      <c r="E207">
        <v>7</v>
      </c>
      <c r="F207">
        <v>0</v>
      </c>
      <c r="G207" s="2">
        <v>0</v>
      </c>
      <c r="H207" s="3">
        <v>0</v>
      </c>
      <c r="I207" s="3" t="s">
        <v>213</v>
      </c>
      <c r="J207" s="3">
        <v>0</v>
      </c>
    </row>
    <row r="208" spans="1:10" x14ac:dyDescent="0.3">
      <c r="A208" t="s">
        <v>11</v>
      </c>
      <c r="B208" t="s">
        <v>317</v>
      </c>
      <c r="C208">
        <v>53</v>
      </c>
      <c r="D208" s="1">
        <v>0.11320000000000001</v>
      </c>
      <c r="E208">
        <v>6</v>
      </c>
      <c r="F208">
        <v>0</v>
      </c>
      <c r="G208" s="2">
        <v>0</v>
      </c>
      <c r="H208" s="3">
        <v>0</v>
      </c>
      <c r="I208" s="3" t="s">
        <v>213</v>
      </c>
      <c r="J208" s="3">
        <v>0</v>
      </c>
    </row>
    <row r="209" spans="1:10" x14ac:dyDescent="0.3">
      <c r="A209" t="s">
        <v>11</v>
      </c>
      <c r="B209" t="s">
        <v>318</v>
      </c>
      <c r="C209">
        <v>144</v>
      </c>
      <c r="D209" s="1">
        <v>4.1700000000000001E-2</v>
      </c>
      <c r="E209">
        <v>6</v>
      </c>
      <c r="F209">
        <v>0</v>
      </c>
      <c r="G209" s="2">
        <v>0</v>
      </c>
      <c r="H209" s="3">
        <v>0</v>
      </c>
      <c r="I209" s="3" t="s">
        <v>213</v>
      </c>
      <c r="J209" s="3">
        <v>0</v>
      </c>
    </row>
    <row r="210" spans="1:10" x14ac:dyDescent="0.3">
      <c r="A210" t="s">
        <v>11</v>
      </c>
      <c r="B210" t="s">
        <v>221</v>
      </c>
      <c r="C210">
        <v>80</v>
      </c>
      <c r="D210" s="1">
        <v>7.4999999999999997E-2</v>
      </c>
      <c r="E210">
        <v>6</v>
      </c>
      <c r="F210">
        <v>0</v>
      </c>
      <c r="G210" s="2">
        <v>0</v>
      </c>
      <c r="H210" s="3">
        <v>0</v>
      </c>
      <c r="I210" s="3" t="s">
        <v>213</v>
      </c>
      <c r="J210" s="3">
        <v>0</v>
      </c>
    </row>
    <row r="211" spans="1:10" x14ac:dyDescent="0.3">
      <c r="A211" t="s">
        <v>11</v>
      </c>
      <c r="B211" t="s">
        <v>276</v>
      </c>
      <c r="C211">
        <v>67</v>
      </c>
      <c r="D211" s="1">
        <v>7.46E-2</v>
      </c>
      <c r="E211">
        <v>5</v>
      </c>
      <c r="F211">
        <v>0</v>
      </c>
      <c r="G211" s="2">
        <v>0</v>
      </c>
      <c r="H211" s="3">
        <v>0</v>
      </c>
      <c r="I211" s="3" t="s">
        <v>213</v>
      </c>
      <c r="J211" s="3">
        <v>0</v>
      </c>
    </row>
    <row r="212" spans="1:10" x14ac:dyDescent="0.3">
      <c r="A212" t="s">
        <v>11</v>
      </c>
      <c r="B212" t="s">
        <v>289</v>
      </c>
      <c r="C212">
        <v>83</v>
      </c>
      <c r="D212" s="1">
        <v>6.0199999999999997E-2</v>
      </c>
      <c r="E212">
        <v>5</v>
      </c>
      <c r="F212">
        <v>0</v>
      </c>
      <c r="G212" s="2">
        <v>0</v>
      </c>
      <c r="H212" s="3">
        <v>0</v>
      </c>
      <c r="I212" s="3" t="s">
        <v>213</v>
      </c>
      <c r="J212" s="3">
        <v>0</v>
      </c>
    </row>
    <row r="213" spans="1:10" x14ac:dyDescent="0.3">
      <c r="A213" t="s">
        <v>11</v>
      </c>
      <c r="B213" t="s">
        <v>319</v>
      </c>
      <c r="C213">
        <v>26</v>
      </c>
      <c r="D213" s="1">
        <v>0.1923</v>
      </c>
      <c r="E213">
        <v>5</v>
      </c>
      <c r="F213">
        <v>0</v>
      </c>
      <c r="G213" s="2">
        <v>0</v>
      </c>
      <c r="H213" s="3">
        <v>0</v>
      </c>
      <c r="I213" s="3" t="s">
        <v>213</v>
      </c>
      <c r="J213" s="3">
        <v>0</v>
      </c>
    </row>
    <row r="214" spans="1:10" x14ac:dyDescent="0.3">
      <c r="A214" t="s">
        <v>11</v>
      </c>
      <c r="B214" t="s">
        <v>226</v>
      </c>
      <c r="C214">
        <v>63</v>
      </c>
      <c r="D214" s="1">
        <v>7.9399999999999998E-2</v>
      </c>
      <c r="E214">
        <v>5</v>
      </c>
      <c r="F214">
        <v>0</v>
      </c>
      <c r="G214" s="2">
        <v>0</v>
      </c>
      <c r="H214" s="3">
        <v>0</v>
      </c>
      <c r="I214" s="3" t="s">
        <v>213</v>
      </c>
      <c r="J214" s="3">
        <v>0</v>
      </c>
    </row>
    <row r="215" spans="1:10" x14ac:dyDescent="0.3">
      <c r="A215" t="s">
        <v>11</v>
      </c>
      <c r="B215" t="s">
        <v>286</v>
      </c>
      <c r="C215">
        <v>117</v>
      </c>
      <c r="D215" s="1">
        <v>3.4200000000000001E-2</v>
      </c>
      <c r="E215">
        <v>4</v>
      </c>
      <c r="F215">
        <v>0</v>
      </c>
      <c r="G215" s="2">
        <v>0</v>
      </c>
      <c r="H215" s="3">
        <v>0</v>
      </c>
      <c r="I215" s="3" t="s">
        <v>213</v>
      </c>
      <c r="J215" s="3">
        <v>0</v>
      </c>
    </row>
    <row r="216" spans="1:10" x14ac:dyDescent="0.3">
      <c r="A216" t="s">
        <v>11</v>
      </c>
      <c r="B216" t="s">
        <v>317</v>
      </c>
      <c r="C216">
        <v>74</v>
      </c>
      <c r="D216" s="1">
        <v>5.4100000000000002E-2</v>
      </c>
      <c r="E216">
        <v>4</v>
      </c>
      <c r="F216">
        <v>0</v>
      </c>
      <c r="G216" s="2">
        <v>0</v>
      </c>
      <c r="H216" s="3">
        <v>0</v>
      </c>
      <c r="I216" s="3" t="s">
        <v>213</v>
      </c>
      <c r="J216" s="3">
        <v>0</v>
      </c>
    </row>
    <row r="217" spans="1:10" x14ac:dyDescent="0.3">
      <c r="A217" t="s">
        <v>11</v>
      </c>
      <c r="B217" t="s">
        <v>320</v>
      </c>
      <c r="C217">
        <v>53</v>
      </c>
      <c r="D217" s="1">
        <v>7.5499999999999998E-2</v>
      </c>
      <c r="E217">
        <v>4</v>
      </c>
      <c r="F217">
        <v>0</v>
      </c>
      <c r="G217" s="2">
        <v>0</v>
      </c>
      <c r="H217" s="3">
        <v>0</v>
      </c>
      <c r="I217" s="3" t="s">
        <v>213</v>
      </c>
      <c r="J217" s="3">
        <v>0</v>
      </c>
    </row>
    <row r="218" spans="1:10" x14ac:dyDescent="0.3">
      <c r="A218" t="s">
        <v>11</v>
      </c>
      <c r="B218" t="s">
        <v>314</v>
      </c>
      <c r="C218">
        <v>40</v>
      </c>
      <c r="D218" s="1">
        <v>0.1</v>
      </c>
      <c r="E218">
        <v>4</v>
      </c>
      <c r="F218">
        <v>0</v>
      </c>
      <c r="G218" s="2">
        <v>0</v>
      </c>
      <c r="H218" s="3">
        <v>0</v>
      </c>
      <c r="I218" s="3" t="s">
        <v>213</v>
      </c>
      <c r="J218" s="3">
        <v>0</v>
      </c>
    </row>
    <row r="219" spans="1:10" x14ac:dyDescent="0.3">
      <c r="A219" t="s">
        <v>11</v>
      </c>
      <c r="B219" t="s">
        <v>312</v>
      </c>
      <c r="C219">
        <v>61</v>
      </c>
      <c r="D219" s="1">
        <v>6.5599999999999992E-2</v>
      </c>
      <c r="E219">
        <v>4</v>
      </c>
      <c r="F219">
        <v>0</v>
      </c>
      <c r="G219" s="2">
        <v>0</v>
      </c>
      <c r="H219" s="3">
        <v>0</v>
      </c>
      <c r="I219" s="3" t="s">
        <v>213</v>
      </c>
      <c r="J219" s="3">
        <v>0</v>
      </c>
    </row>
    <row r="220" spans="1:10" x14ac:dyDescent="0.3">
      <c r="A220" t="s">
        <v>11</v>
      </c>
      <c r="B220" t="s">
        <v>239</v>
      </c>
      <c r="C220">
        <v>58</v>
      </c>
      <c r="D220" s="1">
        <v>6.9000000000000006E-2</v>
      </c>
      <c r="E220">
        <v>4</v>
      </c>
      <c r="F220">
        <v>0</v>
      </c>
      <c r="G220" s="2">
        <v>0</v>
      </c>
      <c r="H220" s="3">
        <v>0</v>
      </c>
      <c r="I220" s="3" t="s">
        <v>213</v>
      </c>
      <c r="J220" s="3">
        <v>0</v>
      </c>
    </row>
    <row r="221" spans="1:10" x14ac:dyDescent="0.3">
      <c r="A221" t="s">
        <v>11</v>
      </c>
      <c r="B221" t="s">
        <v>235</v>
      </c>
      <c r="C221">
        <v>61</v>
      </c>
      <c r="D221" s="1">
        <v>6.5599999999999992E-2</v>
      </c>
      <c r="E221">
        <v>4</v>
      </c>
      <c r="F221">
        <v>0</v>
      </c>
      <c r="G221" s="2">
        <v>0</v>
      </c>
      <c r="H221" s="3">
        <v>0</v>
      </c>
      <c r="I221" s="3" t="s">
        <v>213</v>
      </c>
      <c r="J221" s="3">
        <v>0</v>
      </c>
    </row>
    <row r="222" spans="1:10" x14ac:dyDescent="0.3">
      <c r="A222" t="s">
        <v>11</v>
      </c>
      <c r="B222" t="s">
        <v>235</v>
      </c>
      <c r="C222">
        <v>74</v>
      </c>
      <c r="D222" s="1">
        <v>5.4100000000000002E-2</v>
      </c>
      <c r="E222">
        <v>4</v>
      </c>
      <c r="F222">
        <v>0</v>
      </c>
      <c r="G222" s="2">
        <v>0</v>
      </c>
      <c r="H222" s="3">
        <v>0</v>
      </c>
      <c r="I222" s="3" t="s">
        <v>213</v>
      </c>
      <c r="J222" s="3">
        <v>0</v>
      </c>
    </row>
    <row r="223" spans="1:10" x14ac:dyDescent="0.3">
      <c r="A223" t="s">
        <v>11</v>
      </c>
      <c r="B223" t="s">
        <v>256</v>
      </c>
      <c r="C223">
        <v>59</v>
      </c>
      <c r="D223" s="1">
        <v>6.7799999999999999E-2</v>
      </c>
      <c r="E223">
        <v>4</v>
      </c>
      <c r="F223">
        <v>0</v>
      </c>
      <c r="G223" s="2">
        <v>0</v>
      </c>
      <c r="H223" s="3">
        <v>0</v>
      </c>
      <c r="I223" s="3" t="s">
        <v>213</v>
      </c>
      <c r="J223" s="3">
        <v>0</v>
      </c>
    </row>
    <row r="224" spans="1:10" x14ac:dyDescent="0.3">
      <c r="A224" t="s">
        <v>11</v>
      </c>
      <c r="B224" t="s">
        <v>276</v>
      </c>
      <c r="C224">
        <v>57</v>
      </c>
      <c r="D224" s="1">
        <v>7.0199999999999999E-2</v>
      </c>
      <c r="E224">
        <v>4</v>
      </c>
      <c r="F224">
        <v>0</v>
      </c>
      <c r="G224" s="2">
        <v>0</v>
      </c>
      <c r="H224" s="3">
        <v>0</v>
      </c>
      <c r="I224" s="3" t="s">
        <v>213</v>
      </c>
      <c r="J224" s="3">
        <v>0</v>
      </c>
    </row>
    <row r="225" spans="1:10" x14ac:dyDescent="0.3">
      <c r="A225" t="s">
        <v>11</v>
      </c>
      <c r="B225" t="s">
        <v>221</v>
      </c>
      <c r="C225">
        <v>135</v>
      </c>
      <c r="D225" s="1">
        <v>2.9600000000000001E-2</v>
      </c>
      <c r="E225">
        <v>4</v>
      </c>
      <c r="F225">
        <v>0</v>
      </c>
      <c r="G225" s="2">
        <v>0</v>
      </c>
      <c r="H225" s="3">
        <v>0</v>
      </c>
      <c r="I225" s="3" t="s">
        <v>213</v>
      </c>
      <c r="J225" s="3">
        <v>0</v>
      </c>
    </row>
    <row r="226" spans="1:10" x14ac:dyDescent="0.3">
      <c r="A226" t="s">
        <v>11</v>
      </c>
      <c r="B226" t="s">
        <v>282</v>
      </c>
      <c r="C226">
        <v>25</v>
      </c>
      <c r="D226" s="1">
        <v>0.12</v>
      </c>
      <c r="E226">
        <v>3</v>
      </c>
      <c r="F226">
        <v>0</v>
      </c>
      <c r="G226" s="2">
        <v>0</v>
      </c>
      <c r="H226" s="3">
        <v>0</v>
      </c>
      <c r="I226" s="3" t="s">
        <v>213</v>
      </c>
      <c r="J226" s="3">
        <v>0</v>
      </c>
    </row>
    <row r="227" spans="1:10" x14ac:dyDescent="0.3">
      <c r="A227" t="s">
        <v>11</v>
      </c>
      <c r="B227" t="s">
        <v>286</v>
      </c>
      <c r="C227">
        <v>74</v>
      </c>
      <c r="D227" s="1">
        <v>4.0500000000000001E-2</v>
      </c>
      <c r="E227">
        <v>3</v>
      </c>
      <c r="F227">
        <v>0</v>
      </c>
      <c r="G227" s="2">
        <v>0</v>
      </c>
      <c r="H227" s="3">
        <v>0</v>
      </c>
      <c r="I227" s="3" t="s">
        <v>213</v>
      </c>
      <c r="J227" s="3">
        <v>0</v>
      </c>
    </row>
    <row r="228" spans="1:10" x14ac:dyDescent="0.3">
      <c r="A228" t="s">
        <v>11</v>
      </c>
      <c r="B228" t="s">
        <v>245</v>
      </c>
      <c r="C228">
        <v>35</v>
      </c>
      <c r="D228" s="1">
        <v>8.5699999999999998E-2</v>
      </c>
      <c r="E228">
        <v>3</v>
      </c>
      <c r="F228">
        <v>0</v>
      </c>
      <c r="G228" s="2">
        <v>0</v>
      </c>
      <c r="H228" s="3">
        <v>0</v>
      </c>
      <c r="I228" s="3" t="s">
        <v>213</v>
      </c>
      <c r="J228" s="3">
        <v>0</v>
      </c>
    </row>
    <row r="229" spans="1:10" x14ac:dyDescent="0.3">
      <c r="A229" t="s">
        <v>11</v>
      </c>
      <c r="B229" t="s">
        <v>288</v>
      </c>
      <c r="C229">
        <v>25</v>
      </c>
      <c r="D229" s="1">
        <v>0.12</v>
      </c>
      <c r="E229">
        <v>3</v>
      </c>
      <c r="F229">
        <v>0</v>
      </c>
      <c r="G229" s="2">
        <v>0</v>
      </c>
      <c r="H229" s="3">
        <v>0</v>
      </c>
      <c r="I229" s="3" t="s">
        <v>213</v>
      </c>
      <c r="J229" s="3">
        <v>0</v>
      </c>
    </row>
    <row r="230" spans="1:10" x14ac:dyDescent="0.3">
      <c r="A230" t="s">
        <v>11</v>
      </c>
      <c r="B230" t="s">
        <v>321</v>
      </c>
      <c r="C230">
        <v>42</v>
      </c>
      <c r="D230" s="1">
        <v>7.1399999999999991E-2</v>
      </c>
      <c r="E230">
        <v>3</v>
      </c>
      <c r="F230">
        <v>0</v>
      </c>
      <c r="G230" s="2">
        <v>0</v>
      </c>
      <c r="H230" s="3">
        <v>0</v>
      </c>
      <c r="I230" s="3" t="s">
        <v>213</v>
      </c>
      <c r="J230" s="3">
        <v>0</v>
      </c>
    </row>
    <row r="231" spans="1:10" x14ac:dyDescent="0.3">
      <c r="A231" t="s">
        <v>11</v>
      </c>
      <c r="B231" t="s">
        <v>282</v>
      </c>
      <c r="C231">
        <v>48</v>
      </c>
      <c r="D231" s="1">
        <v>6.25E-2</v>
      </c>
      <c r="E231">
        <v>3</v>
      </c>
      <c r="F231">
        <v>0</v>
      </c>
      <c r="G231" s="2">
        <v>0</v>
      </c>
      <c r="H231" s="3">
        <v>0</v>
      </c>
      <c r="I231" s="3" t="s">
        <v>213</v>
      </c>
      <c r="J231" s="3">
        <v>0</v>
      </c>
    </row>
    <row r="232" spans="1:10" x14ac:dyDescent="0.3">
      <c r="A232" t="s">
        <v>11</v>
      </c>
      <c r="B232" t="s">
        <v>288</v>
      </c>
      <c r="C232">
        <v>72</v>
      </c>
      <c r="D232" s="1">
        <v>4.1700000000000001E-2</v>
      </c>
      <c r="E232">
        <v>3</v>
      </c>
      <c r="F232">
        <v>0</v>
      </c>
      <c r="G232" s="2">
        <v>0</v>
      </c>
      <c r="H232" s="3">
        <v>0</v>
      </c>
      <c r="I232" s="3" t="s">
        <v>213</v>
      </c>
      <c r="J232" s="3">
        <v>0</v>
      </c>
    </row>
    <row r="233" spans="1:10" x14ac:dyDescent="0.3">
      <c r="A233" t="s">
        <v>11</v>
      </c>
      <c r="B233" t="s">
        <v>316</v>
      </c>
      <c r="C233">
        <v>71</v>
      </c>
      <c r="D233" s="1">
        <v>4.2300000000000004E-2</v>
      </c>
      <c r="E233">
        <v>3</v>
      </c>
      <c r="F233">
        <v>0</v>
      </c>
      <c r="G233" s="2">
        <v>0</v>
      </c>
      <c r="H233" s="3">
        <v>0</v>
      </c>
      <c r="I233" s="3" t="s">
        <v>213</v>
      </c>
      <c r="J233" s="3">
        <v>0</v>
      </c>
    </row>
    <row r="234" spans="1:10" x14ac:dyDescent="0.3">
      <c r="A234" t="s">
        <v>11</v>
      </c>
      <c r="B234" t="s">
        <v>288</v>
      </c>
      <c r="C234">
        <v>38</v>
      </c>
      <c r="D234" s="1">
        <v>7.8899999999999998E-2</v>
      </c>
      <c r="E234">
        <v>3</v>
      </c>
      <c r="F234">
        <v>0</v>
      </c>
      <c r="G234" s="2">
        <v>0</v>
      </c>
      <c r="H234" s="3">
        <v>0</v>
      </c>
      <c r="I234" s="3" t="s">
        <v>213</v>
      </c>
      <c r="J234" s="3">
        <v>0</v>
      </c>
    </row>
    <row r="235" spans="1:10" x14ac:dyDescent="0.3">
      <c r="A235" t="s">
        <v>11</v>
      </c>
      <c r="B235" t="s">
        <v>314</v>
      </c>
      <c r="C235">
        <v>121</v>
      </c>
      <c r="D235" s="1">
        <v>2.4799999999999999E-2</v>
      </c>
      <c r="E235">
        <v>3</v>
      </c>
      <c r="F235">
        <v>0</v>
      </c>
      <c r="G235" s="2">
        <v>0</v>
      </c>
      <c r="H235" s="3">
        <v>0</v>
      </c>
      <c r="I235" s="3" t="s">
        <v>213</v>
      </c>
      <c r="J235" s="3">
        <v>0</v>
      </c>
    </row>
    <row r="236" spans="1:10" x14ac:dyDescent="0.3">
      <c r="A236" t="s">
        <v>11</v>
      </c>
      <c r="B236" t="s">
        <v>229</v>
      </c>
      <c r="C236">
        <v>60</v>
      </c>
      <c r="D236" s="1">
        <v>0.05</v>
      </c>
      <c r="E236">
        <v>3</v>
      </c>
      <c r="F236">
        <v>0</v>
      </c>
      <c r="G236" s="2">
        <v>0</v>
      </c>
      <c r="H236" s="3">
        <v>0</v>
      </c>
      <c r="I236" s="3" t="s">
        <v>213</v>
      </c>
      <c r="J236" s="3">
        <v>0</v>
      </c>
    </row>
    <row r="237" spans="1:10" x14ac:dyDescent="0.3">
      <c r="A237" t="s">
        <v>11</v>
      </c>
      <c r="B237" t="s">
        <v>286</v>
      </c>
      <c r="C237">
        <v>59</v>
      </c>
      <c r="D237" s="1">
        <v>5.0799999999999998E-2</v>
      </c>
      <c r="E237">
        <v>3</v>
      </c>
      <c r="F237">
        <v>0</v>
      </c>
      <c r="G237" s="2">
        <v>0</v>
      </c>
      <c r="H237" s="3">
        <v>0</v>
      </c>
      <c r="I237" s="3" t="s">
        <v>213</v>
      </c>
      <c r="J237" s="3">
        <v>0</v>
      </c>
    </row>
    <row r="238" spans="1:10" x14ac:dyDescent="0.3">
      <c r="A238" t="s">
        <v>11</v>
      </c>
      <c r="B238" t="s">
        <v>256</v>
      </c>
      <c r="C238">
        <v>43</v>
      </c>
      <c r="D238" s="1">
        <v>6.9800000000000001E-2</v>
      </c>
      <c r="E238">
        <v>3</v>
      </c>
      <c r="F238">
        <v>0</v>
      </c>
      <c r="G238" s="2">
        <v>0</v>
      </c>
      <c r="H238" s="3">
        <v>0</v>
      </c>
      <c r="I238" s="3" t="s">
        <v>213</v>
      </c>
      <c r="J238" s="3">
        <v>0</v>
      </c>
    </row>
    <row r="239" spans="1:10" x14ac:dyDescent="0.3">
      <c r="A239" t="s">
        <v>11</v>
      </c>
      <c r="B239" t="s">
        <v>245</v>
      </c>
      <c r="C239">
        <v>58</v>
      </c>
      <c r="D239" s="1">
        <v>5.1699999999999996E-2</v>
      </c>
      <c r="E239">
        <v>3</v>
      </c>
      <c r="F239">
        <v>0</v>
      </c>
      <c r="G239" s="2">
        <v>0</v>
      </c>
      <c r="H239" s="3">
        <v>0</v>
      </c>
      <c r="I239" s="3" t="s">
        <v>213</v>
      </c>
      <c r="J239" s="3">
        <v>0</v>
      </c>
    </row>
    <row r="240" spans="1:10" x14ac:dyDescent="0.3">
      <c r="A240" t="s">
        <v>11</v>
      </c>
      <c r="B240" t="s">
        <v>315</v>
      </c>
      <c r="C240">
        <v>12</v>
      </c>
      <c r="D240" s="1">
        <v>0.16670000000000001</v>
      </c>
      <c r="E240">
        <v>2</v>
      </c>
      <c r="F240">
        <v>0</v>
      </c>
      <c r="G240" s="2">
        <v>0</v>
      </c>
      <c r="H240" s="3">
        <v>0</v>
      </c>
      <c r="I240" s="3" t="s">
        <v>213</v>
      </c>
      <c r="J240" s="3">
        <v>0</v>
      </c>
    </row>
    <row r="241" spans="1:10" x14ac:dyDescent="0.3">
      <c r="A241" t="s">
        <v>11</v>
      </c>
      <c r="B241" t="s">
        <v>229</v>
      </c>
      <c r="C241">
        <v>27</v>
      </c>
      <c r="D241" s="1">
        <v>7.4099999999999999E-2</v>
      </c>
      <c r="E241">
        <v>2</v>
      </c>
      <c r="F241">
        <v>0</v>
      </c>
      <c r="G241" s="2">
        <v>0</v>
      </c>
      <c r="H241" s="3">
        <v>0</v>
      </c>
      <c r="I241" s="3" t="s">
        <v>213</v>
      </c>
      <c r="J241" s="3">
        <v>0</v>
      </c>
    </row>
    <row r="242" spans="1:10" x14ac:dyDescent="0.3">
      <c r="A242" t="s">
        <v>11</v>
      </c>
      <c r="B242" t="s">
        <v>312</v>
      </c>
      <c r="C242">
        <v>41</v>
      </c>
      <c r="D242" s="1">
        <v>4.8799999999999996E-2</v>
      </c>
      <c r="E242">
        <v>2</v>
      </c>
      <c r="F242">
        <v>0</v>
      </c>
      <c r="G242" s="2">
        <v>0</v>
      </c>
      <c r="H242" s="3">
        <v>0</v>
      </c>
      <c r="I242" s="3" t="s">
        <v>213</v>
      </c>
      <c r="J242" s="3">
        <v>0</v>
      </c>
    </row>
    <row r="243" spans="1:10" x14ac:dyDescent="0.3">
      <c r="A243" t="s">
        <v>11</v>
      </c>
      <c r="B243" t="s">
        <v>312</v>
      </c>
      <c r="C243">
        <v>58</v>
      </c>
      <c r="D243" s="1">
        <v>3.4500000000000003E-2</v>
      </c>
      <c r="E243">
        <v>2</v>
      </c>
      <c r="F243">
        <v>0</v>
      </c>
      <c r="G243" s="2">
        <v>0</v>
      </c>
      <c r="H243" s="3">
        <v>0</v>
      </c>
      <c r="I243" s="3" t="s">
        <v>213</v>
      </c>
      <c r="J243" s="3">
        <v>0</v>
      </c>
    </row>
    <row r="244" spans="1:10" x14ac:dyDescent="0.3">
      <c r="A244" t="s">
        <v>11</v>
      </c>
      <c r="B244" t="s">
        <v>264</v>
      </c>
      <c r="C244">
        <v>77</v>
      </c>
      <c r="D244" s="1">
        <v>2.6000000000000002E-2</v>
      </c>
      <c r="E244">
        <v>2</v>
      </c>
      <c r="F244">
        <v>0</v>
      </c>
      <c r="G244" s="2">
        <v>0</v>
      </c>
      <c r="H244" s="3">
        <v>0</v>
      </c>
      <c r="I244" s="3" t="s">
        <v>213</v>
      </c>
      <c r="J244" s="3">
        <v>0</v>
      </c>
    </row>
    <row r="245" spans="1:10" x14ac:dyDescent="0.3">
      <c r="A245" t="s">
        <v>11</v>
      </c>
      <c r="B245" t="s">
        <v>282</v>
      </c>
      <c r="C245">
        <v>57</v>
      </c>
      <c r="D245" s="1">
        <v>3.5099999999999999E-2</v>
      </c>
      <c r="E245">
        <v>2</v>
      </c>
      <c r="F245">
        <v>0</v>
      </c>
      <c r="G245" s="2">
        <v>0</v>
      </c>
      <c r="H245" s="3">
        <v>0</v>
      </c>
      <c r="I245" s="3" t="s">
        <v>213</v>
      </c>
      <c r="J245" s="3">
        <v>0</v>
      </c>
    </row>
    <row r="246" spans="1:10" x14ac:dyDescent="0.3">
      <c r="A246" t="s">
        <v>11</v>
      </c>
      <c r="B246" t="s">
        <v>286</v>
      </c>
      <c r="C246">
        <v>37</v>
      </c>
      <c r="D246" s="1">
        <v>5.4100000000000002E-2</v>
      </c>
      <c r="E246">
        <v>2</v>
      </c>
      <c r="F246">
        <v>0</v>
      </c>
      <c r="G246" s="2">
        <v>0</v>
      </c>
      <c r="H246" s="3">
        <v>0</v>
      </c>
      <c r="I246" s="3" t="s">
        <v>213</v>
      </c>
      <c r="J246" s="3">
        <v>0</v>
      </c>
    </row>
    <row r="247" spans="1:10" x14ac:dyDescent="0.3">
      <c r="A247" t="s">
        <v>11</v>
      </c>
      <c r="B247" t="s">
        <v>226</v>
      </c>
      <c r="C247">
        <v>23</v>
      </c>
      <c r="D247" s="1">
        <v>8.6999999999999994E-2</v>
      </c>
      <c r="E247">
        <v>2</v>
      </c>
      <c r="F247">
        <v>0</v>
      </c>
      <c r="G247" s="2">
        <v>0</v>
      </c>
      <c r="H247" s="3">
        <v>0</v>
      </c>
      <c r="I247" s="3" t="s">
        <v>213</v>
      </c>
      <c r="J247" s="3">
        <v>0</v>
      </c>
    </row>
    <row r="248" spans="1:10" x14ac:dyDescent="0.3">
      <c r="A248" t="s">
        <v>11</v>
      </c>
      <c r="B248" t="s">
        <v>286</v>
      </c>
      <c r="C248">
        <v>4</v>
      </c>
      <c r="D248" s="1">
        <v>0.25</v>
      </c>
      <c r="E248">
        <v>1</v>
      </c>
      <c r="F248">
        <v>0</v>
      </c>
      <c r="G248" s="2">
        <v>0</v>
      </c>
      <c r="H248" s="3">
        <v>0</v>
      </c>
      <c r="I248" s="3" t="s">
        <v>213</v>
      </c>
      <c r="J248" s="3">
        <v>0</v>
      </c>
    </row>
    <row r="249" spans="1:10" x14ac:dyDescent="0.3">
      <c r="A249" t="s">
        <v>11</v>
      </c>
      <c r="B249" t="s">
        <v>319</v>
      </c>
      <c r="C249">
        <v>50</v>
      </c>
      <c r="D249" s="1">
        <v>0.02</v>
      </c>
      <c r="E249">
        <v>1</v>
      </c>
      <c r="F249">
        <v>0</v>
      </c>
      <c r="G249" s="2">
        <v>0</v>
      </c>
      <c r="H249" s="3">
        <v>0</v>
      </c>
      <c r="I249" s="3" t="s">
        <v>213</v>
      </c>
      <c r="J249" s="3">
        <v>0</v>
      </c>
    </row>
    <row r="250" spans="1:10" x14ac:dyDescent="0.3">
      <c r="A250" t="s">
        <v>11</v>
      </c>
      <c r="B250" t="s">
        <v>320</v>
      </c>
      <c r="C250">
        <v>7</v>
      </c>
      <c r="D250" s="1">
        <v>0.1429</v>
      </c>
      <c r="E250">
        <v>1</v>
      </c>
      <c r="F250">
        <v>0</v>
      </c>
      <c r="G250" s="2">
        <v>0</v>
      </c>
      <c r="H250" s="3">
        <v>0</v>
      </c>
      <c r="I250" s="3" t="s">
        <v>213</v>
      </c>
      <c r="J250" s="3">
        <v>0</v>
      </c>
    </row>
    <row r="251" spans="1:10" x14ac:dyDescent="0.3">
      <c r="A251" t="s">
        <v>11</v>
      </c>
      <c r="B251" t="s">
        <v>318</v>
      </c>
      <c r="C251">
        <v>79</v>
      </c>
      <c r="D251" s="1">
        <v>1.2699999999999999E-2</v>
      </c>
      <c r="E251">
        <v>1</v>
      </c>
      <c r="F251">
        <v>0</v>
      </c>
      <c r="G251" s="2">
        <v>0</v>
      </c>
      <c r="H251" s="3">
        <v>0</v>
      </c>
      <c r="I251" s="3" t="s">
        <v>213</v>
      </c>
      <c r="J251" s="3">
        <v>0</v>
      </c>
    </row>
    <row r="252" spans="1:10" x14ac:dyDescent="0.3">
      <c r="A252" t="s">
        <v>11</v>
      </c>
      <c r="B252" t="s">
        <v>231</v>
      </c>
      <c r="C252">
        <v>22</v>
      </c>
      <c r="D252" s="1">
        <v>4.5499999999999999E-2</v>
      </c>
      <c r="E252">
        <v>1</v>
      </c>
      <c r="F252">
        <v>0</v>
      </c>
      <c r="G252" s="2">
        <v>0</v>
      </c>
      <c r="H252" s="3">
        <v>0</v>
      </c>
      <c r="I252" s="3" t="s">
        <v>213</v>
      </c>
      <c r="J252" s="3">
        <v>0</v>
      </c>
    </row>
    <row r="253" spans="1:10" x14ac:dyDescent="0.3">
      <c r="A253" t="s">
        <v>11</v>
      </c>
      <c r="B253" t="s">
        <v>313</v>
      </c>
      <c r="C253">
        <v>0</v>
      </c>
      <c r="D253" s="1">
        <v>0</v>
      </c>
      <c r="E253">
        <v>0</v>
      </c>
      <c r="F253">
        <v>0</v>
      </c>
      <c r="G253" s="2">
        <v>0</v>
      </c>
      <c r="H253" s="3" t="s">
        <v>213</v>
      </c>
      <c r="I253" s="3" t="s">
        <v>213</v>
      </c>
      <c r="J253" s="3">
        <v>0</v>
      </c>
    </row>
    <row r="254" spans="1:10" x14ac:dyDescent="0.3">
      <c r="A254" t="s">
        <v>11</v>
      </c>
      <c r="B254" t="s">
        <v>286</v>
      </c>
      <c r="C254">
        <v>0</v>
      </c>
      <c r="D254" s="1">
        <v>0</v>
      </c>
      <c r="E254">
        <v>0</v>
      </c>
      <c r="F254">
        <v>0</v>
      </c>
      <c r="G254" s="2">
        <v>0</v>
      </c>
      <c r="H254" s="3" t="s">
        <v>213</v>
      </c>
      <c r="I254" s="3" t="s">
        <v>213</v>
      </c>
      <c r="J254" s="3">
        <v>0</v>
      </c>
    </row>
    <row r="255" spans="1:10" x14ac:dyDescent="0.3">
      <c r="A255" t="s">
        <v>11</v>
      </c>
      <c r="B255" t="s">
        <v>231</v>
      </c>
      <c r="C255">
        <v>0</v>
      </c>
      <c r="D255" s="1">
        <v>0</v>
      </c>
      <c r="E255">
        <v>0</v>
      </c>
      <c r="F255">
        <v>0</v>
      </c>
      <c r="G255" s="2">
        <v>0</v>
      </c>
      <c r="H255" s="3" t="s">
        <v>213</v>
      </c>
      <c r="I255" s="3" t="s">
        <v>213</v>
      </c>
      <c r="J255" s="3">
        <v>0</v>
      </c>
    </row>
    <row r="256" spans="1:10" x14ac:dyDescent="0.3">
      <c r="A256" t="s">
        <v>11</v>
      </c>
      <c r="B256" t="s">
        <v>235</v>
      </c>
      <c r="C256">
        <v>0</v>
      </c>
      <c r="D256" s="1">
        <v>0</v>
      </c>
      <c r="E256">
        <v>0</v>
      </c>
      <c r="F256">
        <v>0</v>
      </c>
      <c r="G256" s="2">
        <v>0</v>
      </c>
      <c r="H256" s="3" t="s">
        <v>213</v>
      </c>
      <c r="I256" s="3" t="s">
        <v>213</v>
      </c>
      <c r="J256" s="3">
        <v>0</v>
      </c>
    </row>
    <row r="257" spans="1:10" x14ac:dyDescent="0.3">
      <c r="A257" t="s">
        <v>11</v>
      </c>
      <c r="B257" t="s">
        <v>313</v>
      </c>
      <c r="C257">
        <v>0</v>
      </c>
      <c r="D257" s="1">
        <v>0</v>
      </c>
      <c r="E257">
        <v>0</v>
      </c>
      <c r="F257">
        <v>0</v>
      </c>
      <c r="G257" s="2">
        <v>0</v>
      </c>
      <c r="H257" s="3" t="s">
        <v>213</v>
      </c>
      <c r="I257" s="3" t="s">
        <v>213</v>
      </c>
      <c r="J257" s="3">
        <v>0</v>
      </c>
    </row>
    <row r="258" spans="1:10" x14ac:dyDescent="0.3">
      <c r="A258" t="s">
        <v>11</v>
      </c>
      <c r="B258" t="s">
        <v>315</v>
      </c>
      <c r="C258">
        <v>0</v>
      </c>
      <c r="D258" s="1">
        <v>0</v>
      </c>
      <c r="E258">
        <v>0</v>
      </c>
      <c r="F258">
        <v>0</v>
      </c>
      <c r="G258" s="2">
        <v>0</v>
      </c>
      <c r="H258" s="3" t="s">
        <v>213</v>
      </c>
      <c r="I258" s="3" t="s">
        <v>213</v>
      </c>
      <c r="J258" s="3">
        <v>0</v>
      </c>
    </row>
    <row r="259" spans="1:10" x14ac:dyDescent="0.3">
      <c r="A259" t="s">
        <v>11</v>
      </c>
      <c r="B259" t="s">
        <v>235</v>
      </c>
      <c r="C259">
        <v>0</v>
      </c>
      <c r="D259" s="1">
        <v>0</v>
      </c>
      <c r="E259">
        <v>0</v>
      </c>
      <c r="F259">
        <v>0</v>
      </c>
      <c r="G259" s="2">
        <v>0</v>
      </c>
      <c r="H259" s="3" t="s">
        <v>213</v>
      </c>
      <c r="I259" s="3" t="s">
        <v>213</v>
      </c>
      <c r="J259" s="3">
        <v>0</v>
      </c>
    </row>
    <row r="260" spans="1:10" x14ac:dyDescent="0.3">
      <c r="A260" t="s">
        <v>11</v>
      </c>
      <c r="B260" t="s">
        <v>286</v>
      </c>
      <c r="C260">
        <v>0</v>
      </c>
      <c r="D260" s="1">
        <v>0</v>
      </c>
      <c r="E260">
        <v>0</v>
      </c>
      <c r="F260">
        <v>0</v>
      </c>
      <c r="G260" s="2">
        <v>0</v>
      </c>
      <c r="H260" s="3" t="s">
        <v>213</v>
      </c>
      <c r="I260" s="3" t="s">
        <v>213</v>
      </c>
      <c r="J260" s="3">
        <v>0</v>
      </c>
    </row>
    <row r="261" spans="1:10" x14ac:dyDescent="0.3">
      <c r="A261" t="s">
        <v>11</v>
      </c>
      <c r="B261" t="s">
        <v>317</v>
      </c>
      <c r="C261">
        <v>0</v>
      </c>
      <c r="D261" s="1">
        <v>0</v>
      </c>
      <c r="E261">
        <v>0</v>
      </c>
      <c r="F261">
        <v>0</v>
      </c>
      <c r="G261" s="2">
        <v>0</v>
      </c>
      <c r="H261" s="3" t="s">
        <v>213</v>
      </c>
      <c r="I261" s="3" t="s">
        <v>213</v>
      </c>
      <c r="J261" s="3">
        <v>0</v>
      </c>
    </row>
    <row r="262" spans="1:10" x14ac:dyDescent="0.3">
      <c r="A262" t="s">
        <v>11</v>
      </c>
      <c r="B262" t="s">
        <v>313</v>
      </c>
      <c r="C262">
        <v>0</v>
      </c>
      <c r="D262" s="1">
        <v>0</v>
      </c>
      <c r="E262">
        <v>0</v>
      </c>
      <c r="F262">
        <v>0</v>
      </c>
      <c r="G262" s="2">
        <v>0</v>
      </c>
      <c r="H262" s="3" t="s">
        <v>213</v>
      </c>
      <c r="I262" s="3" t="s">
        <v>213</v>
      </c>
      <c r="J262" s="3">
        <v>0</v>
      </c>
    </row>
    <row r="263" spans="1:10" x14ac:dyDescent="0.3">
      <c r="A263" t="s">
        <v>11</v>
      </c>
      <c r="B263" t="s">
        <v>318</v>
      </c>
      <c r="C263">
        <v>0</v>
      </c>
      <c r="D263" s="1">
        <v>0</v>
      </c>
      <c r="E263">
        <v>0</v>
      </c>
      <c r="F263">
        <v>0</v>
      </c>
      <c r="G263" s="2">
        <v>0</v>
      </c>
      <c r="H263" s="3" t="s">
        <v>213</v>
      </c>
      <c r="I263" s="3" t="s">
        <v>213</v>
      </c>
      <c r="J263" s="3">
        <v>0</v>
      </c>
    </row>
    <row r="264" spans="1:10" x14ac:dyDescent="0.3">
      <c r="A264" t="s">
        <v>11</v>
      </c>
      <c r="B264" t="s">
        <v>288</v>
      </c>
      <c r="C264">
        <v>0</v>
      </c>
      <c r="D264" s="1">
        <v>0</v>
      </c>
      <c r="E264">
        <v>0</v>
      </c>
      <c r="F264">
        <v>0</v>
      </c>
      <c r="G264" s="2">
        <v>0</v>
      </c>
      <c r="H264" s="3" t="s">
        <v>213</v>
      </c>
      <c r="I264" s="3" t="s">
        <v>213</v>
      </c>
      <c r="J264" s="3">
        <v>0</v>
      </c>
    </row>
    <row r="265" spans="1:10" x14ac:dyDescent="0.3">
      <c r="A265" t="s">
        <v>11</v>
      </c>
      <c r="B265" t="s">
        <v>319</v>
      </c>
      <c r="C265">
        <v>0</v>
      </c>
      <c r="D265" s="1">
        <v>0</v>
      </c>
      <c r="E265">
        <v>0</v>
      </c>
      <c r="F265">
        <v>0</v>
      </c>
      <c r="G265" s="2">
        <v>0</v>
      </c>
      <c r="H265" s="3" t="s">
        <v>213</v>
      </c>
      <c r="I265" s="3" t="s">
        <v>213</v>
      </c>
      <c r="J265" s="3">
        <v>0</v>
      </c>
    </row>
    <row r="266" spans="1:10" x14ac:dyDescent="0.3">
      <c r="A266" t="s">
        <v>11</v>
      </c>
      <c r="B266" t="s">
        <v>256</v>
      </c>
      <c r="C266">
        <v>0</v>
      </c>
      <c r="D266" s="1">
        <v>0</v>
      </c>
      <c r="E266">
        <v>0</v>
      </c>
      <c r="F266">
        <v>0</v>
      </c>
      <c r="G266" s="2">
        <v>0</v>
      </c>
      <c r="H266" s="3" t="s">
        <v>213</v>
      </c>
      <c r="I266" s="3" t="s">
        <v>213</v>
      </c>
      <c r="J266" s="3">
        <v>0</v>
      </c>
    </row>
    <row r="267" spans="1:10" x14ac:dyDescent="0.3">
      <c r="A267" t="s">
        <v>11</v>
      </c>
      <c r="B267" t="s">
        <v>235</v>
      </c>
      <c r="C267">
        <v>0</v>
      </c>
      <c r="D267" s="1">
        <v>0</v>
      </c>
      <c r="E267">
        <v>0</v>
      </c>
      <c r="F267">
        <v>0</v>
      </c>
      <c r="G267" s="2">
        <v>0</v>
      </c>
      <c r="H267" s="3" t="s">
        <v>213</v>
      </c>
      <c r="I267" s="3" t="s">
        <v>213</v>
      </c>
      <c r="J267" s="3">
        <v>0</v>
      </c>
    </row>
    <row r="268" spans="1:10" x14ac:dyDescent="0.3">
      <c r="A268" t="s">
        <v>11</v>
      </c>
      <c r="B268" t="s">
        <v>314</v>
      </c>
      <c r="C268">
        <v>0</v>
      </c>
      <c r="D268" s="1">
        <v>0</v>
      </c>
      <c r="E268">
        <v>0</v>
      </c>
      <c r="F268">
        <v>0</v>
      </c>
      <c r="G268" s="2">
        <v>0</v>
      </c>
      <c r="H268" s="3" t="s">
        <v>213</v>
      </c>
      <c r="I268" s="3" t="s">
        <v>213</v>
      </c>
      <c r="J268" s="3">
        <v>0</v>
      </c>
    </row>
    <row r="269" spans="1:10" x14ac:dyDescent="0.3">
      <c r="A269" t="s">
        <v>11</v>
      </c>
      <c r="B269" t="s">
        <v>282</v>
      </c>
      <c r="C269">
        <v>0</v>
      </c>
      <c r="D269" s="1">
        <v>0</v>
      </c>
      <c r="E269">
        <v>0</v>
      </c>
      <c r="F269">
        <v>0</v>
      </c>
      <c r="G269" s="2">
        <v>0</v>
      </c>
      <c r="H269" s="3" t="s">
        <v>213</v>
      </c>
      <c r="I269" s="3" t="s">
        <v>213</v>
      </c>
      <c r="J269" s="3">
        <v>0</v>
      </c>
    </row>
    <row r="270" spans="1:10" x14ac:dyDescent="0.3">
      <c r="A270" t="s">
        <v>11</v>
      </c>
      <c r="B270" t="s">
        <v>229</v>
      </c>
      <c r="C270">
        <v>0</v>
      </c>
      <c r="D270" s="1">
        <v>0</v>
      </c>
      <c r="E270">
        <v>0</v>
      </c>
      <c r="F270">
        <v>0</v>
      </c>
      <c r="G270" s="2">
        <v>0</v>
      </c>
      <c r="H270" s="3" t="s">
        <v>213</v>
      </c>
      <c r="I270" s="3" t="s">
        <v>213</v>
      </c>
      <c r="J270" s="3">
        <v>0</v>
      </c>
    </row>
    <row r="271" spans="1:10" x14ac:dyDescent="0.3">
      <c r="A271" t="s">
        <v>11</v>
      </c>
      <c r="B271" t="s">
        <v>312</v>
      </c>
      <c r="C271">
        <v>0</v>
      </c>
      <c r="D271" s="1">
        <v>0</v>
      </c>
      <c r="E271">
        <v>0</v>
      </c>
      <c r="F271">
        <v>0</v>
      </c>
      <c r="G271" s="2">
        <v>0</v>
      </c>
      <c r="H271" s="3" t="s">
        <v>213</v>
      </c>
      <c r="I271" s="3" t="s">
        <v>213</v>
      </c>
      <c r="J271" s="3">
        <v>0</v>
      </c>
    </row>
    <row r="272" spans="1:10" x14ac:dyDescent="0.3">
      <c r="A272" t="s">
        <v>11</v>
      </c>
      <c r="B272" t="s">
        <v>316</v>
      </c>
      <c r="C272">
        <v>0</v>
      </c>
      <c r="D272" s="1">
        <v>0</v>
      </c>
      <c r="E272">
        <v>0</v>
      </c>
      <c r="F272">
        <v>0</v>
      </c>
      <c r="G272" s="2">
        <v>0</v>
      </c>
      <c r="H272" s="3" t="s">
        <v>213</v>
      </c>
      <c r="I272" s="3" t="s">
        <v>213</v>
      </c>
      <c r="J272" s="3">
        <v>0</v>
      </c>
    </row>
    <row r="273" spans="1:10" x14ac:dyDescent="0.3">
      <c r="A273" t="s">
        <v>11</v>
      </c>
      <c r="B273" t="s">
        <v>219</v>
      </c>
      <c r="C273">
        <v>0</v>
      </c>
      <c r="D273" s="1">
        <v>0</v>
      </c>
      <c r="E273">
        <v>0</v>
      </c>
      <c r="F273">
        <v>0</v>
      </c>
      <c r="G273" s="2">
        <v>0</v>
      </c>
      <c r="H273" s="3" t="s">
        <v>213</v>
      </c>
      <c r="I273" s="3" t="s">
        <v>213</v>
      </c>
      <c r="J273" s="3">
        <v>0</v>
      </c>
    </row>
    <row r="274" spans="1:10" x14ac:dyDescent="0.3">
      <c r="A274" t="s">
        <v>11</v>
      </c>
      <c r="B274" t="s">
        <v>264</v>
      </c>
      <c r="C274">
        <v>0</v>
      </c>
      <c r="D274" s="1">
        <v>0</v>
      </c>
      <c r="E274">
        <v>0</v>
      </c>
      <c r="F274">
        <v>0</v>
      </c>
      <c r="G274" s="2">
        <v>0</v>
      </c>
      <c r="H274" s="3" t="s">
        <v>213</v>
      </c>
      <c r="I274" s="3" t="s">
        <v>213</v>
      </c>
      <c r="J274" s="3">
        <v>0</v>
      </c>
    </row>
    <row r="275" spans="1:10" x14ac:dyDescent="0.3">
      <c r="A275" t="s">
        <v>11</v>
      </c>
      <c r="B275" t="s">
        <v>245</v>
      </c>
      <c r="C275">
        <v>0</v>
      </c>
      <c r="D275" s="1">
        <v>0</v>
      </c>
      <c r="E275">
        <v>0</v>
      </c>
      <c r="F275">
        <v>0</v>
      </c>
      <c r="G275" s="2">
        <v>0</v>
      </c>
      <c r="H275" s="3" t="s">
        <v>213</v>
      </c>
      <c r="I275" s="3" t="s">
        <v>213</v>
      </c>
      <c r="J275" s="3">
        <v>0</v>
      </c>
    </row>
    <row r="276" spans="1:10" x14ac:dyDescent="0.3">
      <c r="A276" t="s">
        <v>11</v>
      </c>
      <c r="B276" t="s">
        <v>286</v>
      </c>
      <c r="C276">
        <v>0</v>
      </c>
      <c r="D276" s="1">
        <v>0</v>
      </c>
      <c r="E276">
        <v>0</v>
      </c>
      <c r="F276">
        <v>0</v>
      </c>
      <c r="G276" s="2">
        <v>0</v>
      </c>
      <c r="H276" s="3" t="s">
        <v>213</v>
      </c>
      <c r="I276" s="3" t="s">
        <v>213</v>
      </c>
      <c r="J276" s="3">
        <v>0</v>
      </c>
    </row>
    <row r="277" spans="1:10" x14ac:dyDescent="0.3">
      <c r="A277" t="s">
        <v>11</v>
      </c>
      <c r="B277" t="s">
        <v>320</v>
      </c>
      <c r="C277">
        <v>0</v>
      </c>
      <c r="D277" s="1">
        <v>0</v>
      </c>
      <c r="E277">
        <v>0</v>
      </c>
      <c r="F277">
        <v>0</v>
      </c>
      <c r="G277" s="2">
        <v>0</v>
      </c>
      <c r="H277" s="3" t="s">
        <v>213</v>
      </c>
      <c r="I277" s="3" t="s">
        <v>213</v>
      </c>
      <c r="J277" s="3">
        <v>0</v>
      </c>
    </row>
    <row r="278" spans="1:10" x14ac:dyDescent="0.3">
      <c r="A278" t="s">
        <v>11</v>
      </c>
      <c r="B278" t="s">
        <v>239</v>
      </c>
      <c r="C278">
        <v>0</v>
      </c>
      <c r="D278" s="1">
        <v>0</v>
      </c>
      <c r="E278">
        <v>0</v>
      </c>
      <c r="F278">
        <v>0</v>
      </c>
      <c r="G278" s="2">
        <v>0</v>
      </c>
      <c r="H278" s="3" t="s">
        <v>213</v>
      </c>
      <c r="I278" s="3" t="s">
        <v>213</v>
      </c>
      <c r="J278" s="3">
        <v>0</v>
      </c>
    </row>
    <row r="279" spans="1:10" x14ac:dyDescent="0.3">
      <c r="A279" t="s">
        <v>11</v>
      </c>
      <c r="B279" t="s">
        <v>219</v>
      </c>
      <c r="C279">
        <v>2</v>
      </c>
      <c r="D279" s="1">
        <v>0</v>
      </c>
      <c r="E279">
        <v>0</v>
      </c>
      <c r="F279">
        <v>0</v>
      </c>
      <c r="G279" s="2">
        <v>0</v>
      </c>
      <c r="H279" s="3" t="s">
        <v>213</v>
      </c>
      <c r="I279" s="3" t="s">
        <v>213</v>
      </c>
      <c r="J279" s="3">
        <v>0</v>
      </c>
    </row>
    <row r="280" spans="1:10" x14ac:dyDescent="0.3">
      <c r="A280" t="s">
        <v>11</v>
      </c>
      <c r="B280" t="s">
        <v>219</v>
      </c>
      <c r="C280">
        <v>6</v>
      </c>
      <c r="D280" s="1">
        <v>0</v>
      </c>
      <c r="E280">
        <v>0</v>
      </c>
      <c r="F280">
        <v>0</v>
      </c>
      <c r="G280" s="2">
        <v>0</v>
      </c>
      <c r="H280" s="3" t="s">
        <v>213</v>
      </c>
      <c r="I280" s="3" t="s">
        <v>213</v>
      </c>
      <c r="J280" s="3">
        <v>0</v>
      </c>
    </row>
    <row r="281" spans="1:10" x14ac:dyDescent="0.3">
      <c r="A281" t="s">
        <v>11</v>
      </c>
      <c r="B281" t="s">
        <v>215</v>
      </c>
      <c r="C281">
        <v>98</v>
      </c>
      <c r="D281" s="1">
        <v>4.0800000000000003E-2</v>
      </c>
      <c r="E281">
        <v>4</v>
      </c>
      <c r="F281">
        <v>0</v>
      </c>
      <c r="G281" s="2">
        <v>0</v>
      </c>
      <c r="H281" s="3">
        <v>0</v>
      </c>
      <c r="I281" s="3" t="s">
        <v>213</v>
      </c>
      <c r="J281" s="3">
        <v>0</v>
      </c>
    </row>
    <row r="282" spans="1:10" x14ac:dyDescent="0.3">
      <c r="A282" t="s">
        <v>11</v>
      </c>
      <c r="B282" t="s">
        <v>215</v>
      </c>
      <c r="C282">
        <v>119</v>
      </c>
      <c r="D282" s="1">
        <v>0.1008</v>
      </c>
      <c r="E282">
        <v>12</v>
      </c>
      <c r="F282">
        <v>1</v>
      </c>
      <c r="G282" s="2">
        <v>8.3299999999999999E-2</v>
      </c>
      <c r="H282" s="3">
        <v>0.56000000000000005</v>
      </c>
      <c r="I282" s="3">
        <v>6.68</v>
      </c>
      <c r="J282" s="3">
        <v>6.68</v>
      </c>
    </row>
    <row r="283" spans="1:10" x14ac:dyDescent="0.3">
      <c r="A283" t="s">
        <v>11</v>
      </c>
      <c r="B283" t="s">
        <v>215</v>
      </c>
      <c r="C283">
        <v>132</v>
      </c>
      <c r="D283" s="1">
        <v>3.7900000000000003E-2</v>
      </c>
      <c r="E283">
        <v>5</v>
      </c>
      <c r="F283">
        <v>0</v>
      </c>
      <c r="G283" s="2">
        <v>0</v>
      </c>
      <c r="H283" s="3">
        <v>0</v>
      </c>
      <c r="I283" s="3" t="s">
        <v>213</v>
      </c>
      <c r="J283" s="3">
        <v>0</v>
      </c>
    </row>
    <row r="284" spans="1:10" x14ac:dyDescent="0.3">
      <c r="A284" t="s">
        <v>11</v>
      </c>
      <c r="B284" t="s">
        <v>215</v>
      </c>
      <c r="C284">
        <v>244</v>
      </c>
      <c r="D284" s="1">
        <v>9.0200000000000002E-2</v>
      </c>
      <c r="E284">
        <v>22</v>
      </c>
      <c r="F284">
        <v>0</v>
      </c>
      <c r="G284" s="2">
        <v>0</v>
      </c>
      <c r="H284" s="3">
        <v>0</v>
      </c>
      <c r="I284" s="3" t="s">
        <v>213</v>
      </c>
      <c r="J284" s="3">
        <v>0</v>
      </c>
    </row>
    <row r="285" spans="1:10" x14ac:dyDescent="0.3">
      <c r="A285" t="s">
        <v>11</v>
      </c>
      <c r="B285" t="s">
        <v>212</v>
      </c>
      <c r="C285">
        <v>31</v>
      </c>
      <c r="D285" s="1">
        <v>9.6799999999999997E-2</v>
      </c>
      <c r="E285">
        <v>3</v>
      </c>
      <c r="F285">
        <v>0</v>
      </c>
      <c r="G285" s="2">
        <v>0</v>
      </c>
      <c r="H285" s="3">
        <v>4.82</v>
      </c>
      <c r="I285" s="3">
        <v>14.46</v>
      </c>
      <c r="J285" s="3">
        <v>14.46</v>
      </c>
    </row>
    <row r="286" spans="1:10" x14ac:dyDescent="0.3">
      <c r="A286" t="s">
        <v>11</v>
      </c>
      <c r="B286" t="s">
        <v>212</v>
      </c>
      <c r="C286">
        <v>1250</v>
      </c>
      <c r="D286" s="1">
        <v>8.1600000000000006E-2</v>
      </c>
      <c r="E286">
        <v>102</v>
      </c>
      <c r="F286">
        <v>16</v>
      </c>
      <c r="G286" s="2">
        <v>0.15689999999999998</v>
      </c>
      <c r="H286" s="3">
        <v>1.79</v>
      </c>
      <c r="I286" s="3">
        <v>11.43</v>
      </c>
      <c r="J286" s="3">
        <v>182.86</v>
      </c>
    </row>
    <row r="287" spans="1:10" x14ac:dyDescent="0.3">
      <c r="A287" t="s">
        <v>11</v>
      </c>
      <c r="B287" t="s">
        <v>212</v>
      </c>
      <c r="C287">
        <v>114</v>
      </c>
      <c r="D287" s="1">
        <v>7.0199999999999999E-2</v>
      </c>
      <c r="E287">
        <v>8</v>
      </c>
      <c r="F287">
        <v>1</v>
      </c>
      <c r="G287" s="2">
        <v>0.125</v>
      </c>
      <c r="H287" s="3">
        <v>0.43</v>
      </c>
      <c r="I287" s="3">
        <v>3.47</v>
      </c>
      <c r="J287" s="3">
        <v>3.47</v>
      </c>
    </row>
    <row r="288" spans="1:10" x14ac:dyDescent="0.3">
      <c r="A288" t="s">
        <v>11</v>
      </c>
      <c r="B288" t="s">
        <v>441</v>
      </c>
      <c r="C288">
        <v>93</v>
      </c>
      <c r="D288" s="1">
        <v>0.1075</v>
      </c>
      <c r="E288">
        <v>10</v>
      </c>
      <c r="F288">
        <v>1</v>
      </c>
      <c r="G288" s="2">
        <v>0.1</v>
      </c>
      <c r="H288" s="3">
        <v>1.03</v>
      </c>
      <c r="I288" s="3">
        <v>10.32</v>
      </c>
      <c r="J288" s="3">
        <v>10.32</v>
      </c>
    </row>
    <row r="289" spans="1:10" x14ac:dyDescent="0.3">
      <c r="A289" t="s">
        <v>11</v>
      </c>
      <c r="B289" t="s">
        <v>441</v>
      </c>
      <c r="C289">
        <v>43</v>
      </c>
      <c r="D289" s="1">
        <v>0.1628</v>
      </c>
      <c r="E289">
        <v>7</v>
      </c>
      <c r="F289">
        <v>0</v>
      </c>
      <c r="G289" s="2">
        <v>0</v>
      </c>
      <c r="H289" s="3">
        <v>0</v>
      </c>
      <c r="I289" s="3" t="s">
        <v>213</v>
      </c>
      <c r="J289" s="3">
        <v>0</v>
      </c>
    </row>
    <row r="290" spans="1:10" x14ac:dyDescent="0.3">
      <c r="A290" t="s">
        <v>11</v>
      </c>
      <c r="B290" t="s">
        <v>441</v>
      </c>
      <c r="C290">
        <v>0</v>
      </c>
      <c r="D290" s="1">
        <v>0</v>
      </c>
      <c r="E290">
        <v>0</v>
      </c>
      <c r="F290">
        <v>0</v>
      </c>
      <c r="G290" s="2">
        <v>0</v>
      </c>
      <c r="H290" s="3" t="s">
        <v>213</v>
      </c>
      <c r="I290" s="3" t="s">
        <v>213</v>
      </c>
      <c r="J290" s="3">
        <v>0</v>
      </c>
    </row>
    <row r="291" spans="1:10" x14ac:dyDescent="0.3">
      <c r="A291" t="s">
        <v>75</v>
      </c>
      <c r="B291" t="s">
        <v>259</v>
      </c>
      <c r="C291">
        <v>220</v>
      </c>
      <c r="D291" s="1">
        <v>0.1545</v>
      </c>
      <c r="E291">
        <v>34</v>
      </c>
      <c r="F291">
        <v>5</v>
      </c>
      <c r="G291" s="2">
        <v>0.14710000000000001</v>
      </c>
      <c r="H291" s="3">
        <v>0.64</v>
      </c>
      <c r="I291" s="3">
        <v>4.33</v>
      </c>
      <c r="J291" s="3">
        <v>21.67</v>
      </c>
    </row>
    <row r="292" spans="1:10" x14ac:dyDescent="0.3">
      <c r="A292" t="s">
        <v>75</v>
      </c>
      <c r="B292" t="s">
        <v>259</v>
      </c>
      <c r="C292">
        <v>239</v>
      </c>
      <c r="D292" s="1">
        <v>0.10460000000000001</v>
      </c>
      <c r="E292">
        <v>25</v>
      </c>
      <c r="F292">
        <v>3</v>
      </c>
      <c r="G292" s="2">
        <v>0.12</v>
      </c>
      <c r="H292" s="3">
        <v>0.2</v>
      </c>
      <c r="I292" s="3">
        <v>1.7</v>
      </c>
      <c r="J292" s="3">
        <v>5.0999999999999996</v>
      </c>
    </row>
    <row r="293" spans="1:10" x14ac:dyDescent="0.3">
      <c r="A293" t="s">
        <v>75</v>
      </c>
      <c r="B293" t="s">
        <v>322</v>
      </c>
      <c r="C293">
        <v>390</v>
      </c>
      <c r="D293" s="1">
        <v>7.690000000000001E-2</v>
      </c>
      <c r="E293">
        <v>30</v>
      </c>
      <c r="F293">
        <v>1</v>
      </c>
      <c r="G293" s="2">
        <v>3.3300000000000003E-2</v>
      </c>
      <c r="H293" s="3">
        <v>0.28999999999999998</v>
      </c>
      <c r="I293" s="3">
        <v>8.81</v>
      </c>
      <c r="J293" s="3">
        <v>8.81</v>
      </c>
    </row>
    <row r="294" spans="1:10" x14ac:dyDescent="0.3">
      <c r="A294" t="s">
        <v>75</v>
      </c>
      <c r="B294" t="s">
        <v>323</v>
      </c>
      <c r="C294">
        <v>534</v>
      </c>
      <c r="D294" s="1">
        <v>4.87E-2</v>
      </c>
      <c r="E294">
        <v>26</v>
      </c>
      <c r="F294">
        <v>1</v>
      </c>
      <c r="G294" s="2">
        <v>3.85E-2</v>
      </c>
      <c r="H294" s="3">
        <v>0.48</v>
      </c>
      <c r="I294" s="3">
        <v>12.38</v>
      </c>
      <c r="J294" s="3">
        <v>12.38</v>
      </c>
    </row>
    <row r="295" spans="1:10" x14ac:dyDescent="0.3">
      <c r="A295" t="s">
        <v>75</v>
      </c>
      <c r="B295" t="s">
        <v>259</v>
      </c>
      <c r="C295">
        <v>67</v>
      </c>
      <c r="D295" s="1">
        <v>7.46E-2</v>
      </c>
      <c r="E295">
        <v>5</v>
      </c>
      <c r="F295">
        <v>1</v>
      </c>
      <c r="G295" s="2">
        <v>0.2</v>
      </c>
      <c r="H295" s="3">
        <v>1.54</v>
      </c>
      <c r="I295" s="3">
        <v>7.71</v>
      </c>
      <c r="J295" s="3">
        <v>7.71</v>
      </c>
    </row>
    <row r="296" spans="1:10" x14ac:dyDescent="0.3">
      <c r="A296" t="s">
        <v>75</v>
      </c>
      <c r="B296" t="s">
        <v>259</v>
      </c>
      <c r="C296">
        <v>123</v>
      </c>
      <c r="D296" s="1">
        <v>0.13819999999999999</v>
      </c>
      <c r="E296">
        <v>17</v>
      </c>
      <c r="F296">
        <v>0</v>
      </c>
      <c r="G296" s="2">
        <v>0</v>
      </c>
      <c r="H296" s="3">
        <v>0</v>
      </c>
      <c r="I296" s="3" t="s">
        <v>213</v>
      </c>
      <c r="J296" s="3">
        <v>0</v>
      </c>
    </row>
    <row r="297" spans="1:10" x14ac:dyDescent="0.3">
      <c r="A297" t="s">
        <v>75</v>
      </c>
      <c r="B297" t="s">
        <v>322</v>
      </c>
      <c r="C297">
        <v>9</v>
      </c>
      <c r="D297" s="1">
        <v>0</v>
      </c>
      <c r="E297">
        <v>0</v>
      </c>
      <c r="F297">
        <v>0</v>
      </c>
      <c r="G297" s="2">
        <v>0</v>
      </c>
      <c r="H297" s="3" t="s">
        <v>213</v>
      </c>
      <c r="I297" s="3" t="s">
        <v>213</v>
      </c>
      <c r="J297" s="3">
        <v>0</v>
      </c>
    </row>
    <row r="298" spans="1:10" x14ac:dyDescent="0.3">
      <c r="A298" t="s">
        <v>29</v>
      </c>
      <c r="B298" t="s">
        <v>238</v>
      </c>
      <c r="C298">
        <v>1005</v>
      </c>
      <c r="D298" s="1">
        <v>0.10550000000000001</v>
      </c>
      <c r="E298">
        <v>106</v>
      </c>
      <c r="F298">
        <v>6</v>
      </c>
      <c r="G298" s="2">
        <v>5.6600000000000004E-2</v>
      </c>
      <c r="H298" s="3">
        <v>0.12</v>
      </c>
      <c r="I298" s="3">
        <v>2.06</v>
      </c>
      <c r="J298" s="3">
        <v>12.34</v>
      </c>
    </row>
    <row r="299" spans="1:10" x14ac:dyDescent="0.3">
      <c r="A299" t="s">
        <v>138</v>
      </c>
      <c r="B299" t="s">
        <v>268</v>
      </c>
      <c r="C299">
        <v>1041</v>
      </c>
      <c r="D299" s="1">
        <v>9.5100000000000004E-2</v>
      </c>
      <c r="E299">
        <v>99</v>
      </c>
      <c r="F299">
        <v>8</v>
      </c>
      <c r="G299" s="2">
        <v>8.0799999999999997E-2</v>
      </c>
      <c r="H299" s="3">
        <v>0.2</v>
      </c>
      <c r="I299" s="3">
        <v>2.42</v>
      </c>
      <c r="J299" s="3">
        <v>19.329999999999998</v>
      </c>
    </row>
    <row r="300" spans="1:10" x14ac:dyDescent="0.3">
      <c r="A300" t="s">
        <v>91</v>
      </c>
      <c r="B300" t="s">
        <v>324</v>
      </c>
      <c r="C300">
        <v>248</v>
      </c>
      <c r="D300" s="1">
        <v>6.8499999999999991E-2</v>
      </c>
      <c r="E300">
        <v>17</v>
      </c>
      <c r="F300">
        <v>1</v>
      </c>
      <c r="G300" s="2">
        <v>5.8799999999999998E-2</v>
      </c>
      <c r="H300" s="3">
        <v>0.16</v>
      </c>
      <c r="I300" s="3">
        <v>2.79</v>
      </c>
      <c r="J300" s="3">
        <v>2.79</v>
      </c>
    </row>
    <row r="301" spans="1:10" x14ac:dyDescent="0.3">
      <c r="A301" t="s">
        <v>91</v>
      </c>
      <c r="B301" t="s">
        <v>324</v>
      </c>
      <c r="C301">
        <v>502</v>
      </c>
      <c r="D301" s="1">
        <v>6.3700000000000007E-2</v>
      </c>
      <c r="E301">
        <v>32</v>
      </c>
      <c r="F301">
        <v>0</v>
      </c>
      <c r="G301" s="2">
        <v>0</v>
      </c>
      <c r="H301" s="3">
        <v>0</v>
      </c>
      <c r="I301" s="3" t="s">
        <v>213</v>
      </c>
      <c r="J301" s="3">
        <v>0</v>
      </c>
    </row>
    <row r="302" spans="1:10" x14ac:dyDescent="0.3">
      <c r="A302" t="s">
        <v>92</v>
      </c>
      <c r="B302" t="s">
        <v>242</v>
      </c>
      <c r="C302">
        <v>101</v>
      </c>
      <c r="D302" s="1">
        <v>0.1386</v>
      </c>
      <c r="E302">
        <v>14</v>
      </c>
      <c r="F302">
        <v>2</v>
      </c>
      <c r="G302" s="2">
        <v>0.1429</v>
      </c>
      <c r="H302" s="3">
        <v>0.28000000000000003</v>
      </c>
      <c r="I302" s="3">
        <v>1.96</v>
      </c>
      <c r="J302" s="3">
        <v>3.92</v>
      </c>
    </row>
    <row r="303" spans="1:10" x14ac:dyDescent="0.3">
      <c r="A303" t="s">
        <v>92</v>
      </c>
      <c r="B303" t="s">
        <v>242</v>
      </c>
      <c r="C303">
        <v>47</v>
      </c>
      <c r="D303" s="1">
        <v>4.2599999999999999E-2</v>
      </c>
      <c r="E303">
        <v>2</v>
      </c>
      <c r="F303">
        <v>0</v>
      </c>
      <c r="G303" s="2">
        <v>0</v>
      </c>
      <c r="H303" s="3">
        <v>0</v>
      </c>
      <c r="I303" s="3" t="s">
        <v>213</v>
      </c>
      <c r="J303" s="3">
        <v>0</v>
      </c>
    </row>
    <row r="304" spans="1:10" x14ac:dyDescent="0.3">
      <c r="A304" t="s">
        <v>50</v>
      </c>
      <c r="B304" t="s">
        <v>325</v>
      </c>
      <c r="C304">
        <v>299</v>
      </c>
      <c r="D304" s="1">
        <v>0.1371</v>
      </c>
      <c r="E304">
        <v>41</v>
      </c>
      <c r="F304">
        <v>3</v>
      </c>
      <c r="G304" s="2">
        <v>7.3200000000000001E-2</v>
      </c>
      <c r="H304" s="3">
        <v>0.68</v>
      </c>
      <c r="I304" s="3">
        <v>9.33</v>
      </c>
      <c r="J304" s="3">
        <v>28</v>
      </c>
    </row>
    <row r="305" spans="1:10" x14ac:dyDescent="0.3">
      <c r="A305" t="s">
        <v>139</v>
      </c>
      <c r="B305" t="s">
        <v>233</v>
      </c>
      <c r="C305">
        <v>5</v>
      </c>
      <c r="D305" s="1">
        <v>0</v>
      </c>
      <c r="E305">
        <v>0</v>
      </c>
      <c r="F305">
        <v>0</v>
      </c>
      <c r="G305" s="2">
        <v>0</v>
      </c>
      <c r="H305" s="3" t="s">
        <v>213</v>
      </c>
      <c r="I305" s="3" t="s">
        <v>213</v>
      </c>
      <c r="J305" s="3">
        <v>0</v>
      </c>
    </row>
    <row r="306" spans="1:10" x14ac:dyDescent="0.3">
      <c r="A306" t="s">
        <v>51</v>
      </c>
      <c r="B306" t="s">
        <v>233</v>
      </c>
      <c r="C306">
        <v>549</v>
      </c>
      <c r="D306" s="1">
        <v>0.11109999999999999</v>
      </c>
      <c r="E306">
        <v>61</v>
      </c>
      <c r="F306">
        <v>5</v>
      </c>
      <c r="G306" s="2">
        <v>8.199999999999999E-2</v>
      </c>
      <c r="H306" s="3">
        <v>0.55000000000000004</v>
      </c>
      <c r="I306" s="3">
        <v>6.65</v>
      </c>
      <c r="J306" s="3">
        <v>33.270000000000003</v>
      </c>
    </row>
    <row r="307" spans="1:10" x14ac:dyDescent="0.3">
      <c r="A307" t="s">
        <v>15</v>
      </c>
      <c r="B307" t="s">
        <v>269</v>
      </c>
      <c r="C307">
        <v>1438</v>
      </c>
      <c r="D307" s="1">
        <v>8.900000000000001E-2</v>
      </c>
      <c r="E307">
        <v>128</v>
      </c>
      <c r="F307">
        <v>22</v>
      </c>
      <c r="G307" s="2">
        <v>0.17190000000000003</v>
      </c>
      <c r="H307" s="3">
        <v>1.3</v>
      </c>
      <c r="I307" s="3">
        <v>7.56</v>
      </c>
      <c r="J307" s="3">
        <v>166.27</v>
      </c>
    </row>
    <row r="308" spans="1:10" x14ac:dyDescent="0.3">
      <c r="A308" t="s">
        <v>15</v>
      </c>
      <c r="B308" t="s">
        <v>233</v>
      </c>
      <c r="C308">
        <v>1128</v>
      </c>
      <c r="D308" s="1">
        <v>0.1082</v>
      </c>
      <c r="E308">
        <v>122</v>
      </c>
      <c r="F308">
        <v>21</v>
      </c>
      <c r="G308" s="2">
        <v>0.1721</v>
      </c>
      <c r="H308" s="3">
        <v>0.73</v>
      </c>
      <c r="I308" s="3">
        <v>4.26</v>
      </c>
      <c r="J308" s="3">
        <v>89.46</v>
      </c>
    </row>
    <row r="309" spans="1:10" x14ac:dyDescent="0.3">
      <c r="A309" t="s">
        <v>15</v>
      </c>
      <c r="B309" t="s">
        <v>228</v>
      </c>
      <c r="C309">
        <v>136</v>
      </c>
      <c r="D309" s="1">
        <v>9.5600000000000004E-2</v>
      </c>
      <c r="E309">
        <v>13</v>
      </c>
      <c r="F309">
        <v>5</v>
      </c>
      <c r="G309" s="2">
        <v>0.3846</v>
      </c>
      <c r="H309" s="3">
        <v>1.25</v>
      </c>
      <c r="I309" s="3">
        <v>3.24</v>
      </c>
      <c r="J309" s="3">
        <v>16.190000000000001</v>
      </c>
    </row>
    <row r="310" spans="1:10" x14ac:dyDescent="0.3">
      <c r="A310" t="s">
        <v>15</v>
      </c>
      <c r="B310" t="s">
        <v>232</v>
      </c>
      <c r="C310">
        <v>276</v>
      </c>
      <c r="D310" s="1">
        <v>9.06E-2</v>
      </c>
      <c r="E310">
        <v>25</v>
      </c>
      <c r="F310">
        <v>4</v>
      </c>
      <c r="G310" s="2">
        <v>0.16</v>
      </c>
      <c r="H310" s="3">
        <v>1.1100000000000001</v>
      </c>
      <c r="I310" s="3">
        <v>6.94</v>
      </c>
      <c r="J310" s="3">
        <v>27.75</v>
      </c>
    </row>
    <row r="311" spans="1:10" x14ac:dyDescent="0.3">
      <c r="A311" t="s">
        <v>15</v>
      </c>
      <c r="B311" t="s">
        <v>268</v>
      </c>
      <c r="C311">
        <v>75</v>
      </c>
      <c r="D311" s="1">
        <v>9.3299999999999994E-2</v>
      </c>
      <c r="E311">
        <v>7</v>
      </c>
      <c r="F311">
        <v>1</v>
      </c>
      <c r="G311" s="2">
        <v>0.1429</v>
      </c>
      <c r="H311" s="3">
        <v>1.05</v>
      </c>
      <c r="I311" s="3">
        <v>7.32</v>
      </c>
      <c r="J311" s="3">
        <v>7.32</v>
      </c>
    </row>
    <row r="312" spans="1:10" x14ac:dyDescent="0.3">
      <c r="A312" t="s">
        <v>140</v>
      </c>
      <c r="B312" t="s">
        <v>233</v>
      </c>
      <c r="C312">
        <v>947</v>
      </c>
      <c r="D312" s="1">
        <v>3.1699999999999999E-2</v>
      </c>
      <c r="E312">
        <v>30</v>
      </c>
      <c r="F312">
        <v>2</v>
      </c>
      <c r="G312" s="2">
        <v>6.6699999999999995E-2</v>
      </c>
      <c r="H312" s="3">
        <v>0.18</v>
      </c>
      <c r="I312" s="3">
        <v>2.69</v>
      </c>
      <c r="J312" s="3">
        <v>5.38</v>
      </c>
    </row>
    <row r="313" spans="1:10" x14ac:dyDescent="0.3">
      <c r="A313" t="s">
        <v>52</v>
      </c>
      <c r="B313" t="s">
        <v>252</v>
      </c>
      <c r="C313">
        <v>90</v>
      </c>
      <c r="D313" s="1">
        <v>6.6699999999999995E-2</v>
      </c>
      <c r="E313">
        <v>6</v>
      </c>
      <c r="F313">
        <v>1</v>
      </c>
      <c r="G313" s="2">
        <v>0.16670000000000001</v>
      </c>
      <c r="H313" s="3">
        <v>2.0699999999999998</v>
      </c>
      <c r="I313" s="3">
        <v>12.43</v>
      </c>
      <c r="J313" s="3">
        <v>12.43</v>
      </c>
    </row>
    <row r="314" spans="1:10" x14ac:dyDescent="0.3">
      <c r="A314" t="s">
        <v>141</v>
      </c>
      <c r="B314" t="s">
        <v>229</v>
      </c>
      <c r="C314">
        <v>0</v>
      </c>
      <c r="D314" s="1">
        <v>0</v>
      </c>
      <c r="E314">
        <v>0</v>
      </c>
      <c r="F314">
        <v>0</v>
      </c>
      <c r="G314" s="2">
        <v>0</v>
      </c>
      <c r="H314" s="3" t="s">
        <v>213</v>
      </c>
      <c r="I314" s="3" t="s">
        <v>213</v>
      </c>
      <c r="J314" s="3">
        <v>0</v>
      </c>
    </row>
    <row r="315" spans="1:10" x14ac:dyDescent="0.3">
      <c r="A315" t="s">
        <v>142</v>
      </c>
      <c r="B315" t="s">
        <v>215</v>
      </c>
      <c r="C315">
        <v>78</v>
      </c>
      <c r="D315" s="1">
        <v>3.85E-2</v>
      </c>
      <c r="E315">
        <v>3</v>
      </c>
      <c r="F315">
        <v>0</v>
      </c>
      <c r="G315" s="2">
        <v>0</v>
      </c>
      <c r="H315" s="3">
        <v>0</v>
      </c>
      <c r="I315" s="3" t="s">
        <v>213</v>
      </c>
      <c r="J315" s="3">
        <v>0</v>
      </c>
    </row>
    <row r="316" spans="1:10" x14ac:dyDescent="0.3">
      <c r="A316" t="s">
        <v>60</v>
      </c>
      <c r="B316" t="s">
        <v>223</v>
      </c>
      <c r="C316">
        <v>1432</v>
      </c>
      <c r="D316" s="1">
        <v>7.4700000000000003E-2</v>
      </c>
      <c r="E316">
        <v>107</v>
      </c>
      <c r="F316">
        <v>4</v>
      </c>
      <c r="G316" s="2">
        <v>3.7400000000000003E-2</v>
      </c>
      <c r="H316" s="3">
        <v>0.27</v>
      </c>
      <c r="I316" s="3">
        <v>7.26</v>
      </c>
      <c r="J316" s="3">
        <v>29.02</v>
      </c>
    </row>
    <row r="317" spans="1:10" x14ac:dyDescent="0.3">
      <c r="A317" t="s">
        <v>60</v>
      </c>
      <c r="B317" t="s">
        <v>239</v>
      </c>
      <c r="C317">
        <v>647</v>
      </c>
      <c r="D317" s="1">
        <v>5.8700000000000002E-2</v>
      </c>
      <c r="E317">
        <v>38</v>
      </c>
      <c r="F317">
        <v>0</v>
      </c>
      <c r="G317" s="2">
        <v>0</v>
      </c>
      <c r="H317" s="3">
        <v>0</v>
      </c>
      <c r="I317" s="3" t="s">
        <v>213</v>
      </c>
      <c r="J317" s="3">
        <v>0</v>
      </c>
    </row>
    <row r="318" spans="1:10" x14ac:dyDescent="0.3">
      <c r="A318" t="s">
        <v>143</v>
      </c>
      <c r="B318" t="s">
        <v>309</v>
      </c>
      <c r="C318">
        <v>0</v>
      </c>
      <c r="D318" s="1">
        <v>0</v>
      </c>
      <c r="E318">
        <v>0</v>
      </c>
      <c r="F318">
        <v>0</v>
      </c>
      <c r="G318" s="2">
        <v>0</v>
      </c>
      <c r="H318" s="3" t="s">
        <v>213</v>
      </c>
      <c r="I318" s="3" t="s">
        <v>213</v>
      </c>
      <c r="J318" s="3">
        <v>0</v>
      </c>
    </row>
    <row r="319" spans="1:10" x14ac:dyDescent="0.3">
      <c r="A319" t="s">
        <v>85</v>
      </c>
      <c r="B319" t="s">
        <v>248</v>
      </c>
      <c r="C319">
        <v>106</v>
      </c>
      <c r="D319" s="1">
        <v>0.1226</v>
      </c>
      <c r="E319">
        <v>13</v>
      </c>
      <c r="F319">
        <v>2</v>
      </c>
      <c r="G319" s="2">
        <v>0.15380000000000002</v>
      </c>
      <c r="H319" s="3">
        <v>1.2</v>
      </c>
      <c r="I319" s="3">
        <v>7.79</v>
      </c>
      <c r="J319" s="3">
        <v>15.58</v>
      </c>
    </row>
    <row r="320" spans="1:10" x14ac:dyDescent="0.3">
      <c r="A320" t="s">
        <v>85</v>
      </c>
      <c r="B320" t="s">
        <v>218</v>
      </c>
      <c r="C320">
        <v>118</v>
      </c>
      <c r="D320" s="1">
        <v>0.1186</v>
      </c>
      <c r="E320">
        <v>14</v>
      </c>
      <c r="F320">
        <v>1</v>
      </c>
      <c r="G320" s="2">
        <v>7.1399999999999991E-2</v>
      </c>
      <c r="H320" s="3">
        <v>0.88</v>
      </c>
      <c r="I320" s="3">
        <v>12.28</v>
      </c>
      <c r="J320" s="3">
        <v>12.28</v>
      </c>
    </row>
    <row r="321" spans="1:10" x14ac:dyDescent="0.3">
      <c r="A321" t="s">
        <v>85</v>
      </c>
      <c r="B321" t="s">
        <v>218</v>
      </c>
      <c r="C321">
        <v>4</v>
      </c>
      <c r="D321" s="1">
        <v>0</v>
      </c>
      <c r="E321">
        <v>0</v>
      </c>
      <c r="F321">
        <v>0</v>
      </c>
      <c r="G321" s="2">
        <v>0</v>
      </c>
      <c r="H321" s="3" t="s">
        <v>213</v>
      </c>
      <c r="I321" s="3" t="s">
        <v>213</v>
      </c>
      <c r="J321" s="3">
        <v>0</v>
      </c>
    </row>
    <row r="322" spans="1:10" x14ac:dyDescent="0.3">
      <c r="A322" t="s">
        <v>144</v>
      </c>
      <c r="B322" t="s">
        <v>352</v>
      </c>
      <c r="C322">
        <v>183</v>
      </c>
      <c r="D322" s="1">
        <v>7.6499999999999999E-2</v>
      </c>
      <c r="E322">
        <v>14</v>
      </c>
      <c r="F322">
        <v>1</v>
      </c>
      <c r="G322" s="2">
        <v>7.1399999999999991E-2</v>
      </c>
      <c r="H322" s="3">
        <v>0.79</v>
      </c>
      <c r="I322" s="3">
        <v>11.03</v>
      </c>
      <c r="J322" s="3">
        <v>11.03</v>
      </c>
    </row>
    <row r="323" spans="1:10" x14ac:dyDescent="0.3">
      <c r="A323" t="s">
        <v>61</v>
      </c>
      <c r="B323" t="s">
        <v>352</v>
      </c>
      <c r="C323">
        <v>275</v>
      </c>
      <c r="D323" s="1">
        <v>0.08</v>
      </c>
      <c r="E323">
        <v>22</v>
      </c>
      <c r="F323">
        <v>5</v>
      </c>
      <c r="G323" s="2">
        <v>0.2273</v>
      </c>
      <c r="H323" s="3">
        <v>1.24</v>
      </c>
      <c r="I323" s="3">
        <v>5.47</v>
      </c>
      <c r="J323" s="3">
        <v>27.34</v>
      </c>
    </row>
    <row r="324" spans="1:10" x14ac:dyDescent="0.3">
      <c r="A324" t="s">
        <v>61</v>
      </c>
      <c r="B324" t="s">
        <v>352</v>
      </c>
      <c r="C324">
        <v>149</v>
      </c>
      <c r="D324" s="1">
        <v>0.11410000000000001</v>
      </c>
      <c r="E324">
        <v>17</v>
      </c>
      <c r="F324">
        <v>2</v>
      </c>
      <c r="G324" s="2">
        <v>0.1176</v>
      </c>
      <c r="H324" s="3">
        <v>0.6</v>
      </c>
      <c r="I324" s="3">
        <v>5.0999999999999996</v>
      </c>
      <c r="J324" s="3">
        <v>10.199999999999999</v>
      </c>
    </row>
    <row r="325" spans="1:10" x14ac:dyDescent="0.3">
      <c r="A325" t="s">
        <v>70</v>
      </c>
      <c r="B325" t="s">
        <v>226</v>
      </c>
      <c r="C325">
        <v>319</v>
      </c>
      <c r="D325" s="1">
        <v>6.2699999999999992E-2</v>
      </c>
      <c r="E325">
        <v>20</v>
      </c>
      <c r="F325">
        <v>1</v>
      </c>
      <c r="G325" s="2">
        <v>0.05</v>
      </c>
      <c r="H325" s="3">
        <v>0.36</v>
      </c>
      <c r="I325" s="3">
        <v>7.1</v>
      </c>
      <c r="J325" s="3">
        <v>7.1</v>
      </c>
    </row>
    <row r="326" spans="1:10" x14ac:dyDescent="0.3">
      <c r="A326" t="s">
        <v>70</v>
      </c>
      <c r="B326" t="s">
        <v>226</v>
      </c>
      <c r="C326">
        <v>131</v>
      </c>
      <c r="D326" s="1">
        <v>7.6299999999999993E-2</v>
      </c>
      <c r="E326">
        <v>10</v>
      </c>
      <c r="F326">
        <v>0</v>
      </c>
      <c r="G326" s="2">
        <v>0</v>
      </c>
      <c r="H326" s="3">
        <v>0</v>
      </c>
      <c r="I326" s="3" t="s">
        <v>213</v>
      </c>
      <c r="J326" s="3">
        <v>0</v>
      </c>
    </row>
    <row r="327" spans="1:10" x14ac:dyDescent="0.3">
      <c r="A327" t="s">
        <v>70</v>
      </c>
      <c r="B327" t="s">
        <v>227</v>
      </c>
      <c r="C327">
        <v>44</v>
      </c>
      <c r="D327" s="1">
        <v>9.0899999999999995E-2</v>
      </c>
      <c r="E327">
        <v>4</v>
      </c>
      <c r="F327">
        <v>0</v>
      </c>
      <c r="G327" s="2">
        <v>0</v>
      </c>
      <c r="H327" s="3">
        <v>0</v>
      </c>
      <c r="I327" s="3" t="s">
        <v>213</v>
      </c>
      <c r="J327" s="3">
        <v>0</v>
      </c>
    </row>
    <row r="328" spans="1:10" x14ac:dyDescent="0.3">
      <c r="A328" t="s">
        <v>70</v>
      </c>
      <c r="B328" t="s">
        <v>227</v>
      </c>
      <c r="C328">
        <v>95</v>
      </c>
      <c r="D328" s="1">
        <v>2.1099999999999997E-2</v>
      </c>
      <c r="E328">
        <v>2</v>
      </c>
      <c r="F328">
        <v>0</v>
      </c>
      <c r="G328" s="2">
        <v>0</v>
      </c>
      <c r="H328" s="3">
        <v>0</v>
      </c>
      <c r="I328" s="3" t="s">
        <v>213</v>
      </c>
      <c r="J328" s="3">
        <v>0</v>
      </c>
    </row>
    <row r="329" spans="1:10" x14ac:dyDescent="0.3">
      <c r="A329" t="s">
        <v>145</v>
      </c>
      <c r="B329" t="s">
        <v>353</v>
      </c>
      <c r="C329">
        <v>728</v>
      </c>
      <c r="D329" s="1">
        <v>7.9699999999999993E-2</v>
      </c>
      <c r="E329">
        <v>58</v>
      </c>
      <c r="F329">
        <v>10</v>
      </c>
      <c r="G329" s="2">
        <v>0.1724</v>
      </c>
      <c r="H329" s="3">
        <v>0.26</v>
      </c>
      <c r="I329" s="3">
        <v>1.53</v>
      </c>
      <c r="J329" s="3">
        <v>15.3</v>
      </c>
    </row>
    <row r="330" spans="1:10" x14ac:dyDescent="0.3">
      <c r="A330" t="s">
        <v>146</v>
      </c>
      <c r="B330" t="s">
        <v>233</v>
      </c>
      <c r="C330">
        <v>0</v>
      </c>
      <c r="D330" s="1">
        <v>0</v>
      </c>
      <c r="E330">
        <v>0</v>
      </c>
      <c r="F330">
        <v>0</v>
      </c>
      <c r="G330" s="2">
        <v>0</v>
      </c>
      <c r="H330" s="3" t="s">
        <v>213</v>
      </c>
      <c r="I330" s="3" t="s">
        <v>213</v>
      </c>
      <c r="J330" s="3">
        <v>0</v>
      </c>
    </row>
    <row r="331" spans="1:10" x14ac:dyDescent="0.3">
      <c r="A331" t="s">
        <v>147</v>
      </c>
      <c r="B331" t="s">
        <v>233</v>
      </c>
      <c r="C331">
        <v>363</v>
      </c>
      <c r="D331" s="1">
        <v>7.1599999999999997E-2</v>
      </c>
      <c r="E331">
        <v>26</v>
      </c>
      <c r="F331">
        <v>3</v>
      </c>
      <c r="G331" s="2">
        <v>0.11539999999999999</v>
      </c>
      <c r="H331" s="3">
        <v>0.65</v>
      </c>
      <c r="I331" s="3">
        <v>5.59</v>
      </c>
      <c r="J331" s="3">
        <v>16.78</v>
      </c>
    </row>
    <row r="332" spans="1:10" x14ac:dyDescent="0.3">
      <c r="A332" t="s">
        <v>93</v>
      </c>
      <c r="B332" t="s">
        <v>235</v>
      </c>
      <c r="C332">
        <v>28</v>
      </c>
      <c r="D332" s="1">
        <v>7.1399999999999991E-2</v>
      </c>
      <c r="E332">
        <v>2</v>
      </c>
      <c r="F332">
        <v>0</v>
      </c>
      <c r="G332" s="2">
        <v>0</v>
      </c>
      <c r="H332" s="3">
        <v>0</v>
      </c>
      <c r="I332" s="3" t="s">
        <v>213</v>
      </c>
      <c r="J332" s="3">
        <v>0</v>
      </c>
    </row>
    <row r="333" spans="1:10" x14ac:dyDescent="0.3">
      <c r="A333" t="s">
        <v>93</v>
      </c>
      <c r="B333" t="s">
        <v>354</v>
      </c>
      <c r="C333">
        <v>6</v>
      </c>
      <c r="D333" s="1">
        <v>0.16670000000000001</v>
      </c>
      <c r="E333">
        <v>1</v>
      </c>
      <c r="F333">
        <v>0</v>
      </c>
      <c r="G333" s="2">
        <v>0</v>
      </c>
      <c r="H333" s="3">
        <v>0</v>
      </c>
      <c r="I333" s="3" t="s">
        <v>213</v>
      </c>
      <c r="J333" s="3">
        <v>0</v>
      </c>
    </row>
    <row r="334" spans="1:10" x14ac:dyDescent="0.3">
      <c r="A334" t="s">
        <v>82</v>
      </c>
      <c r="B334" t="s">
        <v>244</v>
      </c>
      <c r="C334">
        <v>414</v>
      </c>
      <c r="D334" s="1">
        <v>0.13289999999999999</v>
      </c>
      <c r="E334">
        <v>55</v>
      </c>
      <c r="F334">
        <v>3</v>
      </c>
      <c r="G334" s="2">
        <v>5.45E-2</v>
      </c>
      <c r="H334" s="3">
        <v>0.36</v>
      </c>
      <c r="I334" s="3">
        <v>6.6</v>
      </c>
      <c r="J334" s="3">
        <v>19.8</v>
      </c>
    </row>
    <row r="335" spans="1:10" x14ac:dyDescent="0.3">
      <c r="A335" t="s">
        <v>82</v>
      </c>
      <c r="B335" t="s">
        <v>355</v>
      </c>
      <c r="C335">
        <v>174</v>
      </c>
      <c r="D335" s="1">
        <v>0.13789999999999999</v>
      </c>
      <c r="E335">
        <v>24</v>
      </c>
      <c r="F335">
        <v>3</v>
      </c>
      <c r="G335" s="2">
        <v>0.125</v>
      </c>
      <c r="H335" s="3">
        <v>0.33</v>
      </c>
      <c r="I335" s="3">
        <v>2.66</v>
      </c>
      <c r="J335" s="3">
        <v>7.98</v>
      </c>
    </row>
    <row r="336" spans="1:10" x14ac:dyDescent="0.3">
      <c r="A336" t="s">
        <v>82</v>
      </c>
      <c r="B336" t="s">
        <v>244</v>
      </c>
      <c r="C336">
        <v>443</v>
      </c>
      <c r="D336" s="1">
        <v>0.1016</v>
      </c>
      <c r="E336">
        <v>45</v>
      </c>
      <c r="F336">
        <v>2</v>
      </c>
      <c r="G336" s="2">
        <v>4.4400000000000002E-2</v>
      </c>
      <c r="H336" s="3">
        <v>0.13</v>
      </c>
      <c r="I336" s="3">
        <v>2.95</v>
      </c>
      <c r="J336" s="3">
        <v>5.9</v>
      </c>
    </row>
    <row r="337" spans="1:10" x14ac:dyDescent="0.3">
      <c r="A337" t="s">
        <v>82</v>
      </c>
      <c r="B337" t="s">
        <v>355</v>
      </c>
      <c r="C337">
        <v>42</v>
      </c>
      <c r="D337" s="1">
        <v>4.7599999999999996E-2</v>
      </c>
      <c r="E337">
        <v>2</v>
      </c>
      <c r="F337">
        <v>0</v>
      </c>
      <c r="G337" s="2">
        <v>0</v>
      </c>
      <c r="H337" s="3">
        <v>0</v>
      </c>
      <c r="I337" s="3" t="s">
        <v>213</v>
      </c>
      <c r="J337" s="3">
        <v>0</v>
      </c>
    </row>
    <row r="338" spans="1:10" x14ac:dyDescent="0.3">
      <c r="A338" t="s">
        <v>148</v>
      </c>
      <c r="B338" t="s">
        <v>273</v>
      </c>
      <c r="C338">
        <v>131</v>
      </c>
      <c r="D338" s="1">
        <v>4.58E-2</v>
      </c>
      <c r="E338">
        <v>6</v>
      </c>
      <c r="F338">
        <v>0</v>
      </c>
      <c r="G338" s="2">
        <v>0</v>
      </c>
      <c r="H338" s="3">
        <v>0</v>
      </c>
      <c r="I338" s="3" t="s">
        <v>213</v>
      </c>
      <c r="J338" s="3">
        <v>0</v>
      </c>
    </row>
    <row r="339" spans="1:10" x14ac:dyDescent="0.3">
      <c r="A339" t="s">
        <v>149</v>
      </c>
      <c r="B339" t="s">
        <v>356</v>
      </c>
      <c r="C339">
        <v>37</v>
      </c>
      <c r="D339" s="1">
        <v>0</v>
      </c>
      <c r="E339">
        <v>0</v>
      </c>
      <c r="F339">
        <v>0</v>
      </c>
      <c r="G339" s="2">
        <v>0</v>
      </c>
      <c r="H339" s="3" t="s">
        <v>213</v>
      </c>
      <c r="I339" s="3" t="s">
        <v>213</v>
      </c>
      <c r="J339" s="3">
        <v>0</v>
      </c>
    </row>
    <row r="340" spans="1:10" x14ac:dyDescent="0.3">
      <c r="A340" t="s">
        <v>94</v>
      </c>
      <c r="B340" t="s">
        <v>233</v>
      </c>
      <c r="C340">
        <v>335</v>
      </c>
      <c r="D340" s="1">
        <v>6.5700000000000008E-2</v>
      </c>
      <c r="E340">
        <v>22</v>
      </c>
      <c r="F340">
        <v>0</v>
      </c>
      <c r="G340" s="2">
        <v>0</v>
      </c>
      <c r="H340" s="3">
        <v>0</v>
      </c>
      <c r="I340" s="3" t="s">
        <v>213</v>
      </c>
      <c r="J340" s="3">
        <v>0</v>
      </c>
    </row>
    <row r="341" spans="1:10" x14ac:dyDescent="0.3">
      <c r="A341" t="s">
        <v>94</v>
      </c>
      <c r="B341" t="s">
        <v>233</v>
      </c>
      <c r="C341">
        <v>258</v>
      </c>
      <c r="D341" s="1">
        <v>5.8099999999999999E-2</v>
      </c>
      <c r="E341">
        <v>15</v>
      </c>
      <c r="F341">
        <v>2</v>
      </c>
      <c r="G341" s="2">
        <v>0.1333</v>
      </c>
      <c r="H341" s="3">
        <v>0.46</v>
      </c>
      <c r="I341" s="3">
        <v>3.46</v>
      </c>
      <c r="J341" s="3">
        <v>6.92</v>
      </c>
    </row>
    <row r="342" spans="1:10" x14ac:dyDescent="0.3">
      <c r="A342" t="s">
        <v>21</v>
      </c>
      <c r="B342" t="s">
        <v>269</v>
      </c>
      <c r="C342">
        <v>1180</v>
      </c>
      <c r="D342" s="1">
        <v>8.8100000000000012E-2</v>
      </c>
      <c r="E342">
        <v>104</v>
      </c>
      <c r="F342">
        <v>5</v>
      </c>
      <c r="G342" s="2">
        <v>4.8099999999999997E-2</v>
      </c>
      <c r="H342" s="3">
        <v>0.28000000000000003</v>
      </c>
      <c r="I342" s="3">
        <v>5.75</v>
      </c>
      <c r="J342" s="3">
        <v>28.74</v>
      </c>
    </row>
    <row r="343" spans="1:10" x14ac:dyDescent="0.3">
      <c r="A343" t="s">
        <v>21</v>
      </c>
      <c r="B343" t="s">
        <v>264</v>
      </c>
      <c r="C343">
        <v>150</v>
      </c>
      <c r="D343" s="1">
        <v>0.1</v>
      </c>
      <c r="E343">
        <v>15</v>
      </c>
      <c r="F343">
        <v>2</v>
      </c>
      <c r="G343" s="2">
        <v>0.1333</v>
      </c>
      <c r="H343" s="3">
        <v>1.3</v>
      </c>
      <c r="I343" s="3">
        <v>9.74</v>
      </c>
      <c r="J343" s="3">
        <v>19.47</v>
      </c>
    </row>
    <row r="344" spans="1:10" x14ac:dyDescent="0.3">
      <c r="A344" t="s">
        <v>21</v>
      </c>
      <c r="B344" t="s">
        <v>235</v>
      </c>
      <c r="C344">
        <v>95</v>
      </c>
      <c r="D344" s="1">
        <v>0.10529999999999999</v>
      </c>
      <c r="E344">
        <v>10</v>
      </c>
      <c r="F344">
        <v>2</v>
      </c>
      <c r="G344" s="2">
        <v>0.2</v>
      </c>
      <c r="H344" s="3">
        <v>1.54</v>
      </c>
      <c r="I344" s="3">
        <v>7.69</v>
      </c>
      <c r="J344" s="3">
        <v>15.38</v>
      </c>
    </row>
    <row r="345" spans="1:10" x14ac:dyDescent="0.3">
      <c r="A345" t="s">
        <v>21</v>
      </c>
      <c r="B345" t="s">
        <v>315</v>
      </c>
      <c r="C345">
        <v>124</v>
      </c>
      <c r="D345" s="1">
        <v>0.121</v>
      </c>
      <c r="E345">
        <v>15</v>
      </c>
      <c r="F345">
        <v>1</v>
      </c>
      <c r="G345" s="2">
        <v>6.6699999999999995E-2</v>
      </c>
      <c r="H345" s="3">
        <v>0.64</v>
      </c>
      <c r="I345" s="3">
        <v>9.5500000000000007</v>
      </c>
      <c r="J345" s="3">
        <v>9.5500000000000007</v>
      </c>
    </row>
    <row r="346" spans="1:10" x14ac:dyDescent="0.3">
      <c r="A346" t="s">
        <v>21</v>
      </c>
      <c r="B346" t="s">
        <v>319</v>
      </c>
      <c r="C346">
        <v>19</v>
      </c>
      <c r="D346" s="1">
        <v>5.2600000000000001E-2</v>
      </c>
      <c r="E346">
        <v>1</v>
      </c>
      <c r="F346">
        <v>1</v>
      </c>
      <c r="G346" s="2">
        <v>1</v>
      </c>
      <c r="H346" s="3">
        <v>9.5500000000000007</v>
      </c>
      <c r="I346" s="3">
        <v>9.5500000000000007</v>
      </c>
      <c r="J346" s="3">
        <v>9.5500000000000007</v>
      </c>
    </row>
    <row r="347" spans="1:10" x14ac:dyDescent="0.3">
      <c r="A347" t="s">
        <v>150</v>
      </c>
      <c r="B347" t="s">
        <v>359</v>
      </c>
      <c r="C347">
        <v>4078</v>
      </c>
      <c r="D347" s="1">
        <v>6.4500000000000002E-2</v>
      </c>
      <c r="E347">
        <v>263</v>
      </c>
      <c r="F347">
        <v>15</v>
      </c>
      <c r="G347" s="2">
        <v>5.7000000000000002E-2</v>
      </c>
      <c r="H347" s="3">
        <v>0.28999999999999998</v>
      </c>
      <c r="I347" s="3">
        <v>5.08</v>
      </c>
      <c r="J347" s="3">
        <v>76.260000000000005</v>
      </c>
    </row>
    <row r="348" spans="1:10" x14ac:dyDescent="0.3">
      <c r="A348" t="s">
        <v>53</v>
      </c>
      <c r="B348" t="s">
        <v>235</v>
      </c>
      <c r="C348">
        <v>664</v>
      </c>
      <c r="D348" s="1">
        <v>0.11449999999999999</v>
      </c>
      <c r="E348">
        <v>76</v>
      </c>
      <c r="F348">
        <v>2</v>
      </c>
      <c r="G348" s="2">
        <v>2.63E-2</v>
      </c>
      <c r="H348" s="3">
        <v>0.05</v>
      </c>
      <c r="I348" s="3">
        <v>1.76</v>
      </c>
      <c r="J348" s="3">
        <v>3.51</v>
      </c>
    </row>
    <row r="349" spans="1:10" x14ac:dyDescent="0.3">
      <c r="A349" t="s">
        <v>95</v>
      </c>
      <c r="B349" t="s">
        <v>268</v>
      </c>
      <c r="C349">
        <v>3373</v>
      </c>
      <c r="D349" s="1">
        <v>9.69E-2</v>
      </c>
      <c r="E349">
        <v>327</v>
      </c>
      <c r="F349">
        <v>28</v>
      </c>
      <c r="G349" s="2">
        <v>8.5600000000000009E-2</v>
      </c>
      <c r="H349" s="3">
        <v>0.28000000000000003</v>
      </c>
      <c r="I349" s="3">
        <v>3.25</v>
      </c>
      <c r="J349" s="3">
        <v>90.9</v>
      </c>
    </row>
    <row r="350" spans="1:10" x14ac:dyDescent="0.3">
      <c r="A350" t="s">
        <v>95</v>
      </c>
      <c r="B350" t="s">
        <v>244</v>
      </c>
      <c r="C350">
        <v>976</v>
      </c>
      <c r="D350" s="1">
        <v>6.0499999999999998E-2</v>
      </c>
      <c r="E350">
        <v>59</v>
      </c>
      <c r="F350">
        <v>7</v>
      </c>
      <c r="G350" s="2">
        <v>0.1186</v>
      </c>
      <c r="H350" s="3">
        <v>0.35</v>
      </c>
      <c r="I350" s="3">
        <v>2.99</v>
      </c>
      <c r="J350" s="3">
        <v>20.93</v>
      </c>
    </row>
    <row r="351" spans="1:10" x14ac:dyDescent="0.3">
      <c r="A351" t="s">
        <v>151</v>
      </c>
      <c r="B351" t="s">
        <v>361</v>
      </c>
      <c r="C351">
        <v>299</v>
      </c>
      <c r="D351" s="1">
        <v>5.0199999999999995E-2</v>
      </c>
      <c r="E351">
        <v>15</v>
      </c>
      <c r="F351">
        <v>0</v>
      </c>
      <c r="G351" s="2">
        <v>0</v>
      </c>
      <c r="H351" s="3">
        <v>0</v>
      </c>
      <c r="I351" s="3" t="s">
        <v>213</v>
      </c>
      <c r="J351" s="3">
        <v>0</v>
      </c>
    </row>
    <row r="352" spans="1:10" x14ac:dyDescent="0.3">
      <c r="A352" t="s">
        <v>10</v>
      </c>
      <c r="B352" t="s">
        <v>221</v>
      </c>
      <c r="C352">
        <v>4602</v>
      </c>
      <c r="D352" s="1">
        <v>0.12210000000000001</v>
      </c>
      <c r="E352">
        <v>562</v>
      </c>
      <c r="F352">
        <v>72</v>
      </c>
      <c r="G352" s="2">
        <v>0.12809999999999999</v>
      </c>
      <c r="H352" s="3">
        <v>0.32</v>
      </c>
      <c r="I352" s="3">
        <v>2.4900000000000002</v>
      </c>
      <c r="J352" s="3">
        <v>179.12</v>
      </c>
    </row>
    <row r="353" spans="1:10" x14ac:dyDescent="0.3">
      <c r="A353" t="s">
        <v>22</v>
      </c>
      <c r="B353" t="s">
        <v>256</v>
      </c>
      <c r="C353">
        <v>140</v>
      </c>
      <c r="D353" s="1">
        <v>6.4299999999999996E-2</v>
      </c>
      <c r="E353">
        <v>9</v>
      </c>
      <c r="F353">
        <v>0</v>
      </c>
      <c r="G353" s="2">
        <v>0</v>
      </c>
      <c r="H353" s="3">
        <v>0</v>
      </c>
      <c r="I353" s="3" t="s">
        <v>213</v>
      </c>
      <c r="J353" s="3">
        <v>0</v>
      </c>
    </row>
    <row r="354" spans="1:10" x14ac:dyDescent="0.3">
      <c r="A354" t="s">
        <v>22</v>
      </c>
      <c r="B354" t="s">
        <v>258</v>
      </c>
      <c r="C354">
        <v>2303</v>
      </c>
      <c r="D354" s="1">
        <v>9.4200000000000006E-2</v>
      </c>
      <c r="E354">
        <v>217</v>
      </c>
      <c r="F354">
        <v>3</v>
      </c>
      <c r="G354" s="2">
        <v>1.38E-2</v>
      </c>
      <c r="H354" s="3">
        <v>0.06</v>
      </c>
      <c r="I354" s="3">
        <v>4.32</v>
      </c>
      <c r="J354" s="3">
        <v>12.96</v>
      </c>
    </row>
    <row r="355" spans="1:10" x14ac:dyDescent="0.3">
      <c r="A355" t="s">
        <v>22</v>
      </c>
      <c r="B355" t="s">
        <v>215</v>
      </c>
      <c r="C355">
        <v>983</v>
      </c>
      <c r="D355" s="1">
        <v>6.0999999999999999E-2</v>
      </c>
      <c r="E355">
        <v>60</v>
      </c>
      <c r="F355">
        <v>8</v>
      </c>
      <c r="G355" s="2">
        <v>0.1333</v>
      </c>
      <c r="H355" s="3">
        <v>1.18</v>
      </c>
      <c r="I355" s="3">
        <v>8.82</v>
      </c>
      <c r="J355" s="3">
        <v>70.59</v>
      </c>
    </row>
    <row r="356" spans="1:10" x14ac:dyDescent="0.3">
      <c r="A356" t="s">
        <v>22</v>
      </c>
      <c r="B356" t="s">
        <v>221</v>
      </c>
      <c r="C356">
        <v>1451</v>
      </c>
      <c r="D356" s="1">
        <v>5.1699999999999996E-2</v>
      </c>
      <c r="E356">
        <v>75</v>
      </c>
      <c r="F356">
        <v>6</v>
      </c>
      <c r="G356" s="2">
        <v>0.08</v>
      </c>
      <c r="H356" s="3">
        <v>1.34</v>
      </c>
      <c r="I356" s="3">
        <v>16.79</v>
      </c>
      <c r="J356" s="3">
        <v>100.76</v>
      </c>
    </row>
    <row r="357" spans="1:10" x14ac:dyDescent="0.3">
      <c r="A357" t="s">
        <v>22</v>
      </c>
      <c r="B357" t="s">
        <v>218</v>
      </c>
      <c r="C357">
        <v>1370</v>
      </c>
      <c r="D357" s="1">
        <v>3.5799999999999998E-2</v>
      </c>
      <c r="E357">
        <v>49</v>
      </c>
      <c r="F357">
        <v>4</v>
      </c>
      <c r="G357" s="2">
        <v>8.1600000000000006E-2</v>
      </c>
      <c r="H357" s="3">
        <v>2.0499999999999998</v>
      </c>
      <c r="I357" s="3">
        <v>25.17</v>
      </c>
      <c r="J357" s="3">
        <v>100.67</v>
      </c>
    </row>
    <row r="358" spans="1:10" x14ac:dyDescent="0.3">
      <c r="A358" t="s">
        <v>22</v>
      </c>
      <c r="B358" t="s">
        <v>221</v>
      </c>
      <c r="C358">
        <v>154</v>
      </c>
      <c r="D358" s="1">
        <v>3.9E-2</v>
      </c>
      <c r="E358">
        <v>6</v>
      </c>
      <c r="F358">
        <v>1</v>
      </c>
      <c r="G358" s="2">
        <v>0.16670000000000001</v>
      </c>
      <c r="H358" s="3">
        <v>1.1599999999999999</v>
      </c>
      <c r="I358" s="3">
        <v>6.94</v>
      </c>
      <c r="J358" s="3">
        <v>6.94</v>
      </c>
    </row>
    <row r="359" spans="1:10" x14ac:dyDescent="0.3">
      <c r="A359" t="s">
        <v>22</v>
      </c>
      <c r="B359" t="s">
        <v>221</v>
      </c>
      <c r="C359">
        <v>60</v>
      </c>
      <c r="D359" s="1">
        <v>6.6699999999999995E-2</v>
      </c>
      <c r="E359">
        <v>4</v>
      </c>
      <c r="F359">
        <v>0</v>
      </c>
      <c r="G359" s="2">
        <v>0</v>
      </c>
      <c r="H359" s="3">
        <v>0</v>
      </c>
      <c r="I359" s="3" t="s">
        <v>213</v>
      </c>
      <c r="J359" s="3">
        <v>0</v>
      </c>
    </row>
    <row r="360" spans="1:10" x14ac:dyDescent="0.3">
      <c r="A360" t="s">
        <v>22</v>
      </c>
      <c r="B360" t="s">
        <v>212</v>
      </c>
      <c r="C360">
        <v>22</v>
      </c>
      <c r="D360" s="1">
        <v>4.5499999999999999E-2</v>
      </c>
      <c r="E360">
        <v>1</v>
      </c>
      <c r="F360">
        <v>0</v>
      </c>
      <c r="G360" s="2">
        <v>0</v>
      </c>
      <c r="H360" s="3">
        <v>0</v>
      </c>
      <c r="I360" s="3" t="s">
        <v>213</v>
      </c>
      <c r="J360" s="3">
        <v>0</v>
      </c>
    </row>
    <row r="361" spans="1:10" x14ac:dyDescent="0.3">
      <c r="A361" t="s">
        <v>22</v>
      </c>
      <c r="B361" t="s">
        <v>252</v>
      </c>
      <c r="C361">
        <v>817</v>
      </c>
      <c r="D361" s="1">
        <v>8.6899999999999991E-2</v>
      </c>
      <c r="E361">
        <v>71</v>
      </c>
      <c r="F361">
        <v>2</v>
      </c>
      <c r="G361" s="2">
        <v>2.8199999999999999E-2</v>
      </c>
      <c r="H361" s="3">
        <v>0.35</v>
      </c>
      <c r="I361" s="3">
        <v>12.3</v>
      </c>
      <c r="J361" s="3">
        <v>24.6</v>
      </c>
    </row>
    <row r="362" spans="1:10" x14ac:dyDescent="0.3">
      <c r="A362" t="s">
        <v>22</v>
      </c>
      <c r="B362" t="s">
        <v>362</v>
      </c>
      <c r="C362">
        <v>476</v>
      </c>
      <c r="D362" s="1">
        <v>0.14499999999999999</v>
      </c>
      <c r="E362">
        <v>69</v>
      </c>
      <c r="F362">
        <v>1</v>
      </c>
      <c r="G362" s="2">
        <v>1.4499999999999999E-2</v>
      </c>
      <c r="H362" s="3">
        <v>0.16</v>
      </c>
      <c r="I362" s="3">
        <v>10.97</v>
      </c>
      <c r="J362" s="3">
        <v>10.97</v>
      </c>
    </row>
    <row r="363" spans="1:10" x14ac:dyDescent="0.3">
      <c r="A363" t="s">
        <v>22</v>
      </c>
      <c r="B363" t="s">
        <v>252</v>
      </c>
      <c r="C363">
        <v>260</v>
      </c>
      <c r="D363" s="1">
        <v>0.1231</v>
      </c>
      <c r="E363">
        <v>32</v>
      </c>
      <c r="F363">
        <v>1</v>
      </c>
      <c r="G363" s="2">
        <v>3.1300000000000001E-2</v>
      </c>
      <c r="H363" s="3">
        <v>0.57999999999999996</v>
      </c>
      <c r="I363" s="3">
        <v>18.48</v>
      </c>
      <c r="J363" s="3">
        <v>18.48</v>
      </c>
    </row>
    <row r="364" spans="1:10" x14ac:dyDescent="0.3">
      <c r="A364" t="s">
        <v>22</v>
      </c>
      <c r="B364" t="s">
        <v>215</v>
      </c>
      <c r="C364">
        <v>564</v>
      </c>
      <c r="D364" s="1">
        <v>3.9E-2</v>
      </c>
      <c r="E364">
        <v>22</v>
      </c>
      <c r="F364">
        <v>2</v>
      </c>
      <c r="G364" s="2">
        <v>9.0899999999999995E-2</v>
      </c>
      <c r="H364" s="3">
        <v>0.66</v>
      </c>
      <c r="I364" s="3">
        <v>7.26</v>
      </c>
      <c r="J364" s="3">
        <v>14.51</v>
      </c>
    </row>
    <row r="365" spans="1:10" x14ac:dyDescent="0.3">
      <c r="A365" t="s">
        <v>22</v>
      </c>
      <c r="B365" t="s">
        <v>364</v>
      </c>
      <c r="C365">
        <v>485</v>
      </c>
      <c r="D365" s="1">
        <v>2.2700000000000001E-2</v>
      </c>
      <c r="E365">
        <v>11</v>
      </c>
      <c r="F365">
        <v>1</v>
      </c>
      <c r="G365" s="2">
        <v>9.0899999999999995E-2</v>
      </c>
      <c r="H365" s="3">
        <v>1.66</v>
      </c>
      <c r="I365" s="3">
        <v>18.260000000000002</v>
      </c>
      <c r="J365" s="3">
        <v>18.260000000000002</v>
      </c>
    </row>
    <row r="366" spans="1:10" x14ac:dyDescent="0.3">
      <c r="A366" t="s">
        <v>22</v>
      </c>
      <c r="B366" t="s">
        <v>215</v>
      </c>
      <c r="C366">
        <v>161</v>
      </c>
      <c r="D366" s="1">
        <v>4.3499999999999997E-2</v>
      </c>
      <c r="E366">
        <v>7</v>
      </c>
      <c r="F366">
        <v>1</v>
      </c>
      <c r="G366" s="2">
        <v>0.1429</v>
      </c>
      <c r="H366" s="3">
        <v>0.73</v>
      </c>
      <c r="I366" s="3">
        <v>5.0999999999999996</v>
      </c>
      <c r="J366" s="3">
        <v>5.0999999999999996</v>
      </c>
    </row>
    <row r="367" spans="1:10" x14ac:dyDescent="0.3">
      <c r="A367" t="s">
        <v>22</v>
      </c>
      <c r="B367" t="s">
        <v>365</v>
      </c>
      <c r="C367">
        <v>99</v>
      </c>
      <c r="D367" s="1">
        <v>3.0299999999999997E-2</v>
      </c>
      <c r="E367">
        <v>3</v>
      </c>
      <c r="F367">
        <v>0</v>
      </c>
      <c r="G367" s="2">
        <v>0</v>
      </c>
      <c r="H367" s="3">
        <v>0</v>
      </c>
      <c r="I367" s="3" t="s">
        <v>213</v>
      </c>
      <c r="J367" s="3">
        <v>0</v>
      </c>
    </row>
    <row r="368" spans="1:10" x14ac:dyDescent="0.3">
      <c r="A368" t="s">
        <v>22</v>
      </c>
      <c r="B368" t="s">
        <v>235</v>
      </c>
      <c r="C368">
        <v>1663</v>
      </c>
      <c r="D368" s="1">
        <v>9.0800000000000006E-2</v>
      </c>
      <c r="E368">
        <v>151</v>
      </c>
      <c r="F368">
        <v>4</v>
      </c>
      <c r="G368" s="2">
        <v>2.6499999999999999E-2</v>
      </c>
      <c r="H368" s="3">
        <v>0.17</v>
      </c>
      <c r="I368" s="3">
        <v>6.29</v>
      </c>
      <c r="J368" s="3">
        <v>25.17</v>
      </c>
    </row>
    <row r="369" spans="1:10" x14ac:dyDescent="0.3">
      <c r="A369" t="s">
        <v>22</v>
      </c>
      <c r="B369" t="s">
        <v>235</v>
      </c>
      <c r="C369">
        <v>1049</v>
      </c>
      <c r="D369" s="1">
        <v>7.4400000000000008E-2</v>
      </c>
      <c r="E369">
        <v>78</v>
      </c>
      <c r="F369">
        <v>0</v>
      </c>
      <c r="G369" s="2">
        <v>0</v>
      </c>
      <c r="H369" s="3">
        <v>0</v>
      </c>
      <c r="I369" s="3" t="s">
        <v>213</v>
      </c>
      <c r="J369" s="3">
        <v>0</v>
      </c>
    </row>
    <row r="370" spans="1:10" x14ac:dyDescent="0.3">
      <c r="A370" t="s">
        <v>22</v>
      </c>
      <c r="B370" t="s">
        <v>232</v>
      </c>
      <c r="C370">
        <v>472</v>
      </c>
      <c r="D370" s="1">
        <v>2.9700000000000001E-2</v>
      </c>
      <c r="E370">
        <v>14</v>
      </c>
      <c r="F370">
        <v>2</v>
      </c>
      <c r="G370" s="2">
        <v>0.1429</v>
      </c>
      <c r="H370" s="3">
        <v>0.92</v>
      </c>
      <c r="I370" s="3">
        <v>6.42</v>
      </c>
      <c r="J370" s="3">
        <v>12.84</v>
      </c>
    </row>
    <row r="371" spans="1:10" x14ac:dyDescent="0.3">
      <c r="A371" t="s">
        <v>22</v>
      </c>
      <c r="B371" t="s">
        <v>272</v>
      </c>
      <c r="C371">
        <v>809</v>
      </c>
      <c r="D371" s="1">
        <v>6.0599999999999994E-2</v>
      </c>
      <c r="E371">
        <v>49</v>
      </c>
      <c r="F371">
        <v>2</v>
      </c>
      <c r="G371" s="2">
        <v>4.0800000000000003E-2</v>
      </c>
      <c r="H371" s="3">
        <v>0.18</v>
      </c>
      <c r="I371" s="3">
        <v>4.53</v>
      </c>
      <c r="J371" s="3">
        <v>9.0500000000000007</v>
      </c>
    </row>
    <row r="372" spans="1:10" x14ac:dyDescent="0.3">
      <c r="A372" t="s">
        <v>9</v>
      </c>
      <c r="B372" t="s">
        <v>215</v>
      </c>
      <c r="C372">
        <v>120</v>
      </c>
      <c r="D372" s="1">
        <v>9.1700000000000004E-2</v>
      </c>
      <c r="E372">
        <v>11</v>
      </c>
      <c r="F372">
        <v>1</v>
      </c>
      <c r="G372" s="2">
        <v>9.0899999999999995E-2</v>
      </c>
      <c r="H372" s="3">
        <v>1.19</v>
      </c>
      <c r="I372" s="3">
        <v>13.07</v>
      </c>
      <c r="J372" s="3">
        <v>13.07</v>
      </c>
    </row>
    <row r="373" spans="1:10" x14ac:dyDescent="0.3">
      <c r="A373" t="s">
        <v>9</v>
      </c>
      <c r="B373" t="s">
        <v>215</v>
      </c>
      <c r="C373">
        <v>69</v>
      </c>
      <c r="D373" s="1">
        <v>0.1449</v>
      </c>
      <c r="E373">
        <v>10</v>
      </c>
      <c r="F373">
        <v>4</v>
      </c>
      <c r="G373" s="2">
        <v>0.4</v>
      </c>
      <c r="H373" s="3">
        <v>1.65</v>
      </c>
      <c r="I373" s="3">
        <v>4.1100000000000003</v>
      </c>
      <c r="J373" s="3">
        <v>16.45</v>
      </c>
    </row>
    <row r="374" spans="1:10" x14ac:dyDescent="0.3">
      <c r="A374" t="s">
        <v>9</v>
      </c>
      <c r="B374" t="s">
        <v>221</v>
      </c>
      <c r="C374">
        <v>145</v>
      </c>
      <c r="D374" s="1">
        <v>0.1724</v>
      </c>
      <c r="E374">
        <v>25</v>
      </c>
      <c r="F374">
        <v>4</v>
      </c>
      <c r="G374" s="2">
        <v>0.16</v>
      </c>
      <c r="H374" s="3">
        <v>1.43</v>
      </c>
      <c r="I374" s="3">
        <v>8.9499999999999993</v>
      </c>
      <c r="J374" s="3">
        <v>35.799999999999997</v>
      </c>
    </row>
    <row r="375" spans="1:10" x14ac:dyDescent="0.3">
      <c r="A375" t="s">
        <v>9</v>
      </c>
      <c r="B375" t="s">
        <v>221</v>
      </c>
      <c r="C375">
        <v>753</v>
      </c>
      <c r="D375" s="1">
        <v>0.1328</v>
      </c>
      <c r="E375">
        <v>100</v>
      </c>
      <c r="F375">
        <v>3</v>
      </c>
      <c r="G375" s="2">
        <v>0.03</v>
      </c>
      <c r="H375" s="3">
        <v>0.11</v>
      </c>
      <c r="I375" s="3">
        <v>3.75</v>
      </c>
      <c r="J375" s="3">
        <v>11.24</v>
      </c>
    </row>
    <row r="376" spans="1:10" x14ac:dyDescent="0.3">
      <c r="A376" t="s">
        <v>9</v>
      </c>
      <c r="B376" t="s">
        <v>223</v>
      </c>
      <c r="C376">
        <v>422</v>
      </c>
      <c r="D376" s="1">
        <v>0.11609999999999999</v>
      </c>
      <c r="E376">
        <v>49</v>
      </c>
      <c r="F376">
        <v>3</v>
      </c>
      <c r="G376" s="2">
        <v>6.1200000000000004E-2</v>
      </c>
      <c r="H376" s="3">
        <v>0.36</v>
      </c>
      <c r="I376" s="3">
        <v>5.89</v>
      </c>
      <c r="J376" s="3">
        <v>17.66</v>
      </c>
    </row>
    <row r="377" spans="1:10" x14ac:dyDescent="0.3">
      <c r="A377" t="s">
        <v>9</v>
      </c>
      <c r="B377" t="s">
        <v>296</v>
      </c>
      <c r="C377">
        <v>25</v>
      </c>
      <c r="D377" s="1">
        <v>0.24</v>
      </c>
      <c r="E377">
        <v>6</v>
      </c>
      <c r="F377">
        <v>1</v>
      </c>
      <c r="G377" s="2">
        <v>0.16670000000000001</v>
      </c>
      <c r="H377" s="3">
        <v>0.28000000000000003</v>
      </c>
      <c r="I377" s="3">
        <v>1.7</v>
      </c>
      <c r="J377" s="3">
        <v>1.7</v>
      </c>
    </row>
    <row r="378" spans="1:10" x14ac:dyDescent="0.3">
      <c r="A378" t="s">
        <v>9</v>
      </c>
      <c r="B378" t="s">
        <v>235</v>
      </c>
      <c r="C378">
        <v>35</v>
      </c>
      <c r="D378" s="1">
        <v>5.7099999999999998E-2</v>
      </c>
      <c r="E378">
        <v>2</v>
      </c>
      <c r="F378">
        <v>0</v>
      </c>
      <c r="G378" s="2">
        <v>0</v>
      </c>
      <c r="H378" s="3">
        <v>0</v>
      </c>
      <c r="I378" s="3" t="s">
        <v>213</v>
      </c>
      <c r="J378" s="3">
        <v>0</v>
      </c>
    </row>
    <row r="379" spans="1:10" x14ac:dyDescent="0.3">
      <c r="A379" t="s">
        <v>9</v>
      </c>
      <c r="B379" t="s">
        <v>297</v>
      </c>
      <c r="C379">
        <v>33</v>
      </c>
      <c r="D379" s="1">
        <v>6.0599999999999994E-2</v>
      </c>
      <c r="E379">
        <v>2</v>
      </c>
      <c r="F379">
        <v>0</v>
      </c>
      <c r="G379" s="2">
        <v>0</v>
      </c>
      <c r="H379" s="3">
        <v>0</v>
      </c>
      <c r="I379" s="3" t="s">
        <v>213</v>
      </c>
      <c r="J379" s="3">
        <v>0</v>
      </c>
    </row>
    <row r="380" spans="1:10" x14ac:dyDescent="0.3">
      <c r="A380" t="s">
        <v>9</v>
      </c>
      <c r="B380" t="s">
        <v>223</v>
      </c>
      <c r="C380">
        <v>7</v>
      </c>
      <c r="D380" s="1">
        <v>0</v>
      </c>
      <c r="E380">
        <v>0</v>
      </c>
      <c r="F380">
        <v>0</v>
      </c>
      <c r="G380" s="2">
        <v>0</v>
      </c>
      <c r="H380" s="3" t="s">
        <v>213</v>
      </c>
      <c r="I380" s="3" t="s">
        <v>213</v>
      </c>
      <c r="J380" s="3">
        <v>0</v>
      </c>
    </row>
    <row r="381" spans="1:10" x14ac:dyDescent="0.3">
      <c r="A381" t="s">
        <v>9</v>
      </c>
      <c r="B381" t="s">
        <v>215</v>
      </c>
      <c r="C381">
        <v>665</v>
      </c>
      <c r="D381" s="1">
        <v>5.7099999999999998E-2</v>
      </c>
      <c r="E381">
        <v>38</v>
      </c>
      <c r="F381">
        <v>2</v>
      </c>
      <c r="G381" s="2">
        <v>5.2600000000000001E-2</v>
      </c>
      <c r="H381" s="3">
        <v>1.02</v>
      </c>
      <c r="I381" s="3">
        <v>19.29</v>
      </c>
      <c r="J381" s="3">
        <v>38.58</v>
      </c>
    </row>
    <row r="382" spans="1:10" x14ac:dyDescent="0.3">
      <c r="A382" t="s">
        <v>9</v>
      </c>
      <c r="B382" t="s">
        <v>223</v>
      </c>
      <c r="C382">
        <v>470</v>
      </c>
      <c r="D382" s="1">
        <v>3.6200000000000003E-2</v>
      </c>
      <c r="E382">
        <v>17</v>
      </c>
      <c r="F382">
        <v>2</v>
      </c>
      <c r="G382" s="2">
        <v>0.1176</v>
      </c>
      <c r="H382" s="3">
        <v>2.85</v>
      </c>
      <c r="I382" s="3">
        <v>24.22</v>
      </c>
      <c r="J382" s="3">
        <v>48.43</v>
      </c>
    </row>
    <row r="383" spans="1:10" x14ac:dyDescent="0.3">
      <c r="A383" t="s">
        <v>9</v>
      </c>
      <c r="B383" t="s">
        <v>223</v>
      </c>
      <c r="C383">
        <v>90</v>
      </c>
      <c r="D383" s="1">
        <v>3.3300000000000003E-2</v>
      </c>
      <c r="E383">
        <v>3</v>
      </c>
      <c r="F383">
        <v>2</v>
      </c>
      <c r="G383" s="2">
        <v>0.66670000000000007</v>
      </c>
      <c r="H383" s="3">
        <v>13.64</v>
      </c>
      <c r="I383" s="3">
        <v>20.46</v>
      </c>
      <c r="J383" s="3">
        <v>40.92</v>
      </c>
    </row>
    <row r="384" spans="1:10" x14ac:dyDescent="0.3">
      <c r="A384" t="s">
        <v>9</v>
      </c>
      <c r="B384" t="s">
        <v>215</v>
      </c>
      <c r="C384">
        <v>49</v>
      </c>
      <c r="D384" s="1">
        <v>8.1600000000000006E-2</v>
      </c>
      <c r="E384">
        <v>4</v>
      </c>
      <c r="F384">
        <v>0</v>
      </c>
      <c r="G384" s="2">
        <v>0</v>
      </c>
      <c r="H384" s="3">
        <v>0</v>
      </c>
      <c r="I384" s="3" t="s">
        <v>213</v>
      </c>
      <c r="J384" s="3">
        <v>0</v>
      </c>
    </row>
    <row r="385" spans="1:10" x14ac:dyDescent="0.3">
      <c r="A385" t="s">
        <v>9</v>
      </c>
      <c r="B385" t="s">
        <v>215</v>
      </c>
      <c r="C385">
        <v>13</v>
      </c>
      <c r="D385" s="1">
        <v>7.690000000000001E-2</v>
      </c>
      <c r="E385">
        <v>1</v>
      </c>
      <c r="F385">
        <v>0</v>
      </c>
      <c r="G385" s="2">
        <v>0</v>
      </c>
      <c r="H385" s="3">
        <v>0</v>
      </c>
      <c r="I385" s="3" t="s">
        <v>213</v>
      </c>
      <c r="J385" s="3">
        <v>0</v>
      </c>
    </row>
    <row r="386" spans="1:10" x14ac:dyDescent="0.3">
      <c r="A386" t="s">
        <v>9</v>
      </c>
      <c r="B386" t="s">
        <v>223</v>
      </c>
      <c r="C386">
        <v>30</v>
      </c>
      <c r="D386" s="1">
        <v>0.2</v>
      </c>
      <c r="E386">
        <v>6</v>
      </c>
      <c r="F386">
        <v>0</v>
      </c>
      <c r="G386" s="2">
        <v>0</v>
      </c>
      <c r="H386" s="3">
        <v>2.91</v>
      </c>
      <c r="I386" s="3">
        <v>4.37</v>
      </c>
      <c r="J386" s="3">
        <v>17.48</v>
      </c>
    </row>
    <row r="387" spans="1:10" x14ac:dyDescent="0.3">
      <c r="A387" t="s">
        <v>9</v>
      </c>
      <c r="B387" t="s">
        <v>212</v>
      </c>
      <c r="C387">
        <v>28</v>
      </c>
      <c r="D387" s="1">
        <v>0.10710000000000001</v>
      </c>
      <c r="E387">
        <v>3</v>
      </c>
      <c r="F387">
        <v>0</v>
      </c>
      <c r="G387" s="2">
        <v>0</v>
      </c>
      <c r="H387" s="3">
        <v>0</v>
      </c>
      <c r="I387" s="3">
        <v>0</v>
      </c>
      <c r="J387" s="3">
        <v>0</v>
      </c>
    </row>
    <row r="388" spans="1:10" x14ac:dyDescent="0.3">
      <c r="A388" t="s">
        <v>9</v>
      </c>
      <c r="B388" t="s">
        <v>215</v>
      </c>
      <c r="C388">
        <v>1461</v>
      </c>
      <c r="D388" s="1">
        <v>8.4199999999999997E-2</v>
      </c>
      <c r="E388">
        <v>123</v>
      </c>
      <c r="F388">
        <v>14</v>
      </c>
      <c r="G388" s="2">
        <v>0.11380000000000001</v>
      </c>
      <c r="H388" s="3">
        <v>1.72</v>
      </c>
      <c r="I388" s="3">
        <v>15.12</v>
      </c>
      <c r="J388" s="3">
        <v>211.65</v>
      </c>
    </row>
    <row r="389" spans="1:10" x14ac:dyDescent="0.3">
      <c r="A389" t="s">
        <v>9</v>
      </c>
      <c r="B389" t="s">
        <v>212</v>
      </c>
      <c r="C389">
        <v>1395</v>
      </c>
      <c r="D389" s="1">
        <v>0.1176</v>
      </c>
      <c r="E389">
        <v>164</v>
      </c>
      <c r="F389">
        <v>12</v>
      </c>
      <c r="G389" s="2">
        <v>7.3200000000000001E-2</v>
      </c>
      <c r="H389" s="3">
        <v>0.87</v>
      </c>
      <c r="I389" s="3">
        <v>11.9</v>
      </c>
      <c r="J389" s="3">
        <v>142.80000000000001</v>
      </c>
    </row>
    <row r="390" spans="1:10" x14ac:dyDescent="0.3">
      <c r="A390" t="s">
        <v>9</v>
      </c>
      <c r="B390" t="s">
        <v>300</v>
      </c>
      <c r="C390">
        <v>2045</v>
      </c>
      <c r="D390" s="1">
        <v>9.0500000000000011E-2</v>
      </c>
      <c r="E390">
        <v>185</v>
      </c>
      <c r="F390">
        <v>11</v>
      </c>
      <c r="G390" s="2">
        <v>5.9500000000000004E-2</v>
      </c>
      <c r="H390" s="3">
        <v>0.27</v>
      </c>
      <c r="I390" s="3">
        <v>4.62</v>
      </c>
      <c r="J390" s="3">
        <v>50.86</v>
      </c>
    </row>
    <row r="391" spans="1:10" x14ac:dyDescent="0.3">
      <c r="A391" t="s">
        <v>9</v>
      </c>
      <c r="B391" t="s">
        <v>223</v>
      </c>
      <c r="C391">
        <v>1034</v>
      </c>
      <c r="D391" s="1">
        <v>0.10640000000000001</v>
      </c>
      <c r="E391">
        <v>110</v>
      </c>
      <c r="F391">
        <v>7</v>
      </c>
      <c r="G391" s="2">
        <v>6.3600000000000004E-2</v>
      </c>
      <c r="H391" s="3">
        <v>1.1100000000000001</v>
      </c>
      <c r="I391" s="3">
        <v>17.45</v>
      </c>
      <c r="J391" s="3">
        <v>122.14</v>
      </c>
    </row>
    <row r="392" spans="1:10" x14ac:dyDescent="0.3">
      <c r="A392" t="s">
        <v>9</v>
      </c>
      <c r="B392" t="s">
        <v>212</v>
      </c>
      <c r="C392">
        <v>247</v>
      </c>
      <c r="D392" s="1">
        <v>8.5000000000000006E-2</v>
      </c>
      <c r="E392">
        <v>21</v>
      </c>
      <c r="F392">
        <v>3</v>
      </c>
      <c r="G392" s="2">
        <v>0.1429</v>
      </c>
      <c r="H392" s="3">
        <v>0.33</v>
      </c>
      <c r="I392" s="3">
        <v>2.2999999999999998</v>
      </c>
      <c r="J392" s="3">
        <v>6.91</v>
      </c>
    </row>
    <row r="393" spans="1:10" x14ac:dyDescent="0.3">
      <c r="A393" t="s">
        <v>9</v>
      </c>
      <c r="B393" t="s">
        <v>223</v>
      </c>
      <c r="C393">
        <v>227</v>
      </c>
      <c r="D393" s="1">
        <v>6.6100000000000006E-2</v>
      </c>
      <c r="E393">
        <v>15</v>
      </c>
      <c r="F393">
        <v>0</v>
      </c>
      <c r="G393" s="2">
        <v>0</v>
      </c>
      <c r="H393" s="3">
        <v>0</v>
      </c>
      <c r="I393" s="3" t="s">
        <v>213</v>
      </c>
      <c r="J393" s="3">
        <v>0</v>
      </c>
    </row>
    <row r="394" spans="1:10" x14ac:dyDescent="0.3">
      <c r="A394" t="s">
        <v>9</v>
      </c>
      <c r="B394" t="s">
        <v>212</v>
      </c>
      <c r="C394">
        <v>70</v>
      </c>
      <c r="D394" s="1">
        <v>0.12859999999999999</v>
      </c>
      <c r="E394">
        <v>9</v>
      </c>
      <c r="F394">
        <v>0</v>
      </c>
      <c r="G394" s="2">
        <v>0</v>
      </c>
      <c r="H394" s="3">
        <v>0</v>
      </c>
      <c r="I394" s="3" t="s">
        <v>213</v>
      </c>
      <c r="J394" s="3">
        <v>0</v>
      </c>
    </row>
    <row r="395" spans="1:10" x14ac:dyDescent="0.3">
      <c r="A395" t="s">
        <v>9</v>
      </c>
      <c r="B395" t="s">
        <v>215</v>
      </c>
      <c r="C395">
        <v>115</v>
      </c>
      <c r="D395" s="1">
        <v>6.0899999999999996E-2</v>
      </c>
      <c r="E395">
        <v>7</v>
      </c>
      <c r="F395">
        <v>0</v>
      </c>
      <c r="G395" s="2">
        <v>0</v>
      </c>
      <c r="H395" s="3">
        <v>0</v>
      </c>
      <c r="I395" s="3" t="s">
        <v>213</v>
      </c>
      <c r="J395" s="3">
        <v>0</v>
      </c>
    </row>
    <row r="396" spans="1:10" x14ac:dyDescent="0.3">
      <c r="A396" t="s">
        <v>9</v>
      </c>
      <c r="B396" t="s">
        <v>223</v>
      </c>
      <c r="C396">
        <v>108</v>
      </c>
      <c r="D396" s="1">
        <v>5.5599999999999997E-2</v>
      </c>
      <c r="E396">
        <v>6</v>
      </c>
      <c r="F396">
        <v>0</v>
      </c>
      <c r="G396" s="2">
        <v>0</v>
      </c>
      <c r="H396" s="3">
        <v>0</v>
      </c>
      <c r="I396" s="3" t="s">
        <v>213</v>
      </c>
      <c r="J396" s="3">
        <v>0</v>
      </c>
    </row>
    <row r="397" spans="1:10" x14ac:dyDescent="0.3">
      <c r="A397" t="s">
        <v>9</v>
      </c>
      <c r="B397" t="s">
        <v>215</v>
      </c>
      <c r="C397">
        <v>28</v>
      </c>
      <c r="D397" s="1">
        <v>0.10710000000000001</v>
      </c>
      <c r="E397">
        <v>3</v>
      </c>
      <c r="F397">
        <v>0</v>
      </c>
      <c r="G397" s="2">
        <v>0</v>
      </c>
      <c r="H397" s="3">
        <v>0</v>
      </c>
      <c r="I397" s="3" t="s">
        <v>213</v>
      </c>
      <c r="J397" s="3">
        <v>0</v>
      </c>
    </row>
    <row r="398" spans="1:10" x14ac:dyDescent="0.3">
      <c r="A398" t="s">
        <v>9</v>
      </c>
      <c r="B398" t="s">
        <v>215</v>
      </c>
      <c r="C398">
        <v>426</v>
      </c>
      <c r="D398" s="1">
        <v>5.8700000000000002E-2</v>
      </c>
      <c r="E398">
        <v>25</v>
      </c>
      <c r="F398">
        <v>2</v>
      </c>
      <c r="G398" s="2">
        <v>0.08</v>
      </c>
      <c r="H398" s="3">
        <v>0.97</v>
      </c>
      <c r="I398" s="3">
        <v>12.13</v>
      </c>
      <c r="J398" s="3">
        <v>24.26</v>
      </c>
    </row>
    <row r="399" spans="1:10" x14ac:dyDescent="0.3">
      <c r="A399" t="s">
        <v>9</v>
      </c>
      <c r="B399" t="s">
        <v>212</v>
      </c>
      <c r="C399">
        <v>81</v>
      </c>
      <c r="D399" s="1">
        <v>9.8800000000000013E-2</v>
      </c>
      <c r="E399">
        <v>8</v>
      </c>
      <c r="F399">
        <v>0</v>
      </c>
      <c r="G399" s="2">
        <v>0</v>
      </c>
      <c r="H399" s="3">
        <v>0</v>
      </c>
      <c r="I399" s="3" t="s">
        <v>213</v>
      </c>
      <c r="J399" s="3">
        <v>0</v>
      </c>
    </row>
    <row r="400" spans="1:10" x14ac:dyDescent="0.3">
      <c r="A400" t="s">
        <v>9</v>
      </c>
      <c r="B400" t="s">
        <v>215</v>
      </c>
      <c r="C400">
        <v>59</v>
      </c>
      <c r="D400" s="1">
        <v>5.0799999999999998E-2</v>
      </c>
      <c r="E400">
        <v>3</v>
      </c>
      <c r="F400">
        <v>0</v>
      </c>
      <c r="G400" s="2">
        <v>0</v>
      </c>
      <c r="H400" s="3">
        <v>0</v>
      </c>
      <c r="I400" s="3" t="s">
        <v>213</v>
      </c>
      <c r="J400" s="3">
        <v>0</v>
      </c>
    </row>
    <row r="401" spans="1:10" x14ac:dyDescent="0.3">
      <c r="A401" t="s">
        <v>9</v>
      </c>
      <c r="B401" t="s">
        <v>215</v>
      </c>
      <c r="C401">
        <v>4</v>
      </c>
      <c r="D401" s="1">
        <v>0.25</v>
      </c>
      <c r="E401">
        <v>1</v>
      </c>
      <c r="F401">
        <v>0</v>
      </c>
      <c r="G401" s="2">
        <v>0</v>
      </c>
      <c r="H401" s="3">
        <v>0</v>
      </c>
      <c r="I401" s="3" t="s">
        <v>213</v>
      </c>
      <c r="J401" s="3">
        <v>0</v>
      </c>
    </row>
    <row r="402" spans="1:10" x14ac:dyDescent="0.3">
      <c r="A402" t="s">
        <v>9</v>
      </c>
      <c r="B402" t="s">
        <v>221</v>
      </c>
      <c r="C402">
        <v>170</v>
      </c>
      <c r="D402" s="1">
        <v>3.5299999999999998E-2</v>
      </c>
      <c r="E402">
        <v>6</v>
      </c>
      <c r="F402">
        <v>1</v>
      </c>
      <c r="G402" s="2">
        <v>0.16670000000000001</v>
      </c>
      <c r="H402" s="3">
        <v>1.0900000000000001</v>
      </c>
      <c r="I402" s="3">
        <v>6.53</v>
      </c>
      <c r="J402" s="3">
        <v>6.53</v>
      </c>
    </row>
    <row r="403" spans="1:10" x14ac:dyDescent="0.3">
      <c r="A403" t="s">
        <v>9</v>
      </c>
      <c r="B403" t="s">
        <v>221</v>
      </c>
      <c r="C403">
        <v>150</v>
      </c>
      <c r="D403" s="1">
        <v>2.6699999999999998E-2</v>
      </c>
      <c r="E403">
        <v>4</v>
      </c>
      <c r="F403">
        <v>1</v>
      </c>
      <c r="G403" s="2">
        <v>0.25</v>
      </c>
      <c r="H403" s="3">
        <v>1.01</v>
      </c>
      <c r="I403" s="3">
        <v>4.03</v>
      </c>
      <c r="J403" s="3">
        <v>4.03</v>
      </c>
    </row>
    <row r="404" spans="1:10" x14ac:dyDescent="0.3">
      <c r="A404" t="s">
        <v>9</v>
      </c>
      <c r="B404" t="s">
        <v>221</v>
      </c>
      <c r="C404">
        <v>324</v>
      </c>
      <c r="D404" s="1">
        <v>4.0099999999999997E-2</v>
      </c>
      <c r="E404">
        <v>13</v>
      </c>
      <c r="F404">
        <v>0</v>
      </c>
      <c r="G404" s="2">
        <v>0</v>
      </c>
      <c r="H404" s="3">
        <v>0</v>
      </c>
      <c r="I404" s="3" t="s">
        <v>213</v>
      </c>
      <c r="J404" s="3">
        <v>0</v>
      </c>
    </row>
    <row r="405" spans="1:10" x14ac:dyDescent="0.3">
      <c r="A405" t="s">
        <v>9</v>
      </c>
      <c r="B405" t="s">
        <v>215</v>
      </c>
      <c r="C405">
        <v>167</v>
      </c>
      <c r="D405" s="1">
        <v>5.9900000000000002E-2</v>
      </c>
      <c r="E405">
        <v>10</v>
      </c>
      <c r="F405">
        <v>0</v>
      </c>
      <c r="G405" s="2">
        <v>0</v>
      </c>
      <c r="H405" s="3">
        <v>0</v>
      </c>
      <c r="I405" s="3" t="s">
        <v>213</v>
      </c>
      <c r="J405" s="3">
        <v>0</v>
      </c>
    </row>
    <row r="406" spans="1:10" x14ac:dyDescent="0.3">
      <c r="A406" t="s">
        <v>9</v>
      </c>
      <c r="B406" t="s">
        <v>221</v>
      </c>
      <c r="C406">
        <v>111</v>
      </c>
      <c r="D406" s="1">
        <v>4.4999999999999998E-2</v>
      </c>
      <c r="E406">
        <v>5</v>
      </c>
      <c r="F406">
        <v>0</v>
      </c>
      <c r="G406" s="2">
        <v>0</v>
      </c>
      <c r="H406" s="3">
        <v>0</v>
      </c>
      <c r="I406" s="3" t="s">
        <v>213</v>
      </c>
      <c r="J406" s="3">
        <v>0</v>
      </c>
    </row>
    <row r="407" spans="1:10" x14ac:dyDescent="0.3">
      <c r="A407" t="s">
        <v>9</v>
      </c>
      <c r="B407" t="s">
        <v>221</v>
      </c>
      <c r="C407">
        <v>65</v>
      </c>
      <c r="D407" s="1">
        <v>3.0800000000000001E-2</v>
      </c>
      <c r="E407">
        <v>2</v>
      </c>
      <c r="F407">
        <v>0</v>
      </c>
      <c r="G407" s="2">
        <v>0</v>
      </c>
      <c r="H407" s="3">
        <v>0</v>
      </c>
      <c r="I407" s="3" t="s">
        <v>213</v>
      </c>
      <c r="J407" s="3">
        <v>0</v>
      </c>
    </row>
    <row r="408" spans="1:10" x14ac:dyDescent="0.3">
      <c r="A408" t="s">
        <v>9</v>
      </c>
      <c r="B408" t="s">
        <v>221</v>
      </c>
      <c r="C408">
        <v>36</v>
      </c>
      <c r="D408" s="1">
        <v>5.5599999999999997E-2</v>
      </c>
      <c r="E408">
        <v>2</v>
      </c>
      <c r="F408">
        <v>0</v>
      </c>
      <c r="G408" s="2">
        <v>0</v>
      </c>
      <c r="H408" s="3">
        <v>0</v>
      </c>
      <c r="I408" s="3" t="s">
        <v>213</v>
      </c>
      <c r="J408" s="3">
        <v>0</v>
      </c>
    </row>
    <row r="409" spans="1:10" x14ac:dyDescent="0.3">
      <c r="A409" t="s">
        <v>9</v>
      </c>
      <c r="B409" t="s">
        <v>221</v>
      </c>
      <c r="C409">
        <v>22</v>
      </c>
      <c r="D409" s="1">
        <v>4.5499999999999999E-2</v>
      </c>
      <c r="E409">
        <v>1</v>
      </c>
      <c r="F409">
        <v>0</v>
      </c>
      <c r="G409" s="2">
        <v>0</v>
      </c>
      <c r="H409" s="3">
        <v>0</v>
      </c>
      <c r="I409" s="3" t="s">
        <v>213</v>
      </c>
      <c r="J409" s="3">
        <v>0</v>
      </c>
    </row>
    <row r="410" spans="1:10" x14ac:dyDescent="0.3">
      <c r="A410" t="s">
        <v>9</v>
      </c>
      <c r="B410" t="s">
        <v>215</v>
      </c>
      <c r="C410">
        <v>74</v>
      </c>
      <c r="D410" s="1">
        <v>6.7599999999999993E-2</v>
      </c>
      <c r="E410">
        <v>5</v>
      </c>
      <c r="F410">
        <v>0</v>
      </c>
      <c r="G410" s="2">
        <v>0</v>
      </c>
      <c r="H410" s="3">
        <v>0</v>
      </c>
      <c r="I410" s="3" t="s">
        <v>213</v>
      </c>
      <c r="J410" s="3">
        <v>0</v>
      </c>
    </row>
    <row r="411" spans="1:10" x14ac:dyDescent="0.3">
      <c r="A411" t="s">
        <v>9</v>
      </c>
      <c r="B411" t="s">
        <v>221</v>
      </c>
      <c r="C411">
        <v>108</v>
      </c>
      <c r="D411" s="1">
        <v>2.7799999999999998E-2</v>
      </c>
      <c r="E411">
        <v>3</v>
      </c>
      <c r="F411">
        <v>0</v>
      </c>
      <c r="G411" s="2">
        <v>0</v>
      </c>
      <c r="H411" s="3">
        <v>0</v>
      </c>
      <c r="I411" s="3" t="s">
        <v>213</v>
      </c>
      <c r="J411" s="3">
        <v>0</v>
      </c>
    </row>
    <row r="412" spans="1:10" x14ac:dyDescent="0.3">
      <c r="A412" t="s">
        <v>9</v>
      </c>
      <c r="B412" t="s">
        <v>221</v>
      </c>
      <c r="C412">
        <v>39</v>
      </c>
      <c r="D412" s="1">
        <v>7.690000000000001E-2</v>
      </c>
      <c r="E412">
        <v>3</v>
      </c>
      <c r="F412">
        <v>0</v>
      </c>
      <c r="G412" s="2">
        <v>0</v>
      </c>
      <c r="H412" s="3">
        <v>0</v>
      </c>
      <c r="I412" s="3" t="s">
        <v>213</v>
      </c>
      <c r="J412" s="3">
        <v>0</v>
      </c>
    </row>
    <row r="413" spans="1:10" x14ac:dyDescent="0.3">
      <c r="A413" t="s">
        <v>9</v>
      </c>
      <c r="B413" t="s">
        <v>221</v>
      </c>
      <c r="C413">
        <v>64</v>
      </c>
      <c r="D413" s="1">
        <v>4.6900000000000004E-2</v>
      </c>
      <c r="E413">
        <v>3</v>
      </c>
      <c r="F413">
        <v>0</v>
      </c>
      <c r="G413" s="2">
        <v>0</v>
      </c>
      <c r="H413" s="3">
        <v>0</v>
      </c>
      <c r="I413" s="3" t="s">
        <v>213</v>
      </c>
      <c r="J413" s="3">
        <v>0</v>
      </c>
    </row>
    <row r="414" spans="1:10" x14ac:dyDescent="0.3">
      <c r="A414" t="s">
        <v>9</v>
      </c>
      <c r="B414" t="s">
        <v>221</v>
      </c>
      <c r="C414">
        <v>27</v>
      </c>
      <c r="D414" s="1">
        <v>3.7000000000000005E-2</v>
      </c>
      <c r="E414">
        <v>1</v>
      </c>
      <c r="F414">
        <v>0</v>
      </c>
      <c r="G414" s="2">
        <v>0</v>
      </c>
      <c r="H414" s="3">
        <v>0</v>
      </c>
      <c r="I414" s="3" t="s">
        <v>213</v>
      </c>
      <c r="J414" s="3">
        <v>0</v>
      </c>
    </row>
    <row r="415" spans="1:10" x14ac:dyDescent="0.3">
      <c r="A415" t="s">
        <v>9</v>
      </c>
      <c r="B415" t="s">
        <v>221</v>
      </c>
      <c r="C415">
        <v>47</v>
      </c>
      <c r="D415" s="1">
        <v>0</v>
      </c>
      <c r="E415">
        <v>0</v>
      </c>
      <c r="F415">
        <v>0</v>
      </c>
      <c r="G415" s="2">
        <v>0</v>
      </c>
      <c r="H415" s="3" t="s">
        <v>213</v>
      </c>
      <c r="I415" s="3" t="s">
        <v>213</v>
      </c>
      <c r="J415" s="3">
        <v>0</v>
      </c>
    </row>
    <row r="416" spans="1:10" x14ac:dyDescent="0.3">
      <c r="A416" t="s">
        <v>9</v>
      </c>
      <c r="B416" t="s">
        <v>221</v>
      </c>
      <c r="C416">
        <v>19</v>
      </c>
      <c r="D416" s="1">
        <v>0</v>
      </c>
      <c r="E416">
        <v>0</v>
      </c>
      <c r="F416">
        <v>0</v>
      </c>
      <c r="G416" s="2">
        <v>0</v>
      </c>
      <c r="H416" s="3" t="s">
        <v>213</v>
      </c>
      <c r="I416" s="3" t="s">
        <v>213</v>
      </c>
      <c r="J416" s="3">
        <v>0</v>
      </c>
    </row>
    <row r="417" spans="1:10" x14ac:dyDescent="0.3">
      <c r="A417" t="s">
        <v>9</v>
      </c>
      <c r="B417" t="s">
        <v>221</v>
      </c>
      <c r="C417">
        <v>454</v>
      </c>
      <c r="D417" s="1">
        <v>7.4900000000000008E-2</v>
      </c>
      <c r="E417">
        <v>34</v>
      </c>
      <c r="F417">
        <v>3</v>
      </c>
      <c r="G417" s="2">
        <v>8.8200000000000001E-2</v>
      </c>
      <c r="H417" s="3">
        <v>0.66</v>
      </c>
      <c r="I417" s="3">
        <v>7.43</v>
      </c>
      <c r="J417" s="3">
        <v>22.28</v>
      </c>
    </row>
    <row r="418" spans="1:10" x14ac:dyDescent="0.3">
      <c r="A418" t="s">
        <v>9</v>
      </c>
      <c r="B418" t="s">
        <v>221</v>
      </c>
      <c r="C418">
        <v>241</v>
      </c>
      <c r="D418" s="1">
        <v>5.3899999999999997E-2</v>
      </c>
      <c r="E418">
        <v>13</v>
      </c>
      <c r="F418">
        <v>2</v>
      </c>
      <c r="G418" s="2">
        <v>0.15380000000000002</v>
      </c>
      <c r="H418" s="3">
        <v>0.61</v>
      </c>
      <c r="I418" s="3">
        <v>3.95</v>
      </c>
      <c r="J418" s="3">
        <v>7.9</v>
      </c>
    </row>
    <row r="419" spans="1:10" x14ac:dyDescent="0.3">
      <c r="A419" t="s">
        <v>9</v>
      </c>
      <c r="B419" t="s">
        <v>221</v>
      </c>
      <c r="C419">
        <v>306</v>
      </c>
      <c r="D419" s="1">
        <v>7.1900000000000006E-2</v>
      </c>
      <c r="E419">
        <v>22</v>
      </c>
      <c r="F419">
        <v>1</v>
      </c>
      <c r="G419" s="2">
        <v>4.5499999999999999E-2</v>
      </c>
      <c r="H419" s="3">
        <v>0.51</v>
      </c>
      <c r="I419" s="3">
        <v>11.28</v>
      </c>
      <c r="J419" s="3">
        <v>11.28</v>
      </c>
    </row>
    <row r="420" spans="1:10" x14ac:dyDescent="0.3">
      <c r="A420" t="s">
        <v>9</v>
      </c>
      <c r="B420" t="s">
        <v>221</v>
      </c>
      <c r="C420">
        <v>129</v>
      </c>
      <c r="D420" s="1">
        <v>7.7499999999999999E-2</v>
      </c>
      <c r="E420">
        <v>10</v>
      </c>
      <c r="F420">
        <v>1</v>
      </c>
      <c r="G420" s="2">
        <v>0.1</v>
      </c>
      <c r="H420" s="3">
        <v>1.5</v>
      </c>
      <c r="I420" s="3">
        <v>15.04</v>
      </c>
      <c r="J420" s="3">
        <v>15.04</v>
      </c>
    </row>
    <row r="421" spans="1:10" x14ac:dyDescent="0.3">
      <c r="A421" t="s">
        <v>9</v>
      </c>
      <c r="B421" t="s">
        <v>221</v>
      </c>
      <c r="C421">
        <v>185</v>
      </c>
      <c r="D421" s="1">
        <v>5.4100000000000002E-2</v>
      </c>
      <c r="E421">
        <v>10</v>
      </c>
      <c r="F421">
        <v>1</v>
      </c>
      <c r="G421" s="2">
        <v>0.1</v>
      </c>
      <c r="H421" s="3">
        <v>0.45</v>
      </c>
      <c r="I421" s="3">
        <v>4.4800000000000004</v>
      </c>
      <c r="J421" s="3">
        <v>4.4800000000000004</v>
      </c>
    </row>
    <row r="422" spans="1:10" x14ac:dyDescent="0.3">
      <c r="A422" t="s">
        <v>9</v>
      </c>
      <c r="B422" t="s">
        <v>221</v>
      </c>
      <c r="C422">
        <v>112</v>
      </c>
      <c r="D422" s="1">
        <v>7.1399999999999991E-2</v>
      </c>
      <c r="E422">
        <v>8</v>
      </c>
      <c r="F422">
        <v>1</v>
      </c>
      <c r="G422" s="2">
        <v>0.125</v>
      </c>
      <c r="H422" s="3">
        <v>1.48</v>
      </c>
      <c r="I422" s="3">
        <v>11.81</v>
      </c>
      <c r="J422" s="3">
        <v>11.81</v>
      </c>
    </row>
    <row r="423" spans="1:10" x14ac:dyDescent="0.3">
      <c r="A423" t="s">
        <v>9</v>
      </c>
      <c r="B423" t="s">
        <v>215</v>
      </c>
      <c r="C423">
        <v>169</v>
      </c>
      <c r="D423" s="1">
        <v>4.1399999999999999E-2</v>
      </c>
      <c r="E423">
        <v>7</v>
      </c>
      <c r="F423">
        <v>0</v>
      </c>
      <c r="G423" s="2">
        <v>0</v>
      </c>
      <c r="H423" s="3">
        <v>0</v>
      </c>
      <c r="I423" s="3" t="s">
        <v>213</v>
      </c>
      <c r="J423" s="3">
        <v>0</v>
      </c>
    </row>
    <row r="424" spans="1:10" x14ac:dyDescent="0.3">
      <c r="A424" t="s">
        <v>9</v>
      </c>
      <c r="B424" t="s">
        <v>221</v>
      </c>
      <c r="C424">
        <v>50</v>
      </c>
      <c r="D424" s="1">
        <v>0.12</v>
      </c>
      <c r="E424">
        <v>6</v>
      </c>
      <c r="F424">
        <v>0</v>
      </c>
      <c r="G424" s="2">
        <v>0</v>
      </c>
      <c r="H424" s="3">
        <v>0</v>
      </c>
      <c r="I424" s="3" t="s">
        <v>213</v>
      </c>
      <c r="J424" s="3">
        <v>0</v>
      </c>
    </row>
    <row r="425" spans="1:10" x14ac:dyDescent="0.3">
      <c r="A425" t="s">
        <v>9</v>
      </c>
      <c r="B425" t="s">
        <v>223</v>
      </c>
      <c r="C425">
        <v>1</v>
      </c>
      <c r="D425" s="1">
        <v>0</v>
      </c>
      <c r="E425">
        <v>0</v>
      </c>
      <c r="F425">
        <v>0</v>
      </c>
      <c r="G425" s="2">
        <v>0</v>
      </c>
      <c r="H425" s="3" t="s">
        <v>213</v>
      </c>
      <c r="I425" s="3" t="s">
        <v>213</v>
      </c>
      <c r="J425" s="3">
        <v>0</v>
      </c>
    </row>
    <row r="426" spans="1:10" x14ac:dyDescent="0.3">
      <c r="A426" t="s">
        <v>9</v>
      </c>
      <c r="B426" t="s">
        <v>223</v>
      </c>
      <c r="C426">
        <v>303</v>
      </c>
      <c r="D426" s="1">
        <v>8.2500000000000004E-2</v>
      </c>
      <c r="E426">
        <v>25</v>
      </c>
      <c r="F426">
        <v>1</v>
      </c>
      <c r="G426" s="2">
        <v>0.04</v>
      </c>
      <c r="H426" s="3">
        <v>0.81</v>
      </c>
      <c r="I426" s="3">
        <v>20.13</v>
      </c>
      <c r="J426" s="3">
        <v>20.13</v>
      </c>
    </row>
    <row r="427" spans="1:10" x14ac:dyDescent="0.3">
      <c r="A427" t="s">
        <v>9</v>
      </c>
      <c r="B427" t="s">
        <v>223</v>
      </c>
      <c r="C427">
        <v>68</v>
      </c>
      <c r="D427" s="1">
        <v>4.41E-2</v>
      </c>
      <c r="E427">
        <v>3</v>
      </c>
      <c r="F427">
        <v>0</v>
      </c>
      <c r="G427" s="2">
        <v>0</v>
      </c>
      <c r="H427" s="3">
        <v>0</v>
      </c>
      <c r="I427" s="3" t="s">
        <v>213</v>
      </c>
      <c r="J427" s="3">
        <v>0</v>
      </c>
    </row>
    <row r="428" spans="1:10" x14ac:dyDescent="0.3">
      <c r="A428" t="s">
        <v>9</v>
      </c>
      <c r="B428" t="s">
        <v>212</v>
      </c>
      <c r="C428">
        <v>71</v>
      </c>
      <c r="D428" s="1">
        <v>4.2300000000000004E-2</v>
      </c>
      <c r="E428">
        <v>3</v>
      </c>
      <c r="F428">
        <v>1</v>
      </c>
      <c r="G428" s="2">
        <v>0.33329999999999999</v>
      </c>
      <c r="H428" s="3">
        <v>2.1</v>
      </c>
      <c r="I428" s="3">
        <v>6.29</v>
      </c>
      <c r="J428" s="3">
        <v>6.29</v>
      </c>
    </row>
    <row r="429" spans="1:10" x14ac:dyDescent="0.3">
      <c r="A429" t="s">
        <v>9</v>
      </c>
      <c r="B429" t="s">
        <v>215</v>
      </c>
      <c r="C429">
        <v>88</v>
      </c>
      <c r="D429" s="1">
        <v>4.5499999999999999E-2</v>
      </c>
      <c r="E429">
        <v>4</v>
      </c>
      <c r="F429">
        <v>0</v>
      </c>
      <c r="G429" s="2">
        <v>0</v>
      </c>
      <c r="H429" s="3">
        <v>0</v>
      </c>
      <c r="I429" s="3" t="s">
        <v>213</v>
      </c>
      <c r="J429" s="3">
        <v>0</v>
      </c>
    </row>
    <row r="430" spans="1:10" x14ac:dyDescent="0.3">
      <c r="A430" t="s">
        <v>9</v>
      </c>
      <c r="B430" t="s">
        <v>223</v>
      </c>
      <c r="C430">
        <v>83</v>
      </c>
      <c r="D430" s="1">
        <v>3.61E-2</v>
      </c>
      <c r="E430">
        <v>3</v>
      </c>
      <c r="F430">
        <v>0</v>
      </c>
      <c r="G430" s="2">
        <v>0</v>
      </c>
      <c r="H430" s="3">
        <v>0</v>
      </c>
      <c r="I430" s="3" t="s">
        <v>213</v>
      </c>
      <c r="J430" s="3">
        <v>0</v>
      </c>
    </row>
    <row r="431" spans="1:10" x14ac:dyDescent="0.3">
      <c r="A431" t="s">
        <v>9</v>
      </c>
      <c r="B431" t="s">
        <v>215</v>
      </c>
      <c r="C431">
        <v>104</v>
      </c>
      <c r="D431" s="1">
        <v>2.8799999999999999E-2</v>
      </c>
      <c r="E431">
        <v>3</v>
      </c>
      <c r="F431">
        <v>1</v>
      </c>
      <c r="G431" s="2">
        <v>0.33329999999999999</v>
      </c>
      <c r="H431" s="3">
        <v>2.13</v>
      </c>
      <c r="I431" s="3">
        <v>6.38</v>
      </c>
      <c r="J431" s="3">
        <v>6.38</v>
      </c>
    </row>
    <row r="432" spans="1:10" x14ac:dyDescent="0.3">
      <c r="A432" t="s">
        <v>9</v>
      </c>
      <c r="B432" t="s">
        <v>223</v>
      </c>
      <c r="C432">
        <v>92</v>
      </c>
      <c r="D432" s="1">
        <v>6.5199999999999994E-2</v>
      </c>
      <c r="E432">
        <v>6</v>
      </c>
      <c r="F432">
        <v>0</v>
      </c>
      <c r="G432" s="2">
        <v>0</v>
      </c>
      <c r="H432" s="3">
        <v>0</v>
      </c>
      <c r="I432" s="3" t="s">
        <v>213</v>
      </c>
      <c r="J432" s="3">
        <v>0</v>
      </c>
    </row>
    <row r="433" spans="1:10" x14ac:dyDescent="0.3">
      <c r="A433" t="s">
        <v>9</v>
      </c>
      <c r="B433" t="s">
        <v>212</v>
      </c>
      <c r="C433">
        <v>197</v>
      </c>
      <c r="D433" s="1">
        <v>8.1199999999999994E-2</v>
      </c>
      <c r="E433">
        <v>16</v>
      </c>
      <c r="F433">
        <v>0</v>
      </c>
      <c r="G433" s="2">
        <v>0</v>
      </c>
      <c r="H433" s="3">
        <v>0</v>
      </c>
      <c r="I433" s="3" t="s">
        <v>213</v>
      </c>
      <c r="J433" s="3">
        <v>0</v>
      </c>
    </row>
    <row r="434" spans="1:10" x14ac:dyDescent="0.3">
      <c r="A434" t="s">
        <v>9</v>
      </c>
      <c r="B434" t="s">
        <v>366</v>
      </c>
      <c r="C434">
        <v>26</v>
      </c>
      <c r="D434" s="1">
        <v>0.23079999999999998</v>
      </c>
      <c r="E434">
        <v>6</v>
      </c>
      <c r="F434">
        <v>0</v>
      </c>
      <c r="G434" s="2">
        <v>0</v>
      </c>
      <c r="H434" s="3">
        <v>0</v>
      </c>
      <c r="I434" s="3" t="s">
        <v>213</v>
      </c>
      <c r="J434" s="3">
        <v>0</v>
      </c>
    </row>
    <row r="435" spans="1:10" x14ac:dyDescent="0.3">
      <c r="A435" t="s">
        <v>9</v>
      </c>
      <c r="B435" t="s">
        <v>244</v>
      </c>
      <c r="C435">
        <v>0</v>
      </c>
      <c r="D435" s="1">
        <v>0</v>
      </c>
      <c r="E435">
        <v>0</v>
      </c>
      <c r="F435">
        <v>0</v>
      </c>
      <c r="G435" s="2">
        <v>0</v>
      </c>
      <c r="H435" s="3" t="s">
        <v>213</v>
      </c>
      <c r="I435" s="3" t="s">
        <v>213</v>
      </c>
      <c r="J435" s="3">
        <v>0</v>
      </c>
    </row>
    <row r="436" spans="1:10" x14ac:dyDescent="0.3">
      <c r="A436" t="s">
        <v>9</v>
      </c>
      <c r="B436" t="s">
        <v>215</v>
      </c>
      <c r="C436">
        <v>85</v>
      </c>
      <c r="D436" s="1">
        <v>7.0599999999999996E-2</v>
      </c>
      <c r="E436">
        <v>6</v>
      </c>
      <c r="F436">
        <v>0</v>
      </c>
      <c r="G436" s="2">
        <v>0</v>
      </c>
      <c r="H436" s="3">
        <v>0</v>
      </c>
      <c r="I436" s="3" t="s">
        <v>213</v>
      </c>
      <c r="J436" s="3">
        <v>0</v>
      </c>
    </row>
    <row r="437" spans="1:10" x14ac:dyDescent="0.3">
      <c r="A437" t="s">
        <v>9</v>
      </c>
      <c r="B437" t="s">
        <v>215</v>
      </c>
      <c r="C437">
        <v>77</v>
      </c>
      <c r="D437" s="1">
        <v>5.1900000000000002E-2</v>
      </c>
      <c r="E437">
        <v>4</v>
      </c>
      <c r="F437">
        <v>1</v>
      </c>
      <c r="G437" s="2">
        <v>0.25</v>
      </c>
      <c r="H437" s="3">
        <v>2.89</v>
      </c>
      <c r="I437" s="3">
        <v>11.57</v>
      </c>
      <c r="J437" s="3">
        <v>11.57</v>
      </c>
    </row>
    <row r="438" spans="1:10" x14ac:dyDescent="0.3">
      <c r="A438" t="s">
        <v>9</v>
      </c>
      <c r="B438" t="s">
        <v>235</v>
      </c>
      <c r="C438">
        <v>141</v>
      </c>
      <c r="D438" s="1">
        <v>5.67E-2</v>
      </c>
      <c r="E438">
        <v>8</v>
      </c>
      <c r="F438">
        <v>3</v>
      </c>
      <c r="G438" s="2">
        <v>0.375</v>
      </c>
      <c r="H438" s="3">
        <v>5.83</v>
      </c>
      <c r="I438" s="3">
        <v>15.55</v>
      </c>
      <c r="J438" s="3">
        <v>46.64</v>
      </c>
    </row>
    <row r="439" spans="1:10" x14ac:dyDescent="0.3">
      <c r="A439" t="s">
        <v>9</v>
      </c>
      <c r="B439" t="s">
        <v>235</v>
      </c>
      <c r="C439">
        <v>136</v>
      </c>
      <c r="D439" s="1">
        <v>8.8200000000000001E-2</v>
      </c>
      <c r="E439">
        <v>12</v>
      </c>
      <c r="F439">
        <v>1</v>
      </c>
      <c r="G439" s="2">
        <v>8.3299999999999999E-2</v>
      </c>
      <c r="H439" s="3">
        <v>0.35</v>
      </c>
      <c r="I439" s="3">
        <v>4.21</v>
      </c>
      <c r="J439" s="3">
        <v>4.21</v>
      </c>
    </row>
    <row r="440" spans="1:10" x14ac:dyDescent="0.3">
      <c r="A440" t="s">
        <v>9</v>
      </c>
      <c r="B440" t="s">
        <v>370</v>
      </c>
      <c r="C440">
        <v>134</v>
      </c>
      <c r="D440" s="1">
        <v>8.2100000000000006E-2</v>
      </c>
      <c r="E440">
        <v>11</v>
      </c>
      <c r="F440">
        <v>1</v>
      </c>
      <c r="G440" s="2">
        <v>9.0899999999999995E-2</v>
      </c>
      <c r="H440" s="3">
        <v>0.86</v>
      </c>
      <c r="I440" s="3">
        <v>9.44</v>
      </c>
      <c r="J440" s="3">
        <v>9.44</v>
      </c>
    </row>
    <row r="441" spans="1:10" x14ac:dyDescent="0.3">
      <c r="A441" t="s">
        <v>9</v>
      </c>
      <c r="B441" t="s">
        <v>371</v>
      </c>
      <c r="C441">
        <v>147</v>
      </c>
      <c r="D441" s="1">
        <v>6.1200000000000004E-2</v>
      </c>
      <c r="E441">
        <v>9</v>
      </c>
      <c r="F441">
        <v>1</v>
      </c>
      <c r="G441" s="2">
        <v>0.11109999999999999</v>
      </c>
      <c r="H441" s="3">
        <v>0.86</v>
      </c>
      <c r="I441" s="3">
        <v>7.75</v>
      </c>
      <c r="J441" s="3">
        <v>7.75</v>
      </c>
    </row>
    <row r="442" spans="1:10" x14ac:dyDescent="0.3">
      <c r="A442" t="s">
        <v>9</v>
      </c>
      <c r="B442" t="s">
        <v>316</v>
      </c>
      <c r="C442">
        <v>125</v>
      </c>
      <c r="D442" s="1">
        <v>5.5999999999999994E-2</v>
      </c>
      <c r="E442">
        <v>7</v>
      </c>
      <c r="F442">
        <v>1</v>
      </c>
      <c r="G442" s="2">
        <v>0.1429</v>
      </c>
      <c r="H442" s="3">
        <v>1.5</v>
      </c>
      <c r="I442" s="3">
        <v>10.52</v>
      </c>
      <c r="J442" s="3">
        <v>10.52</v>
      </c>
    </row>
    <row r="443" spans="1:10" x14ac:dyDescent="0.3">
      <c r="A443" t="s">
        <v>9</v>
      </c>
      <c r="B443" t="s">
        <v>313</v>
      </c>
      <c r="C443">
        <v>128</v>
      </c>
      <c r="D443" s="1">
        <v>4.6900000000000004E-2</v>
      </c>
      <c r="E443">
        <v>6</v>
      </c>
      <c r="F443">
        <v>1</v>
      </c>
      <c r="G443" s="2">
        <v>0.16670000000000001</v>
      </c>
      <c r="H443" s="3">
        <v>2.15</v>
      </c>
      <c r="I443" s="3">
        <v>12.91</v>
      </c>
      <c r="J443" s="3">
        <v>12.91</v>
      </c>
    </row>
    <row r="444" spans="1:10" x14ac:dyDescent="0.3">
      <c r="A444" t="s">
        <v>9</v>
      </c>
      <c r="B444" t="s">
        <v>318</v>
      </c>
      <c r="C444">
        <v>136</v>
      </c>
      <c r="D444" s="1">
        <v>3.6799999999999999E-2</v>
      </c>
      <c r="E444">
        <v>5</v>
      </c>
      <c r="F444">
        <v>1</v>
      </c>
      <c r="G444" s="2">
        <v>0.2</v>
      </c>
      <c r="H444" s="3">
        <v>1.73</v>
      </c>
      <c r="I444" s="3">
        <v>8.6300000000000008</v>
      </c>
      <c r="J444" s="3">
        <v>8.6300000000000008</v>
      </c>
    </row>
    <row r="445" spans="1:10" x14ac:dyDescent="0.3">
      <c r="A445" t="s">
        <v>9</v>
      </c>
      <c r="B445" t="s">
        <v>313</v>
      </c>
      <c r="C445">
        <v>48</v>
      </c>
      <c r="D445" s="1">
        <v>6.25E-2</v>
      </c>
      <c r="E445">
        <v>3</v>
      </c>
      <c r="F445">
        <v>1</v>
      </c>
      <c r="G445" s="2">
        <v>0.33329999999999999</v>
      </c>
      <c r="H445" s="3">
        <v>3.38</v>
      </c>
      <c r="I445" s="3">
        <v>10.14</v>
      </c>
      <c r="J445" s="3">
        <v>10.14</v>
      </c>
    </row>
    <row r="446" spans="1:10" x14ac:dyDescent="0.3">
      <c r="A446" t="s">
        <v>9</v>
      </c>
      <c r="B446" t="s">
        <v>256</v>
      </c>
      <c r="C446">
        <v>55</v>
      </c>
      <c r="D446" s="1">
        <v>1.8200000000000001E-2</v>
      </c>
      <c r="E446">
        <v>1</v>
      </c>
      <c r="F446">
        <v>1</v>
      </c>
      <c r="G446" s="2">
        <v>1</v>
      </c>
      <c r="H446" s="3">
        <v>8.35</v>
      </c>
      <c r="I446" s="3">
        <v>8.35</v>
      </c>
      <c r="J446" s="3">
        <v>8.35</v>
      </c>
    </row>
    <row r="447" spans="1:10" x14ac:dyDescent="0.3">
      <c r="A447" t="s">
        <v>9</v>
      </c>
      <c r="B447" t="s">
        <v>315</v>
      </c>
      <c r="C447">
        <v>165</v>
      </c>
      <c r="D447" s="1">
        <v>5.45E-2</v>
      </c>
      <c r="E447">
        <v>9</v>
      </c>
      <c r="F447">
        <v>0</v>
      </c>
      <c r="G447" s="2">
        <v>0</v>
      </c>
      <c r="H447" s="3">
        <v>0</v>
      </c>
      <c r="I447" s="3" t="s">
        <v>213</v>
      </c>
      <c r="J447" s="3">
        <v>0</v>
      </c>
    </row>
    <row r="448" spans="1:10" x14ac:dyDescent="0.3">
      <c r="A448" t="s">
        <v>9</v>
      </c>
      <c r="B448" t="s">
        <v>286</v>
      </c>
      <c r="C448">
        <v>139</v>
      </c>
      <c r="D448" s="1">
        <v>5.7599999999999998E-2</v>
      </c>
      <c r="E448">
        <v>8</v>
      </c>
      <c r="F448">
        <v>0</v>
      </c>
      <c r="G448" s="2">
        <v>0</v>
      </c>
      <c r="H448" s="3">
        <v>0</v>
      </c>
      <c r="I448" s="3" t="s">
        <v>213</v>
      </c>
      <c r="J448" s="3">
        <v>0</v>
      </c>
    </row>
    <row r="449" spans="1:10" x14ac:dyDescent="0.3">
      <c r="A449" t="s">
        <v>9</v>
      </c>
      <c r="B449" t="s">
        <v>229</v>
      </c>
      <c r="C449">
        <v>156</v>
      </c>
      <c r="D449" s="1">
        <v>5.1299999999999998E-2</v>
      </c>
      <c r="E449">
        <v>8</v>
      </c>
      <c r="F449">
        <v>0</v>
      </c>
      <c r="G449" s="2">
        <v>0</v>
      </c>
      <c r="H449" s="3">
        <v>0</v>
      </c>
      <c r="I449" s="3" t="s">
        <v>213</v>
      </c>
      <c r="J449" s="3">
        <v>0</v>
      </c>
    </row>
    <row r="450" spans="1:10" x14ac:dyDescent="0.3">
      <c r="A450" t="s">
        <v>9</v>
      </c>
      <c r="B450" t="s">
        <v>227</v>
      </c>
      <c r="C450">
        <v>182</v>
      </c>
      <c r="D450" s="1">
        <v>4.4000000000000004E-2</v>
      </c>
      <c r="E450">
        <v>8</v>
      </c>
      <c r="F450">
        <v>0</v>
      </c>
      <c r="G450" s="2">
        <v>0</v>
      </c>
      <c r="H450" s="3">
        <v>0</v>
      </c>
      <c r="I450" s="3" t="s">
        <v>213</v>
      </c>
      <c r="J450" s="3">
        <v>0</v>
      </c>
    </row>
    <row r="451" spans="1:10" x14ac:dyDescent="0.3">
      <c r="A451" t="s">
        <v>9</v>
      </c>
      <c r="B451" t="s">
        <v>313</v>
      </c>
      <c r="C451">
        <v>157</v>
      </c>
      <c r="D451" s="1">
        <v>4.4600000000000001E-2</v>
      </c>
      <c r="E451">
        <v>7</v>
      </c>
      <c r="F451">
        <v>0</v>
      </c>
      <c r="G451" s="2">
        <v>0</v>
      </c>
      <c r="H451" s="3">
        <v>0</v>
      </c>
      <c r="I451" s="3" t="s">
        <v>213</v>
      </c>
      <c r="J451" s="3">
        <v>0</v>
      </c>
    </row>
    <row r="452" spans="1:10" x14ac:dyDescent="0.3">
      <c r="A452" t="s">
        <v>9</v>
      </c>
      <c r="B452" t="s">
        <v>239</v>
      </c>
      <c r="C452">
        <v>93</v>
      </c>
      <c r="D452" s="1">
        <v>6.4500000000000002E-2</v>
      </c>
      <c r="E452">
        <v>6</v>
      </c>
      <c r="F452">
        <v>0</v>
      </c>
      <c r="G452" s="2">
        <v>0</v>
      </c>
      <c r="H452" s="3">
        <v>0</v>
      </c>
      <c r="I452" s="3" t="s">
        <v>213</v>
      </c>
      <c r="J452" s="3">
        <v>0</v>
      </c>
    </row>
    <row r="453" spans="1:10" x14ac:dyDescent="0.3">
      <c r="A453" t="s">
        <v>9</v>
      </c>
      <c r="B453" t="s">
        <v>318</v>
      </c>
      <c r="C453">
        <v>59</v>
      </c>
      <c r="D453" s="1">
        <v>6.7799999999999999E-2</v>
      </c>
      <c r="E453">
        <v>4</v>
      </c>
      <c r="F453">
        <v>0</v>
      </c>
      <c r="G453" s="2">
        <v>0</v>
      </c>
      <c r="H453" s="3">
        <v>0</v>
      </c>
      <c r="I453" s="3" t="s">
        <v>213</v>
      </c>
      <c r="J453" s="3">
        <v>0</v>
      </c>
    </row>
    <row r="454" spans="1:10" x14ac:dyDescent="0.3">
      <c r="A454" t="s">
        <v>9</v>
      </c>
      <c r="B454" t="s">
        <v>229</v>
      </c>
      <c r="C454">
        <v>46</v>
      </c>
      <c r="D454" s="1">
        <v>8.6999999999999994E-2</v>
      </c>
      <c r="E454">
        <v>4</v>
      </c>
      <c r="F454">
        <v>0</v>
      </c>
      <c r="G454" s="2">
        <v>0</v>
      </c>
      <c r="H454" s="3">
        <v>0</v>
      </c>
      <c r="I454" s="3" t="s">
        <v>213</v>
      </c>
      <c r="J454" s="3">
        <v>0</v>
      </c>
    </row>
    <row r="455" spans="1:10" x14ac:dyDescent="0.3">
      <c r="A455" t="s">
        <v>9</v>
      </c>
      <c r="B455" t="s">
        <v>315</v>
      </c>
      <c r="C455">
        <v>69</v>
      </c>
      <c r="D455" s="1">
        <v>4.3499999999999997E-2</v>
      </c>
      <c r="E455">
        <v>3</v>
      </c>
      <c r="F455">
        <v>0</v>
      </c>
      <c r="G455" s="2">
        <v>0</v>
      </c>
      <c r="H455" s="3">
        <v>0</v>
      </c>
      <c r="I455" s="3" t="s">
        <v>213</v>
      </c>
      <c r="J455" s="3">
        <v>0</v>
      </c>
    </row>
    <row r="456" spans="1:10" x14ac:dyDescent="0.3">
      <c r="A456" t="s">
        <v>9</v>
      </c>
      <c r="B456" t="s">
        <v>371</v>
      </c>
      <c r="C456">
        <v>91</v>
      </c>
      <c r="D456" s="1">
        <v>3.3000000000000002E-2</v>
      </c>
      <c r="E456">
        <v>3</v>
      </c>
      <c r="F456">
        <v>0</v>
      </c>
      <c r="G456" s="2">
        <v>0</v>
      </c>
      <c r="H456" s="3">
        <v>0</v>
      </c>
      <c r="I456" s="3" t="s">
        <v>213</v>
      </c>
      <c r="J456" s="3">
        <v>0</v>
      </c>
    </row>
    <row r="457" spans="1:10" x14ac:dyDescent="0.3">
      <c r="A457" t="s">
        <v>9</v>
      </c>
      <c r="B457" t="s">
        <v>372</v>
      </c>
      <c r="C457">
        <v>69</v>
      </c>
      <c r="D457" s="1">
        <v>4.3499999999999997E-2</v>
      </c>
      <c r="E457">
        <v>3</v>
      </c>
      <c r="F457">
        <v>0</v>
      </c>
      <c r="G457" s="2">
        <v>0</v>
      </c>
      <c r="H457" s="3">
        <v>0</v>
      </c>
      <c r="I457" s="3" t="s">
        <v>213</v>
      </c>
      <c r="J457" s="3">
        <v>0</v>
      </c>
    </row>
    <row r="458" spans="1:10" x14ac:dyDescent="0.3">
      <c r="A458" t="s">
        <v>9</v>
      </c>
      <c r="B458" t="s">
        <v>227</v>
      </c>
      <c r="C458">
        <v>107</v>
      </c>
      <c r="D458" s="1">
        <v>2.7999999999999997E-2</v>
      </c>
      <c r="E458">
        <v>3</v>
      </c>
      <c r="F458">
        <v>0</v>
      </c>
      <c r="G458" s="2">
        <v>0</v>
      </c>
      <c r="H458" s="3">
        <v>0</v>
      </c>
      <c r="I458" s="3" t="s">
        <v>213</v>
      </c>
      <c r="J458" s="3">
        <v>0</v>
      </c>
    </row>
    <row r="459" spans="1:10" x14ac:dyDescent="0.3">
      <c r="A459" t="s">
        <v>9</v>
      </c>
      <c r="B459" t="s">
        <v>286</v>
      </c>
      <c r="C459">
        <v>33</v>
      </c>
      <c r="D459" s="1">
        <v>9.0899999999999995E-2</v>
      </c>
      <c r="E459">
        <v>3</v>
      </c>
      <c r="F459">
        <v>0</v>
      </c>
      <c r="G459" s="2">
        <v>0</v>
      </c>
      <c r="H459" s="3">
        <v>0</v>
      </c>
      <c r="I459" s="3" t="s">
        <v>213</v>
      </c>
      <c r="J459" s="3">
        <v>0</v>
      </c>
    </row>
    <row r="460" spans="1:10" x14ac:dyDescent="0.3">
      <c r="A460" t="s">
        <v>9</v>
      </c>
      <c r="B460" t="s">
        <v>229</v>
      </c>
      <c r="C460">
        <v>12</v>
      </c>
      <c r="D460" s="1">
        <v>0.16670000000000001</v>
      </c>
      <c r="E460">
        <v>2</v>
      </c>
      <c r="F460">
        <v>0</v>
      </c>
      <c r="G460" s="2">
        <v>0</v>
      </c>
      <c r="H460" s="3">
        <v>0</v>
      </c>
      <c r="I460" s="3" t="s">
        <v>213</v>
      </c>
      <c r="J460" s="3">
        <v>0</v>
      </c>
    </row>
    <row r="461" spans="1:10" x14ac:dyDescent="0.3">
      <c r="A461" t="s">
        <v>9</v>
      </c>
      <c r="B461" t="s">
        <v>316</v>
      </c>
      <c r="C461">
        <v>41</v>
      </c>
      <c r="D461" s="1">
        <v>4.8799999999999996E-2</v>
      </c>
      <c r="E461">
        <v>2</v>
      </c>
      <c r="F461">
        <v>0</v>
      </c>
      <c r="G461" s="2">
        <v>0</v>
      </c>
      <c r="H461" s="3">
        <v>0</v>
      </c>
      <c r="I461" s="3" t="s">
        <v>213</v>
      </c>
      <c r="J461" s="3">
        <v>0</v>
      </c>
    </row>
    <row r="462" spans="1:10" x14ac:dyDescent="0.3">
      <c r="A462" t="s">
        <v>9</v>
      </c>
      <c r="B462" t="s">
        <v>235</v>
      </c>
      <c r="C462">
        <v>35</v>
      </c>
      <c r="D462" s="1">
        <v>5.7099999999999998E-2</v>
      </c>
      <c r="E462">
        <v>2</v>
      </c>
      <c r="F462">
        <v>0</v>
      </c>
      <c r="G462" s="2">
        <v>0</v>
      </c>
      <c r="H462" s="3">
        <v>0</v>
      </c>
      <c r="I462" s="3" t="s">
        <v>213</v>
      </c>
      <c r="J462" s="3">
        <v>0</v>
      </c>
    </row>
    <row r="463" spans="1:10" x14ac:dyDescent="0.3">
      <c r="A463" t="s">
        <v>9</v>
      </c>
      <c r="B463" t="s">
        <v>289</v>
      </c>
      <c r="C463">
        <v>57</v>
      </c>
      <c r="D463" s="1">
        <v>3.5099999999999999E-2</v>
      </c>
      <c r="E463">
        <v>2</v>
      </c>
      <c r="F463">
        <v>0</v>
      </c>
      <c r="G463" s="2">
        <v>0</v>
      </c>
      <c r="H463" s="3">
        <v>0</v>
      </c>
      <c r="I463" s="3" t="s">
        <v>213</v>
      </c>
      <c r="J463" s="3">
        <v>0</v>
      </c>
    </row>
    <row r="464" spans="1:10" x14ac:dyDescent="0.3">
      <c r="A464" t="s">
        <v>9</v>
      </c>
      <c r="B464" t="s">
        <v>315</v>
      </c>
      <c r="C464">
        <v>10</v>
      </c>
      <c r="D464" s="1">
        <v>0.1</v>
      </c>
      <c r="E464">
        <v>1</v>
      </c>
      <c r="F464">
        <v>0</v>
      </c>
      <c r="G464" s="2">
        <v>0</v>
      </c>
      <c r="H464" s="3">
        <v>0</v>
      </c>
      <c r="I464" s="3" t="s">
        <v>213</v>
      </c>
      <c r="J464" s="3">
        <v>0</v>
      </c>
    </row>
    <row r="465" spans="1:10" x14ac:dyDescent="0.3">
      <c r="A465" t="s">
        <v>9</v>
      </c>
      <c r="B465" t="s">
        <v>221</v>
      </c>
      <c r="C465">
        <v>84</v>
      </c>
      <c r="D465" s="1">
        <v>7.1399999999999991E-2</v>
      </c>
      <c r="E465">
        <v>6</v>
      </c>
      <c r="F465">
        <v>1</v>
      </c>
      <c r="G465" s="2">
        <v>0.16670000000000001</v>
      </c>
      <c r="H465" s="3">
        <v>2.16</v>
      </c>
      <c r="I465" s="3">
        <v>12.94</v>
      </c>
      <c r="J465" s="3">
        <v>12.94</v>
      </c>
    </row>
    <row r="466" spans="1:10" x14ac:dyDescent="0.3">
      <c r="A466" t="s">
        <v>9</v>
      </c>
      <c r="B466" t="s">
        <v>221</v>
      </c>
      <c r="C466">
        <v>291</v>
      </c>
      <c r="D466" s="1">
        <v>8.5900000000000004E-2</v>
      </c>
      <c r="E466">
        <v>25</v>
      </c>
      <c r="F466">
        <v>0</v>
      </c>
      <c r="G466" s="2">
        <v>0</v>
      </c>
      <c r="H466" s="3">
        <v>0</v>
      </c>
      <c r="I466" s="3" t="s">
        <v>213</v>
      </c>
      <c r="J466" s="3">
        <v>0</v>
      </c>
    </row>
    <row r="467" spans="1:10" x14ac:dyDescent="0.3">
      <c r="A467" t="s">
        <v>9</v>
      </c>
      <c r="B467" t="s">
        <v>215</v>
      </c>
      <c r="C467">
        <v>186</v>
      </c>
      <c r="D467" s="1">
        <v>3.7599999999999995E-2</v>
      </c>
      <c r="E467">
        <v>7</v>
      </c>
      <c r="F467">
        <v>0</v>
      </c>
      <c r="G467" s="2">
        <v>0</v>
      </c>
      <c r="H467" s="3">
        <v>0</v>
      </c>
      <c r="I467" s="3" t="s">
        <v>213</v>
      </c>
      <c r="J467" s="3">
        <v>0</v>
      </c>
    </row>
    <row r="468" spans="1:10" x14ac:dyDescent="0.3">
      <c r="A468" t="s">
        <v>9</v>
      </c>
      <c r="B468" t="s">
        <v>221</v>
      </c>
      <c r="C468">
        <v>110</v>
      </c>
      <c r="D468" s="1">
        <v>4.5499999999999999E-2</v>
      </c>
      <c r="E468">
        <v>5</v>
      </c>
      <c r="F468">
        <v>0</v>
      </c>
      <c r="G468" s="2">
        <v>0</v>
      </c>
      <c r="H468" s="3">
        <v>0</v>
      </c>
      <c r="I468" s="3" t="s">
        <v>213</v>
      </c>
      <c r="J468" s="3">
        <v>0</v>
      </c>
    </row>
    <row r="469" spans="1:10" x14ac:dyDescent="0.3">
      <c r="A469" t="s">
        <v>9</v>
      </c>
      <c r="B469" t="s">
        <v>221</v>
      </c>
      <c r="C469">
        <v>43</v>
      </c>
      <c r="D469" s="1">
        <v>9.3000000000000013E-2</v>
      </c>
      <c r="E469">
        <v>4</v>
      </c>
      <c r="F469">
        <v>0</v>
      </c>
      <c r="G469" s="2">
        <v>0</v>
      </c>
      <c r="H469" s="3">
        <v>0</v>
      </c>
      <c r="I469" s="3" t="s">
        <v>213</v>
      </c>
      <c r="J469" s="3">
        <v>0</v>
      </c>
    </row>
    <row r="470" spans="1:10" x14ac:dyDescent="0.3">
      <c r="A470" t="s">
        <v>9</v>
      </c>
      <c r="B470" t="s">
        <v>221</v>
      </c>
      <c r="C470">
        <v>18</v>
      </c>
      <c r="D470" s="1">
        <v>5.5599999999999997E-2</v>
      </c>
      <c r="E470">
        <v>1</v>
      </c>
      <c r="F470">
        <v>0</v>
      </c>
      <c r="G470" s="2">
        <v>0</v>
      </c>
      <c r="H470" s="3">
        <v>0</v>
      </c>
      <c r="I470" s="3" t="s">
        <v>213</v>
      </c>
      <c r="J470" s="3">
        <v>0</v>
      </c>
    </row>
    <row r="471" spans="1:10" x14ac:dyDescent="0.3">
      <c r="A471" t="s">
        <v>9</v>
      </c>
      <c r="B471" t="s">
        <v>215</v>
      </c>
      <c r="C471">
        <v>134</v>
      </c>
      <c r="D471" s="1">
        <v>5.2199999999999996E-2</v>
      </c>
      <c r="E471">
        <v>7</v>
      </c>
      <c r="F471">
        <v>0</v>
      </c>
      <c r="G471" s="2">
        <v>0</v>
      </c>
      <c r="H471" s="3">
        <v>0</v>
      </c>
      <c r="I471" s="3" t="s">
        <v>213</v>
      </c>
      <c r="J471" s="3">
        <v>0</v>
      </c>
    </row>
    <row r="472" spans="1:10" x14ac:dyDescent="0.3">
      <c r="A472" t="s">
        <v>9</v>
      </c>
      <c r="B472" t="s">
        <v>223</v>
      </c>
      <c r="C472">
        <v>96</v>
      </c>
      <c r="D472" s="1">
        <v>4.1700000000000001E-2</v>
      </c>
      <c r="E472">
        <v>4</v>
      </c>
      <c r="F472">
        <v>0</v>
      </c>
      <c r="G472" s="2">
        <v>0</v>
      </c>
      <c r="H472" s="3">
        <v>0</v>
      </c>
      <c r="I472" s="3" t="s">
        <v>213</v>
      </c>
      <c r="J472" s="3">
        <v>0</v>
      </c>
    </row>
    <row r="473" spans="1:10" x14ac:dyDescent="0.3">
      <c r="A473" t="s">
        <v>9</v>
      </c>
      <c r="B473" t="s">
        <v>221</v>
      </c>
      <c r="C473">
        <v>214</v>
      </c>
      <c r="D473" s="1">
        <v>1.3999999999999999E-2</v>
      </c>
      <c r="E473">
        <v>3</v>
      </c>
      <c r="F473">
        <v>0</v>
      </c>
      <c r="G473" s="2">
        <v>0</v>
      </c>
      <c r="H473" s="3">
        <v>0</v>
      </c>
      <c r="I473" s="3" t="s">
        <v>213</v>
      </c>
      <c r="J473" s="3">
        <v>0</v>
      </c>
    </row>
    <row r="474" spans="1:10" x14ac:dyDescent="0.3">
      <c r="A474" t="s">
        <v>9</v>
      </c>
      <c r="B474" t="s">
        <v>221</v>
      </c>
      <c r="C474">
        <v>126</v>
      </c>
      <c r="D474" s="1">
        <v>2.3799999999999998E-2</v>
      </c>
      <c r="E474">
        <v>3</v>
      </c>
      <c r="F474">
        <v>0</v>
      </c>
      <c r="G474" s="2">
        <v>0</v>
      </c>
      <c r="H474" s="3">
        <v>0</v>
      </c>
      <c r="I474" s="3" t="s">
        <v>213</v>
      </c>
      <c r="J474" s="3">
        <v>0</v>
      </c>
    </row>
    <row r="475" spans="1:10" x14ac:dyDescent="0.3">
      <c r="A475" t="s">
        <v>9</v>
      </c>
      <c r="B475" t="s">
        <v>221</v>
      </c>
      <c r="C475">
        <v>33</v>
      </c>
      <c r="D475" s="1">
        <v>6.0599999999999994E-2</v>
      </c>
      <c r="E475">
        <v>2</v>
      </c>
      <c r="F475">
        <v>0</v>
      </c>
      <c r="G475" s="2">
        <v>0</v>
      </c>
      <c r="H475" s="3">
        <v>0</v>
      </c>
      <c r="I475" s="3" t="s">
        <v>213</v>
      </c>
      <c r="J475" s="3">
        <v>0</v>
      </c>
    </row>
    <row r="476" spans="1:10" x14ac:dyDescent="0.3">
      <c r="A476" t="s">
        <v>9</v>
      </c>
      <c r="B476" t="s">
        <v>221</v>
      </c>
      <c r="C476">
        <v>60</v>
      </c>
      <c r="D476" s="1">
        <v>1.67E-2</v>
      </c>
      <c r="E476">
        <v>1</v>
      </c>
      <c r="F476">
        <v>0</v>
      </c>
      <c r="G476" s="2">
        <v>0</v>
      </c>
      <c r="H476" s="3">
        <v>0</v>
      </c>
      <c r="I476" s="3" t="s">
        <v>213</v>
      </c>
      <c r="J476" s="3">
        <v>0</v>
      </c>
    </row>
    <row r="477" spans="1:10" x14ac:dyDescent="0.3">
      <c r="A477" t="s">
        <v>9</v>
      </c>
      <c r="B477" t="s">
        <v>221</v>
      </c>
      <c r="C477">
        <v>28</v>
      </c>
      <c r="D477" s="1">
        <v>0</v>
      </c>
      <c r="E477">
        <v>0</v>
      </c>
      <c r="F477">
        <v>0</v>
      </c>
      <c r="G477" s="2">
        <v>0</v>
      </c>
      <c r="H477" s="3" t="s">
        <v>213</v>
      </c>
      <c r="I477" s="3" t="s">
        <v>213</v>
      </c>
      <c r="J477" s="3">
        <v>0</v>
      </c>
    </row>
    <row r="478" spans="1:10" x14ac:dyDescent="0.3">
      <c r="A478" t="s">
        <v>9</v>
      </c>
      <c r="B478" t="s">
        <v>221</v>
      </c>
      <c r="C478">
        <v>9</v>
      </c>
      <c r="D478" s="1">
        <v>0</v>
      </c>
      <c r="E478">
        <v>0</v>
      </c>
      <c r="F478">
        <v>0</v>
      </c>
      <c r="G478" s="2">
        <v>0</v>
      </c>
      <c r="H478" s="3" t="s">
        <v>213</v>
      </c>
      <c r="I478" s="3" t="s">
        <v>213</v>
      </c>
      <c r="J478" s="3">
        <v>0</v>
      </c>
    </row>
    <row r="479" spans="1:10" x14ac:dyDescent="0.3">
      <c r="A479" t="s">
        <v>9</v>
      </c>
      <c r="B479" t="s">
        <v>221</v>
      </c>
      <c r="C479">
        <v>219</v>
      </c>
      <c r="D479" s="1">
        <v>9.5899999999999999E-2</v>
      </c>
      <c r="E479">
        <v>21</v>
      </c>
      <c r="F479">
        <v>1</v>
      </c>
      <c r="G479" s="2">
        <v>4.7599999999999996E-2</v>
      </c>
      <c r="H479" s="3">
        <v>0.31</v>
      </c>
      <c r="I479" s="3">
        <v>6.54</v>
      </c>
      <c r="J479" s="3">
        <v>6.54</v>
      </c>
    </row>
    <row r="480" spans="1:10" x14ac:dyDescent="0.3">
      <c r="A480" t="s">
        <v>9</v>
      </c>
      <c r="B480" t="s">
        <v>221</v>
      </c>
      <c r="C480">
        <v>53</v>
      </c>
      <c r="D480" s="1">
        <v>5.6600000000000004E-2</v>
      </c>
      <c r="E480">
        <v>3</v>
      </c>
      <c r="F480">
        <v>1</v>
      </c>
      <c r="G480" s="2">
        <v>0.33329999999999999</v>
      </c>
      <c r="H480" s="3">
        <v>8.09</v>
      </c>
      <c r="I480" s="3">
        <v>24.28</v>
      </c>
      <c r="J480" s="3">
        <v>24.28</v>
      </c>
    </row>
    <row r="481" spans="1:10" x14ac:dyDescent="0.3">
      <c r="A481" t="s">
        <v>9</v>
      </c>
      <c r="B481" t="s">
        <v>221</v>
      </c>
      <c r="C481">
        <v>378</v>
      </c>
      <c r="D481" s="1">
        <v>8.199999999999999E-2</v>
      </c>
      <c r="E481">
        <v>31</v>
      </c>
      <c r="F481">
        <v>0</v>
      </c>
      <c r="G481" s="2">
        <v>0</v>
      </c>
      <c r="H481" s="3">
        <v>0</v>
      </c>
      <c r="I481" s="3" t="s">
        <v>213</v>
      </c>
      <c r="J481" s="3">
        <v>0</v>
      </c>
    </row>
    <row r="482" spans="1:10" x14ac:dyDescent="0.3">
      <c r="A482" t="s">
        <v>9</v>
      </c>
      <c r="B482" t="s">
        <v>221</v>
      </c>
      <c r="C482">
        <v>204</v>
      </c>
      <c r="D482" s="1">
        <v>7.8399999999999997E-2</v>
      </c>
      <c r="E482">
        <v>16</v>
      </c>
      <c r="F482">
        <v>0</v>
      </c>
      <c r="G482" s="2">
        <v>0</v>
      </c>
      <c r="H482" s="3">
        <v>0</v>
      </c>
      <c r="I482" s="3" t="s">
        <v>213</v>
      </c>
      <c r="J482" s="3">
        <v>0</v>
      </c>
    </row>
    <row r="483" spans="1:10" x14ac:dyDescent="0.3">
      <c r="A483" t="s">
        <v>9</v>
      </c>
      <c r="B483" t="s">
        <v>215</v>
      </c>
      <c r="C483">
        <v>164</v>
      </c>
      <c r="D483" s="1">
        <v>5.4900000000000004E-2</v>
      </c>
      <c r="E483">
        <v>9</v>
      </c>
      <c r="F483">
        <v>0</v>
      </c>
      <c r="G483" s="2">
        <v>0</v>
      </c>
      <c r="H483" s="3">
        <v>0</v>
      </c>
      <c r="I483" s="3" t="s">
        <v>213</v>
      </c>
      <c r="J483" s="3">
        <v>0</v>
      </c>
    </row>
    <row r="484" spans="1:10" x14ac:dyDescent="0.3">
      <c r="A484" t="s">
        <v>9</v>
      </c>
      <c r="B484" t="s">
        <v>221</v>
      </c>
      <c r="C484">
        <v>81</v>
      </c>
      <c r="D484" s="1">
        <v>7.4099999999999999E-2</v>
      </c>
      <c r="E484">
        <v>6</v>
      </c>
      <c r="F484">
        <v>0</v>
      </c>
      <c r="G484" s="2">
        <v>0</v>
      </c>
      <c r="H484" s="3">
        <v>0</v>
      </c>
      <c r="I484" s="3" t="s">
        <v>213</v>
      </c>
      <c r="J484" s="3">
        <v>0</v>
      </c>
    </row>
    <row r="485" spans="1:10" x14ac:dyDescent="0.3">
      <c r="A485" t="s">
        <v>9</v>
      </c>
      <c r="B485" t="s">
        <v>221</v>
      </c>
      <c r="C485">
        <v>133</v>
      </c>
      <c r="D485" s="1">
        <v>3.7599999999999995E-2</v>
      </c>
      <c r="E485">
        <v>5</v>
      </c>
      <c r="F485">
        <v>0</v>
      </c>
      <c r="G485" s="2">
        <v>0</v>
      </c>
      <c r="H485" s="3">
        <v>0</v>
      </c>
      <c r="I485" s="3" t="s">
        <v>213</v>
      </c>
      <c r="J485" s="3">
        <v>0</v>
      </c>
    </row>
    <row r="486" spans="1:10" x14ac:dyDescent="0.3">
      <c r="A486" t="s">
        <v>9</v>
      </c>
      <c r="B486" t="s">
        <v>221</v>
      </c>
      <c r="C486">
        <v>74</v>
      </c>
      <c r="D486" s="1">
        <v>6.7599999999999993E-2</v>
      </c>
      <c r="E486">
        <v>5</v>
      </c>
      <c r="F486">
        <v>0</v>
      </c>
      <c r="G486" s="2">
        <v>0</v>
      </c>
      <c r="H486" s="3">
        <v>0</v>
      </c>
      <c r="I486" s="3" t="s">
        <v>213</v>
      </c>
      <c r="J486" s="3">
        <v>0</v>
      </c>
    </row>
    <row r="487" spans="1:10" x14ac:dyDescent="0.3">
      <c r="A487" t="s">
        <v>9</v>
      </c>
      <c r="B487" t="s">
        <v>223</v>
      </c>
      <c r="C487">
        <v>130</v>
      </c>
      <c r="D487" s="1">
        <v>1.54E-2</v>
      </c>
      <c r="E487">
        <v>2</v>
      </c>
      <c r="F487">
        <v>0</v>
      </c>
      <c r="G487" s="2">
        <v>0</v>
      </c>
      <c r="H487" s="3">
        <v>0</v>
      </c>
      <c r="I487" s="3" t="s">
        <v>213</v>
      </c>
      <c r="J487" s="3">
        <v>0</v>
      </c>
    </row>
    <row r="488" spans="1:10" x14ac:dyDescent="0.3">
      <c r="A488" t="s">
        <v>9</v>
      </c>
      <c r="B488" t="s">
        <v>215</v>
      </c>
      <c r="C488">
        <v>96</v>
      </c>
      <c r="D488" s="1">
        <v>0.11460000000000001</v>
      </c>
      <c r="E488">
        <v>11</v>
      </c>
      <c r="F488">
        <v>3</v>
      </c>
      <c r="G488" s="2">
        <v>0.2727</v>
      </c>
      <c r="H488" s="3">
        <v>1.35</v>
      </c>
      <c r="I488" s="3">
        <v>4.9400000000000004</v>
      </c>
      <c r="J488" s="3">
        <v>14.81</v>
      </c>
    </row>
    <row r="489" spans="1:10" x14ac:dyDescent="0.3">
      <c r="A489" t="s">
        <v>9</v>
      </c>
      <c r="B489" t="s">
        <v>212</v>
      </c>
      <c r="C489">
        <v>106</v>
      </c>
      <c r="D489" s="1">
        <v>0.11320000000000001</v>
      </c>
      <c r="E489">
        <v>12</v>
      </c>
      <c r="F489">
        <v>1</v>
      </c>
      <c r="G489" s="2">
        <v>8.3299999999999999E-2</v>
      </c>
      <c r="H489" s="3">
        <v>0.27</v>
      </c>
      <c r="I489" s="3">
        <v>3.27</v>
      </c>
      <c r="J489" s="3">
        <v>3.27</v>
      </c>
    </row>
    <row r="490" spans="1:10" x14ac:dyDescent="0.3">
      <c r="A490" t="s">
        <v>9</v>
      </c>
      <c r="B490" t="s">
        <v>235</v>
      </c>
      <c r="C490">
        <v>31</v>
      </c>
      <c r="D490" s="1">
        <v>0.1613</v>
      </c>
      <c r="E490">
        <v>5</v>
      </c>
      <c r="F490">
        <v>2</v>
      </c>
      <c r="G490" s="2">
        <v>0.4</v>
      </c>
      <c r="H490" s="3">
        <v>0.49</v>
      </c>
      <c r="I490" s="3">
        <v>1.23</v>
      </c>
      <c r="J490" s="3">
        <v>2.46</v>
      </c>
    </row>
    <row r="491" spans="1:10" x14ac:dyDescent="0.3">
      <c r="A491" t="s">
        <v>9</v>
      </c>
      <c r="B491" t="s">
        <v>297</v>
      </c>
      <c r="C491">
        <v>26</v>
      </c>
      <c r="D491" s="1">
        <v>0.15380000000000002</v>
      </c>
      <c r="E491">
        <v>4</v>
      </c>
      <c r="F491">
        <v>0</v>
      </c>
      <c r="G491" s="2">
        <v>0</v>
      </c>
      <c r="H491" s="3">
        <v>0</v>
      </c>
      <c r="I491" s="3" t="s">
        <v>213</v>
      </c>
      <c r="J491" s="3">
        <v>0</v>
      </c>
    </row>
    <row r="492" spans="1:10" x14ac:dyDescent="0.3">
      <c r="A492" t="s">
        <v>9</v>
      </c>
      <c r="B492" t="s">
        <v>296</v>
      </c>
      <c r="C492">
        <v>21</v>
      </c>
      <c r="D492" s="1">
        <v>4.7599999999999996E-2</v>
      </c>
      <c r="E492">
        <v>1</v>
      </c>
      <c r="F492">
        <v>0</v>
      </c>
      <c r="G492" s="2">
        <v>0</v>
      </c>
      <c r="H492" s="3">
        <v>0</v>
      </c>
      <c r="I492" s="3" t="s">
        <v>213</v>
      </c>
      <c r="J492" s="3">
        <v>0</v>
      </c>
    </row>
    <row r="493" spans="1:10" x14ac:dyDescent="0.3">
      <c r="A493" t="s">
        <v>9</v>
      </c>
      <c r="B493" t="s">
        <v>221</v>
      </c>
      <c r="C493">
        <v>378</v>
      </c>
      <c r="D493" s="1">
        <v>0.11109999999999999</v>
      </c>
      <c r="E493">
        <v>42</v>
      </c>
      <c r="F493">
        <v>4</v>
      </c>
      <c r="G493" s="2">
        <v>9.5199999999999993E-2</v>
      </c>
      <c r="H493" s="3">
        <v>0.83</v>
      </c>
      <c r="I493" s="3">
        <v>8.76</v>
      </c>
      <c r="J493" s="3">
        <v>35.020000000000003</v>
      </c>
    </row>
    <row r="494" spans="1:10" x14ac:dyDescent="0.3">
      <c r="A494" t="s">
        <v>9</v>
      </c>
      <c r="B494" t="s">
        <v>215</v>
      </c>
      <c r="C494">
        <v>55</v>
      </c>
      <c r="D494" s="1">
        <v>7.2700000000000001E-2</v>
      </c>
      <c r="E494">
        <v>4</v>
      </c>
      <c r="F494">
        <v>0</v>
      </c>
      <c r="G494" s="2">
        <v>0</v>
      </c>
      <c r="H494" s="3">
        <v>0</v>
      </c>
      <c r="I494" s="3" t="s">
        <v>213</v>
      </c>
      <c r="J494" s="3">
        <v>0</v>
      </c>
    </row>
    <row r="495" spans="1:10" x14ac:dyDescent="0.3">
      <c r="A495" t="s">
        <v>9</v>
      </c>
      <c r="B495" t="s">
        <v>215</v>
      </c>
      <c r="C495">
        <v>19</v>
      </c>
      <c r="D495" s="1">
        <v>5.2600000000000001E-2</v>
      </c>
      <c r="E495">
        <v>1</v>
      </c>
      <c r="F495">
        <v>0</v>
      </c>
      <c r="G495" s="2">
        <v>0</v>
      </c>
      <c r="H495" s="3">
        <v>0</v>
      </c>
      <c r="I495" s="3" t="s">
        <v>213</v>
      </c>
      <c r="J495" s="3">
        <v>0</v>
      </c>
    </row>
    <row r="496" spans="1:10" x14ac:dyDescent="0.3">
      <c r="A496" t="s">
        <v>9</v>
      </c>
      <c r="B496" t="s">
        <v>215</v>
      </c>
      <c r="C496">
        <v>31</v>
      </c>
      <c r="D496" s="1">
        <v>3.2300000000000002E-2</v>
      </c>
      <c r="E496">
        <v>1</v>
      </c>
      <c r="F496">
        <v>0</v>
      </c>
      <c r="G496" s="2">
        <v>0</v>
      </c>
      <c r="H496" s="3">
        <v>0</v>
      </c>
      <c r="I496" s="3" t="s">
        <v>213</v>
      </c>
      <c r="J496" s="3">
        <v>0</v>
      </c>
    </row>
    <row r="497" spans="1:10" x14ac:dyDescent="0.3">
      <c r="A497" t="s">
        <v>9</v>
      </c>
      <c r="B497" t="s">
        <v>223</v>
      </c>
      <c r="C497">
        <v>22</v>
      </c>
      <c r="D497" s="1">
        <v>0</v>
      </c>
      <c r="E497">
        <v>0</v>
      </c>
      <c r="F497">
        <v>0</v>
      </c>
      <c r="G497" s="2">
        <v>0</v>
      </c>
      <c r="H497" s="3" t="s">
        <v>213</v>
      </c>
      <c r="I497" s="3" t="s">
        <v>213</v>
      </c>
      <c r="J497" s="3">
        <v>0</v>
      </c>
    </row>
    <row r="498" spans="1:10" x14ac:dyDescent="0.3">
      <c r="A498" t="s">
        <v>9</v>
      </c>
      <c r="B498" t="s">
        <v>212</v>
      </c>
      <c r="C498">
        <v>181</v>
      </c>
      <c r="D498" s="1">
        <v>4.4199999999999996E-2</v>
      </c>
      <c r="E498">
        <v>8</v>
      </c>
      <c r="F498">
        <v>0</v>
      </c>
      <c r="G498" s="2">
        <v>0</v>
      </c>
      <c r="H498" s="3">
        <v>0</v>
      </c>
      <c r="I498" s="3" t="s">
        <v>213</v>
      </c>
      <c r="J498" s="3">
        <v>0</v>
      </c>
    </row>
    <row r="499" spans="1:10" x14ac:dyDescent="0.3">
      <c r="A499" t="s">
        <v>9</v>
      </c>
      <c r="B499" t="s">
        <v>223</v>
      </c>
      <c r="C499">
        <v>104</v>
      </c>
      <c r="D499" s="1">
        <v>3.85E-2</v>
      </c>
      <c r="E499">
        <v>4</v>
      </c>
      <c r="F499">
        <v>0</v>
      </c>
      <c r="G499" s="2">
        <v>0</v>
      </c>
      <c r="H499" s="3">
        <v>0</v>
      </c>
      <c r="I499" s="3" t="s">
        <v>213</v>
      </c>
      <c r="J499" s="3">
        <v>0</v>
      </c>
    </row>
    <row r="500" spans="1:10" x14ac:dyDescent="0.3">
      <c r="A500" t="s">
        <v>9</v>
      </c>
      <c r="B500" t="s">
        <v>239</v>
      </c>
      <c r="C500">
        <v>77</v>
      </c>
      <c r="D500" s="1">
        <v>0.1429</v>
      </c>
      <c r="E500">
        <v>11</v>
      </c>
      <c r="F500">
        <v>3</v>
      </c>
      <c r="G500" s="2">
        <v>0.2727</v>
      </c>
      <c r="H500" s="3">
        <v>1.23</v>
      </c>
      <c r="I500" s="3">
        <v>4.5199999999999996</v>
      </c>
      <c r="J500" s="3">
        <v>13.55</v>
      </c>
    </row>
    <row r="501" spans="1:10" x14ac:dyDescent="0.3">
      <c r="A501" t="s">
        <v>9</v>
      </c>
      <c r="B501" t="s">
        <v>286</v>
      </c>
      <c r="C501">
        <v>85</v>
      </c>
      <c r="D501" s="1">
        <v>7.0599999999999996E-2</v>
      </c>
      <c r="E501">
        <v>6</v>
      </c>
      <c r="F501">
        <v>3</v>
      </c>
      <c r="G501" s="2">
        <v>0.5</v>
      </c>
      <c r="H501" s="3">
        <v>7.15</v>
      </c>
      <c r="I501" s="3">
        <v>14.3</v>
      </c>
      <c r="J501" s="3">
        <v>42.9</v>
      </c>
    </row>
    <row r="502" spans="1:10" x14ac:dyDescent="0.3">
      <c r="A502" t="s">
        <v>9</v>
      </c>
      <c r="B502" t="s">
        <v>235</v>
      </c>
      <c r="C502">
        <v>130</v>
      </c>
      <c r="D502" s="1">
        <v>0.1</v>
      </c>
      <c r="E502">
        <v>13</v>
      </c>
      <c r="F502">
        <v>2</v>
      </c>
      <c r="G502" s="2">
        <v>0.15380000000000002</v>
      </c>
      <c r="H502" s="3">
        <v>1.51</v>
      </c>
      <c r="I502" s="3">
        <v>9.7899999999999991</v>
      </c>
      <c r="J502" s="3">
        <v>19.579999999999998</v>
      </c>
    </row>
    <row r="503" spans="1:10" x14ac:dyDescent="0.3">
      <c r="A503" t="s">
        <v>9</v>
      </c>
      <c r="B503" t="s">
        <v>372</v>
      </c>
      <c r="C503">
        <v>122</v>
      </c>
      <c r="D503" s="1">
        <v>7.3800000000000004E-2</v>
      </c>
      <c r="E503">
        <v>9</v>
      </c>
      <c r="F503">
        <v>1</v>
      </c>
      <c r="G503" s="2">
        <v>0.11109999999999999</v>
      </c>
      <c r="H503" s="3">
        <v>0.38</v>
      </c>
      <c r="I503" s="3">
        <v>3.45</v>
      </c>
      <c r="J503" s="3">
        <v>3.45</v>
      </c>
    </row>
    <row r="504" spans="1:10" x14ac:dyDescent="0.3">
      <c r="A504" t="s">
        <v>9</v>
      </c>
      <c r="B504" t="s">
        <v>316</v>
      </c>
      <c r="C504">
        <v>99</v>
      </c>
      <c r="D504" s="1">
        <v>8.0799999999999997E-2</v>
      </c>
      <c r="E504">
        <v>8</v>
      </c>
      <c r="F504">
        <v>1</v>
      </c>
      <c r="G504" s="2">
        <v>0.125</v>
      </c>
      <c r="H504" s="3">
        <v>1.19</v>
      </c>
      <c r="I504" s="3">
        <v>9.48</v>
      </c>
      <c r="J504" s="3">
        <v>9.48</v>
      </c>
    </row>
    <row r="505" spans="1:10" x14ac:dyDescent="0.3">
      <c r="A505" t="s">
        <v>9</v>
      </c>
      <c r="B505" t="s">
        <v>372</v>
      </c>
      <c r="C505">
        <v>118</v>
      </c>
      <c r="D505" s="1">
        <v>5.9299999999999999E-2</v>
      </c>
      <c r="E505">
        <v>7</v>
      </c>
      <c r="F505">
        <v>1</v>
      </c>
      <c r="G505" s="2">
        <v>0.1429</v>
      </c>
      <c r="H505" s="3">
        <v>1.48</v>
      </c>
      <c r="I505" s="3">
        <v>10.38</v>
      </c>
      <c r="J505" s="3">
        <v>10.38</v>
      </c>
    </row>
    <row r="506" spans="1:10" x14ac:dyDescent="0.3">
      <c r="A506" t="s">
        <v>9</v>
      </c>
      <c r="B506" t="s">
        <v>316</v>
      </c>
      <c r="C506">
        <v>115</v>
      </c>
      <c r="D506" s="1">
        <v>4.3499999999999997E-2</v>
      </c>
      <c r="E506">
        <v>5</v>
      </c>
      <c r="F506">
        <v>1</v>
      </c>
      <c r="G506" s="2">
        <v>0.2</v>
      </c>
      <c r="H506" s="3">
        <v>2.57</v>
      </c>
      <c r="I506" s="3">
        <v>12.83</v>
      </c>
      <c r="J506" s="3">
        <v>12.83</v>
      </c>
    </row>
    <row r="507" spans="1:10" x14ac:dyDescent="0.3">
      <c r="A507" t="s">
        <v>9</v>
      </c>
      <c r="B507" t="s">
        <v>315</v>
      </c>
      <c r="C507">
        <v>27</v>
      </c>
      <c r="D507" s="1">
        <v>0.14810000000000001</v>
      </c>
      <c r="E507">
        <v>4</v>
      </c>
      <c r="F507">
        <v>1</v>
      </c>
      <c r="G507" s="2">
        <v>0.25</v>
      </c>
      <c r="H507" s="3">
        <v>5.82</v>
      </c>
      <c r="I507" s="3">
        <v>23.26</v>
      </c>
      <c r="J507" s="3">
        <v>23.26</v>
      </c>
    </row>
    <row r="508" spans="1:10" x14ac:dyDescent="0.3">
      <c r="A508" t="s">
        <v>9</v>
      </c>
      <c r="B508" t="s">
        <v>264</v>
      </c>
      <c r="C508">
        <v>22</v>
      </c>
      <c r="D508" s="1">
        <v>0.18179999999999999</v>
      </c>
      <c r="E508">
        <v>4</v>
      </c>
      <c r="F508">
        <v>1</v>
      </c>
      <c r="G508" s="2">
        <v>0.25</v>
      </c>
      <c r="H508" s="3">
        <v>4.6100000000000003</v>
      </c>
      <c r="I508" s="3">
        <v>18.420000000000002</v>
      </c>
      <c r="J508" s="3">
        <v>18.420000000000002</v>
      </c>
    </row>
    <row r="509" spans="1:10" x14ac:dyDescent="0.3">
      <c r="A509" t="s">
        <v>9</v>
      </c>
      <c r="B509" t="s">
        <v>256</v>
      </c>
      <c r="C509">
        <v>88</v>
      </c>
      <c r="D509" s="1">
        <v>4.5499999999999999E-2</v>
      </c>
      <c r="E509">
        <v>4</v>
      </c>
      <c r="F509">
        <v>1</v>
      </c>
      <c r="G509" s="2">
        <v>0.25</v>
      </c>
      <c r="H509" s="3">
        <v>2.64</v>
      </c>
      <c r="I509" s="3">
        <v>10.55</v>
      </c>
      <c r="J509" s="3">
        <v>10.55</v>
      </c>
    </row>
    <row r="510" spans="1:10" x14ac:dyDescent="0.3">
      <c r="A510" t="s">
        <v>9</v>
      </c>
      <c r="B510" t="s">
        <v>235</v>
      </c>
      <c r="C510">
        <v>39</v>
      </c>
      <c r="D510" s="1">
        <v>7.690000000000001E-2</v>
      </c>
      <c r="E510">
        <v>3</v>
      </c>
      <c r="F510">
        <v>1</v>
      </c>
      <c r="G510" s="2">
        <v>0.33329999999999999</v>
      </c>
      <c r="H510" s="3">
        <v>7.75</v>
      </c>
      <c r="I510" s="3">
        <v>23.26</v>
      </c>
      <c r="J510" s="3">
        <v>23.26</v>
      </c>
    </row>
    <row r="511" spans="1:10" x14ac:dyDescent="0.3">
      <c r="A511" t="s">
        <v>9</v>
      </c>
      <c r="B511" t="s">
        <v>286</v>
      </c>
      <c r="C511">
        <v>15</v>
      </c>
      <c r="D511" s="1">
        <v>0.1333</v>
      </c>
      <c r="E511">
        <v>2</v>
      </c>
      <c r="F511">
        <v>1</v>
      </c>
      <c r="G511" s="2">
        <v>0.5</v>
      </c>
      <c r="H511" s="3">
        <v>8.2100000000000009</v>
      </c>
      <c r="I511" s="3">
        <v>16.420000000000002</v>
      </c>
      <c r="J511" s="3">
        <v>16.420000000000002</v>
      </c>
    </row>
    <row r="512" spans="1:10" x14ac:dyDescent="0.3">
      <c r="A512" t="s">
        <v>9</v>
      </c>
      <c r="B512" t="s">
        <v>289</v>
      </c>
      <c r="C512">
        <v>36</v>
      </c>
      <c r="D512" s="1">
        <v>5.5599999999999997E-2</v>
      </c>
      <c r="E512">
        <v>2</v>
      </c>
      <c r="F512">
        <v>1</v>
      </c>
      <c r="G512" s="2">
        <v>0.5</v>
      </c>
      <c r="H512" s="3">
        <v>0</v>
      </c>
      <c r="I512" s="3">
        <v>0</v>
      </c>
      <c r="J512" s="3">
        <v>0</v>
      </c>
    </row>
    <row r="513" spans="1:10" x14ac:dyDescent="0.3">
      <c r="A513" t="s">
        <v>9</v>
      </c>
      <c r="B513" t="s">
        <v>370</v>
      </c>
      <c r="C513">
        <v>27</v>
      </c>
      <c r="D513" s="1">
        <v>3.7000000000000005E-2</v>
      </c>
      <c r="E513">
        <v>1</v>
      </c>
      <c r="F513">
        <v>1</v>
      </c>
      <c r="G513" s="2">
        <v>1</v>
      </c>
      <c r="H513" s="3">
        <v>0</v>
      </c>
      <c r="I513" s="3">
        <v>0</v>
      </c>
      <c r="J513" s="3">
        <v>0</v>
      </c>
    </row>
    <row r="514" spans="1:10" x14ac:dyDescent="0.3">
      <c r="A514" t="s">
        <v>9</v>
      </c>
      <c r="B514" t="s">
        <v>313</v>
      </c>
      <c r="C514">
        <v>216</v>
      </c>
      <c r="D514" s="1">
        <v>5.5599999999999997E-2</v>
      </c>
      <c r="E514">
        <v>12</v>
      </c>
      <c r="F514">
        <v>0</v>
      </c>
      <c r="G514" s="2">
        <v>0</v>
      </c>
      <c r="H514" s="3">
        <v>0</v>
      </c>
      <c r="I514" s="3" t="s">
        <v>213</v>
      </c>
      <c r="J514" s="3">
        <v>0</v>
      </c>
    </row>
    <row r="515" spans="1:10" x14ac:dyDescent="0.3">
      <c r="A515" t="s">
        <v>9</v>
      </c>
      <c r="B515" t="s">
        <v>235</v>
      </c>
      <c r="C515">
        <v>203</v>
      </c>
      <c r="D515" s="1">
        <v>5.91E-2</v>
      </c>
      <c r="E515">
        <v>12</v>
      </c>
      <c r="F515">
        <v>0</v>
      </c>
      <c r="G515" s="2">
        <v>0</v>
      </c>
      <c r="H515" s="3">
        <v>0</v>
      </c>
      <c r="I515" s="3" t="s">
        <v>213</v>
      </c>
      <c r="J515" s="3">
        <v>0</v>
      </c>
    </row>
    <row r="516" spans="1:10" x14ac:dyDescent="0.3">
      <c r="A516" t="s">
        <v>9</v>
      </c>
      <c r="B516" t="s">
        <v>286</v>
      </c>
      <c r="C516">
        <v>135</v>
      </c>
      <c r="D516" s="1">
        <v>5.1900000000000002E-2</v>
      </c>
      <c r="E516">
        <v>7</v>
      </c>
      <c r="F516">
        <v>0</v>
      </c>
      <c r="G516" s="2">
        <v>0</v>
      </c>
      <c r="H516" s="3">
        <v>0</v>
      </c>
      <c r="I516" s="3" t="s">
        <v>213</v>
      </c>
      <c r="J516" s="3">
        <v>0</v>
      </c>
    </row>
    <row r="517" spans="1:10" x14ac:dyDescent="0.3">
      <c r="A517" t="s">
        <v>9</v>
      </c>
      <c r="B517" t="s">
        <v>289</v>
      </c>
      <c r="C517">
        <v>115</v>
      </c>
      <c r="D517" s="1">
        <v>5.2199999999999996E-2</v>
      </c>
      <c r="E517">
        <v>6</v>
      </c>
      <c r="F517">
        <v>0</v>
      </c>
      <c r="G517" s="2">
        <v>0</v>
      </c>
      <c r="H517" s="3">
        <v>0</v>
      </c>
      <c r="I517" s="3" t="s">
        <v>213</v>
      </c>
      <c r="J517" s="3">
        <v>0</v>
      </c>
    </row>
    <row r="518" spans="1:10" x14ac:dyDescent="0.3">
      <c r="A518" t="s">
        <v>9</v>
      </c>
      <c r="B518" t="s">
        <v>372</v>
      </c>
      <c r="C518">
        <v>46</v>
      </c>
      <c r="D518" s="1">
        <v>8.6999999999999994E-2</v>
      </c>
      <c r="E518">
        <v>4</v>
      </c>
      <c r="F518">
        <v>0</v>
      </c>
      <c r="G518" s="2">
        <v>0</v>
      </c>
      <c r="H518" s="3">
        <v>0</v>
      </c>
      <c r="I518" s="3" t="s">
        <v>213</v>
      </c>
      <c r="J518" s="3">
        <v>0</v>
      </c>
    </row>
    <row r="519" spans="1:10" x14ac:dyDescent="0.3">
      <c r="A519" t="s">
        <v>9</v>
      </c>
      <c r="B519" t="s">
        <v>239</v>
      </c>
      <c r="C519">
        <v>44</v>
      </c>
      <c r="D519" s="1">
        <v>6.8199999999999997E-2</v>
      </c>
      <c r="E519">
        <v>3</v>
      </c>
      <c r="F519">
        <v>0</v>
      </c>
      <c r="G519" s="2">
        <v>0</v>
      </c>
      <c r="H519" s="3">
        <v>0</v>
      </c>
      <c r="I519" s="3" t="s">
        <v>213</v>
      </c>
      <c r="J519" s="3">
        <v>0</v>
      </c>
    </row>
    <row r="520" spans="1:10" x14ac:dyDescent="0.3">
      <c r="A520" t="s">
        <v>9</v>
      </c>
      <c r="B520" t="s">
        <v>316</v>
      </c>
      <c r="C520">
        <v>60</v>
      </c>
      <c r="D520" s="1">
        <v>0.05</v>
      </c>
      <c r="E520">
        <v>3</v>
      </c>
      <c r="F520">
        <v>0</v>
      </c>
      <c r="G520" s="2">
        <v>0</v>
      </c>
      <c r="H520" s="3">
        <v>0</v>
      </c>
      <c r="I520" s="3" t="s">
        <v>213</v>
      </c>
      <c r="J520" s="3">
        <v>0</v>
      </c>
    </row>
    <row r="521" spans="1:10" x14ac:dyDescent="0.3">
      <c r="A521" t="s">
        <v>9</v>
      </c>
      <c r="B521" t="s">
        <v>229</v>
      </c>
      <c r="C521">
        <v>62</v>
      </c>
      <c r="D521" s="1">
        <v>4.8399999999999999E-2</v>
      </c>
      <c r="E521">
        <v>3</v>
      </c>
      <c r="F521">
        <v>0</v>
      </c>
      <c r="G521" s="2">
        <v>0</v>
      </c>
      <c r="H521" s="3">
        <v>0</v>
      </c>
      <c r="I521" s="3" t="s">
        <v>213</v>
      </c>
      <c r="J521" s="3">
        <v>0</v>
      </c>
    </row>
    <row r="522" spans="1:10" x14ac:dyDescent="0.3">
      <c r="A522" t="s">
        <v>9</v>
      </c>
      <c r="B522" t="s">
        <v>318</v>
      </c>
      <c r="C522">
        <v>27</v>
      </c>
      <c r="D522" s="1">
        <v>0.11109999999999999</v>
      </c>
      <c r="E522">
        <v>3</v>
      </c>
      <c r="F522">
        <v>0</v>
      </c>
      <c r="G522" s="2">
        <v>0</v>
      </c>
      <c r="H522" s="3">
        <v>0</v>
      </c>
      <c r="I522" s="3" t="s">
        <v>213</v>
      </c>
      <c r="J522" s="3">
        <v>0</v>
      </c>
    </row>
    <row r="523" spans="1:10" x14ac:dyDescent="0.3">
      <c r="A523" t="s">
        <v>9</v>
      </c>
      <c r="B523" t="s">
        <v>371</v>
      </c>
      <c r="C523">
        <v>37</v>
      </c>
      <c r="D523" s="1">
        <v>5.4100000000000002E-2</v>
      </c>
      <c r="E523">
        <v>2</v>
      </c>
      <c r="F523">
        <v>0</v>
      </c>
      <c r="G523" s="2">
        <v>0</v>
      </c>
      <c r="H523" s="3">
        <v>0</v>
      </c>
      <c r="I523" s="3" t="s">
        <v>213</v>
      </c>
      <c r="J523" s="3">
        <v>0</v>
      </c>
    </row>
    <row r="524" spans="1:10" x14ac:dyDescent="0.3">
      <c r="A524" t="s">
        <v>9</v>
      </c>
      <c r="B524" t="s">
        <v>239</v>
      </c>
      <c r="C524">
        <v>4</v>
      </c>
      <c r="D524" s="1">
        <v>0.25</v>
      </c>
      <c r="E524">
        <v>1</v>
      </c>
      <c r="F524">
        <v>0</v>
      </c>
      <c r="G524" s="2">
        <v>0</v>
      </c>
      <c r="H524" s="3">
        <v>0</v>
      </c>
      <c r="I524" s="3" t="s">
        <v>213</v>
      </c>
      <c r="J524" s="3">
        <v>0</v>
      </c>
    </row>
    <row r="525" spans="1:10" x14ac:dyDescent="0.3">
      <c r="A525" t="s">
        <v>9</v>
      </c>
      <c r="B525" t="s">
        <v>313</v>
      </c>
      <c r="C525">
        <v>68</v>
      </c>
      <c r="D525" s="1">
        <v>1.47E-2</v>
      </c>
      <c r="E525">
        <v>1</v>
      </c>
      <c r="F525">
        <v>0</v>
      </c>
      <c r="G525" s="2">
        <v>0</v>
      </c>
      <c r="H525" s="3">
        <v>0</v>
      </c>
      <c r="I525" s="3" t="s">
        <v>213</v>
      </c>
      <c r="J525" s="3">
        <v>0</v>
      </c>
    </row>
    <row r="526" spans="1:10" x14ac:dyDescent="0.3">
      <c r="A526" t="s">
        <v>9</v>
      </c>
      <c r="B526" t="s">
        <v>256</v>
      </c>
      <c r="C526">
        <v>35</v>
      </c>
      <c r="D526" s="1">
        <v>2.86E-2</v>
      </c>
      <c r="E526">
        <v>1</v>
      </c>
      <c r="F526">
        <v>0</v>
      </c>
      <c r="G526" s="2">
        <v>0</v>
      </c>
      <c r="H526" s="3">
        <v>0</v>
      </c>
      <c r="I526" s="3" t="s">
        <v>213</v>
      </c>
      <c r="J526" s="3">
        <v>0</v>
      </c>
    </row>
    <row r="527" spans="1:10" x14ac:dyDescent="0.3">
      <c r="A527" t="s">
        <v>9</v>
      </c>
      <c r="B527" t="s">
        <v>227</v>
      </c>
      <c r="C527">
        <v>72</v>
      </c>
      <c r="D527" s="1">
        <v>1.3899999999999999E-2</v>
      </c>
      <c r="E527">
        <v>1</v>
      </c>
      <c r="F527">
        <v>0</v>
      </c>
      <c r="G527" s="2">
        <v>0</v>
      </c>
      <c r="H527" s="3">
        <v>0</v>
      </c>
      <c r="I527" s="3" t="s">
        <v>213</v>
      </c>
      <c r="J527" s="3">
        <v>0</v>
      </c>
    </row>
    <row r="528" spans="1:10" x14ac:dyDescent="0.3">
      <c r="A528" t="s">
        <v>9</v>
      </c>
      <c r="B528" t="s">
        <v>370</v>
      </c>
      <c r="C528">
        <v>8</v>
      </c>
      <c r="D528" s="1">
        <v>0.125</v>
      </c>
      <c r="E528">
        <v>1</v>
      </c>
      <c r="F528">
        <v>0</v>
      </c>
      <c r="G528" s="2">
        <v>0</v>
      </c>
      <c r="H528" s="3">
        <v>0</v>
      </c>
      <c r="I528" s="3" t="s">
        <v>213</v>
      </c>
      <c r="J528" s="3">
        <v>0</v>
      </c>
    </row>
    <row r="529" spans="1:10" x14ac:dyDescent="0.3">
      <c r="A529" t="s">
        <v>9</v>
      </c>
      <c r="B529" t="s">
        <v>318</v>
      </c>
      <c r="C529">
        <v>20</v>
      </c>
      <c r="D529" s="1">
        <v>0.05</v>
      </c>
      <c r="E529">
        <v>1</v>
      </c>
      <c r="F529">
        <v>0</v>
      </c>
      <c r="G529" s="2">
        <v>0</v>
      </c>
      <c r="H529" s="3">
        <v>0</v>
      </c>
      <c r="I529" s="3" t="s">
        <v>213</v>
      </c>
      <c r="J529" s="3">
        <v>0</v>
      </c>
    </row>
    <row r="530" spans="1:10" x14ac:dyDescent="0.3">
      <c r="A530" t="s">
        <v>9</v>
      </c>
      <c r="B530" t="s">
        <v>313</v>
      </c>
      <c r="C530">
        <v>7</v>
      </c>
      <c r="D530" s="1">
        <v>0</v>
      </c>
      <c r="E530">
        <v>0</v>
      </c>
      <c r="F530">
        <v>0</v>
      </c>
      <c r="G530" s="2">
        <v>0</v>
      </c>
      <c r="H530" s="3" t="s">
        <v>213</v>
      </c>
      <c r="I530" s="3" t="s">
        <v>213</v>
      </c>
      <c r="J530" s="3">
        <v>0</v>
      </c>
    </row>
    <row r="531" spans="1:10" x14ac:dyDescent="0.3">
      <c r="A531" t="s">
        <v>9</v>
      </c>
      <c r="B531" t="s">
        <v>371</v>
      </c>
      <c r="C531">
        <v>13</v>
      </c>
      <c r="D531" s="1">
        <v>0</v>
      </c>
      <c r="E531">
        <v>0</v>
      </c>
      <c r="F531">
        <v>0</v>
      </c>
      <c r="G531" s="2">
        <v>0</v>
      </c>
      <c r="H531" s="3" t="s">
        <v>213</v>
      </c>
      <c r="I531" s="3" t="s">
        <v>213</v>
      </c>
      <c r="J531" s="3">
        <v>0</v>
      </c>
    </row>
    <row r="532" spans="1:10" x14ac:dyDescent="0.3">
      <c r="A532" t="s">
        <v>9</v>
      </c>
      <c r="B532" t="s">
        <v>227</v>
      </c>
      <c r="C532">
        <v>11</v>
      </c>
      <c r="D532" s="1">
        <v>0</v>
      </c>
      <c r="E532">
        <v>0</v>
      </c>
      <c r="F532">
        <v>0</v>
      </c>
      <c r="G532" s="2">
        <v>0</v>
      </c>
      <c r="H532" s="3" t="s">
        <v>213</v>
      </c>
      <c r="I532" s="3" t="s">
        <v>213</v>
      </c>
      <c r="J532" s="3">
        <v>0</v>
      </c>
    </row>
    <row r="533" spans="1:10" x14ac:dyDescent="0.3">
      <c r="A533" t="s">
        <v>9</v>
      </c>
      <c r="B533" t="s">
        <v>229</v>
      </c>
      <c r="C533">
        <v>11</v>
      </c>
      <c r="D533" s="1">
        <v>0</v>
      </c>
      <c r="E533">
        <v>0</v>
      </c>
      <c r="F533">
        <v>0</v>
      </c>
      <c r="G533" s="2">
        <v>0</v>
      </c>
      <c r="H533" s="3" t="s">
        <v>213</v>
      </c>
      <c r="I533" s="3" t="s">
        <v>213</v>
      </c>
      <c r="J533" s="3">
        <v>0</v>
      </c>
    </row>
    <row r="534" spans="1:10" x14ac:dyDescent="0.3">
      <c r="A534" t="s">
        <v>497</v>
      </c>
      <c r="B534" t="s">
        <v>421</v>
      </c>
      <c r="C534">
        <v>0</v>
      </c>
      <c r="D534" s="1">
        <v>0</v>
      </c>
      <c r="E534">
        <v>0</v>
      </c>
      <c r="F534">
        <v>0</v>
      </c>
      <c r="G534" s="2">
        <v>0</v>
      </c>
      <c r="H534" s="3" t="s">
        <v>213</v>
      </c>
      <c r="I534" s="3" t="s">
        <v>213</v>
      </c>
      <c r="J534" s="3">
        <v>0</v>
      </c>
    </row>
    <row r="535" spans="1:10" x14ac:dyDescent="0.3">
      <c r="A535" t="s">
        <v>497</v>
      </c>
      <c r="B535" t="s">
        <v>215</v>
      </c>
      <c r="C535">
        <v>1</v>
      </c>
      <c r="D535" s="1">
        <v>0</v>
      </c>
      <c r="E535">
        <v>0</v>
      </c>
      <c r="F535">
        <v>0</v>
      </c>
      <c r="G535" s="2">
        <v>0</v>
      </c>
      <c r="H535" s="3" t="s">
        <v>213</v>
      </c>
      <c r="I535" s="3" t="s">
        <v>213</v>
      </c>
      <c r="J535" s="3">
        <v>0</v>
      </c>
    </row>
    <row r="536" spans="1:10" x14ac:dyDescent="0.3">
      <c r="A536" t="s">
        <v>497</v>
      </c>
      <c r="B536" t="s">
        <v>215</v>
      </c>
      <c r="C536">
        <v>215</v>
      </c>
      <c r="D536" s="1">
        <v>2.7900000000000001E-2</v>
      </c>
      <c r="E536">
        <v>6</v>
      </c>
      <c r="F536">
        <v>0</v>
      </c>
      <c r="G536" s="2">
        <v>0</v>
      </c>
      <c r="H536" s="3">
        <v>0</v>
      </c>
      <c r="I536" s="3" t="s">
        <v>213</v>
      </c>
      <c r="J536" s="3">
        <v>0</v>
      </c>
    </row>
    <row r="537" spans="1:10" x14ac:dyDescent="0.3">
      <c r="A537" t="s">
        <v>497</v>
      </c>
      <c r="B537" t="s">
        <v>215</v>
      </c>
      <c r="C537">
        <v>57</v>
      </c>
      <c r="D537" s="1">
        <v>3.5099999999999999E-2</v>
      </c>
      <c r="E537">
        <v>2</v>
      </c>
      <c r="F537">
        <v>0</v>
      </c>
      <c r="G537" s="2">
        <v>0</v>
      </c>
      <c r="H537" s="3">
        <v>0</v>
      </c>
      <c r="I537" s="3" t="s">
        <v>213</v>
      </c>
      <c r="J537" s="3">
        <v>0</v>
      </c>
    </row>
    <row r="538" spans="1:10" x14ac:dyDescent="0.3">
      <c r="A538" t="s">
        <v>497</v>
      </c>
      <c r="B538" t="s">
        <v>212</v>
      </c>
      <c r="C538">
        <v>88</v>
      </c>
      <c r="D538" s="1">
        <v>1.1399999999999999E-2</v>
      </c>
      <c r="E538">
        <v>1</v>
      </c>
      <c r="F538">
        <v>0</v>
      </c>
      <c r="G538" s="2">
        <v>0</v>
      </c>
      <c r="H538" s="3">
        <v>0</v>
      </c>
      <c r="I538" s="3" t="s">
        <v>213</v>
      </c>
      <c r="J538" s="3">
        <v>0</v>
      </c>
    </row>
    <row r="539" spans="1:10" x14ac:dyDescent="0.3">
      <c r="A539" t="s">
        <v>497</v>
      </c>
      <c r="B539" t="s">
        <v>223</v>
      </c>
      <c r="C539">
        <v>29</v>
      </c>
      <c r="D539" s="1">
        <v>0</v>
      </c>
      <c r="E539">
        <v>0</v>
      </c>
      <c r="F539">
        <v>0</v>
      </c>
      <c r="G539" s="2">
        <v>0</v>
      </c>
      <c r="H539" s="3" t="s">
        <v>213</v>
      </c>
      <c r="I539" s="3" t="s">
        <v>213</v>
      </c>
      <c r="J539" s="3">
        <v>0</v>
      </c>
    </row>
    <row r="540" spans="1:10" x14ac:dyDescent="0.3">
      <c r="A540" t="s">
        <v>497</v>
      </c>
      <c r="B540" t="s">
        <v>215</v>
      </c>
      <c r="C540">
        <v>36</v>
      </c>
      <c r="D540" s="1">
        <v>0</v>
      </c>
      <c r="E540">
        <v>0</v>
      </c>
      <c r="F540">
        <v>0</v>
      </c>
      <c r="G540" s="2">
        <v>0</v>
      </c>
      <c r="H540" s="3" t="s">
        <v>213</v>
      </c>
      <c r="I540" s="3" t="s">
        <v>213</v>
      </c>
      <c r="J540" s="3">
        <v>0</v>
      </c>
    </row>
    <row r="541" spans="1:10" x14ac:dyDescent="0.3">
      <c r="A541" t="s">
        <v>497</v>
      </c>
      <c r="B541" t="s">
        <v>223</v>
      </c>
      <c r="C541">
        <v>56</v>
      </c>
      <c r="D541" s="1">
        <v>0.10710000000000001</v>
      </c>
      <c r="E541">
        <v>6</v>
      </c>
      <c r="F541">
        <v>1</v>
      </c>
      <c r="G541" s="2">
        <v>0.16670000000000001</v>
      </c>
      <c r="H541" s="3">
        <v>0.37</v>
      </c>
      <c r="I541" s="3">
        <v>2.23</v>
      </c>
      <c r="J541" s="3">
        <v>2.23</v>
      </c>
    </row>
    <row r="542" spans="1:10" x14ac:dyDescent="0.3">
      <c r="A542" t="s">
        <v>497</v>
      </c>
      <c r="B542" t="s">
        <v>215</v>
      </c>
      <c r="C542">
        <v>90</v>
      </c>
      <c r="D542" s="1">
        <v>6.6699999999999995E-2</v>
      </c>
      <c r="E542">
        <v>6</v>
      </c>
      <c r="F542">
        <v>0</v>
      </c>
      <c r="G542" s="2">
        <v>0</v>
      </c>
      <c r="H542" s="3">
        <v>0</v>
      </c>
      <c r="I542" s="3" t="s">
        <v>213</v>
      </c>
      <c r="J542" s="3">
        <v>0</v>
      </c>
    </row>
    <row r="543" spans="1:10" x14ac:dyDescent="0.3">
      <c r="A543" t="s">
        <v>497</v>
      </c>
      <c r="B543" t="s">
        <v>212</v>
      </c>
      <c r="C543">
        <v>90</v>
      </c>
      <c r="D543" s="1">
        <v>5.5599999999999997E-2</v>
      </c>
      <c r="E543">
        <v>5</v>
      </c>
      <c r="F543">
        <v>0</v>
      </c>
      <c r="G543" s="2">
        <v>0</v>
      </c>
      <c r="H543" s="3">
        <v>0</v>
      </c>
      <c r="I543" s="3" t="s">
        <v>213</v>
      </c>
      <c r="J543" s="3">
        <v>0</v>
      </c>
    </row>
    <row r="544" spans="1:10" x14ac:dyDescent="0.3">
      <c r="A544" t="s">
        <v>38</v>
      </c>
      <c r="B544" t="s">
        <v>233</v>
      </c>
      <c r="C544">
        <v>630</v>
      </c>
      <c r="D544" s="1">
        <v>5.7099999999999998E-2</v>
      </c>
      <c r="E544">
        <v>36</v>
      </c>
      <c r="F544">
        <v>4</v>
      </c>
      <c r="G544" s="2">
        <v>0.11109999999999999</v>
      </c>
      <c r="H544" s="3">
        <v>0.25</v>
      </c>
      <c r="I544" s="3">
        <v>2.21</v>
      </c>
      <c r="J544" s="3">
        <v>8.84</v>
      </c>
    </row>
    <row r="545" spans="1:10" x14ac:dyDescent="0.3">
      <c r="A545" t="s">
        <v>42</v>
      </c>
      <c r="B545" t="s">
        <v>218</v>
      </c>
      <c r="C545">
        <v>359</v>
      </c>
      <c r="D545" s="1">
        <v>6.13E-2</v>
      </c>
      <c r="E545">
        <v>22</v>
      </c>
      <c r="F545">
        <v>3</v>
      </c>
      <c r="G545" s="2">
        <v>0.13639999999999999</v>
      </c>
      <c r="H545" s="3">
        <v>1.53</v>
      </c>
      <c r="I545" s="3">
        <v>11.21</v>
      </c>
      <c r="J545" s="3">
        <v>33.619999999999997</v>
      </c>
    </row>
    <row r="546" spans="1:10" x14ac:dyDescent="0.3">
      <c r="A546" t="s">
        <v>8</v>
      </c>
      <c r="B546" t="s">
        <v>272</v>
      </c>
      <c r="C546">
        <v>53</v>
      </c>
      <c r="D546" s="1">
        <v>1.89E-2</v>
      </c>
      <c r="E546">
        <v>1</v>
      </c>
      <c r="F546">
        <v>0</v>
      </c>
      <c r="G546" s="2">
        <v>0</v>
      </c>
      <c r="H546" s="3">
        <v>0</v>
      </c>
      <c r="I546" s="3" t="s">
        <v>213</v>
      </c>
      <c r="J546" s="3">
        <v>0</v>
      </c>
    </row>
    <row r="547" spans="1:10" x14ac:dyDescent="0.3">
      <c r="A547" t="s">
        <v>8</v>
      </c>
      <c r="B547" t="s">
        <v>242</v>
      </c>
      <c r="C547">
        <v>25</v>
      </c>
      <c r="D547" s="1">
        <v>0.12</v>
      </c>
      <c r="E547">
        <v>3</v>
      </c>
      <c r="F547">
        <v>0</v>
      </c>
      <c r="G547" s="2">
        <v>0</v>
      </c>
      <c r="H547" s="3">
        <v>0</v>
      </c>
      <c r="I547" s="3" t="s">
        <v>213</v>
      </c>
      <c r="J547" s="3">
        <v>0</v>
      </c>
    </row>
    <row r="548" spans="1:10" x14ac:dyDescent="0.3">
      <c r="A548" t="s">
        <v>8</v>
      </c>
      <c r="B548" t="s">
        <v>223</v>
      </c>
      <c r="C548">
        <v>234</v>
      </c>
      <c r="D548" s="1">
        <v>2.5600000000000001E-2</v>
      </c>
      <c r="E548">
        <v>6</v>
      </c>
      <c r="F548">
        <v>1</v>
      </c>
      <c r="G548" s="2">
        <v>0.16670000000000001</v>
      </c>
      <c r="H548" s="3">
        <v>0.82</v>
      </c>
      <c r="I548" s="3">
        <v>4.9400000000000004</v>
      </c>
      <c r="J548" s="3">
        <v>4.9400000000000004</v>
      </c>
    </row>
    <row r="549" spans="1:10" x14ac:dyDescent="0.3">
      <c r="A549" t="s">
        <v>8</v>
      </c>
      <c r="B549" t="s">
        <v>223</v>
      </c>
      <c r="C549">
        <v>49</v>
      </c>
      <c r="D549" s="1">
        <v>2.0400000000000001E-2</v>
      </c>
      <c r="E549">
        <v>1</v>
      </c>
      <c r="F549">
        <v>0</v>
      </c>
      <c r="G549" s="2">
        <v>0</v>
      </c>
      <c r="H549" s="3">
        <v>0</v>
      </c>
      <c r="I549" s="3" t="s">
        <v>213</v>
      </c>
      <c r="J549" s="3">
        <v>0</v>
      </c>
    </row>
    <row r="550" spans="1:10" x14ac:dyDescent="0.3">
      <c r="A550" t="s">
        <v>8</v>
      </c>
      <c r="B550" t="s">
        <v>233</v>
      </c>
      <c r="C550">
        <v>2219</v>
      </c>
      <c r="D550" s="1">
        <v>0.16399999999999998</v>
      </c>
      <c r="E550">
        <v>364</v>
      </c>
      <c r="F550">
        <v>26</v>
      </c>
      <c r="G550" s="2">
        <v>7.1399999999999991E-2</v>
      </c>
      <c r="H550" s="3">
        <v>0.16</v>
      </c>
      <c r="I550" s="3">
        <v>2.2999999999999998</v>
      </c>
      <c r="J550" s="3">
        <v>59.82</v>
      </c>
    </row>
    <row r="551" spans="1:10" x14ac:dyDescent="0.3">
      <c r="A551" t="s">
        <v>8</v>
      </c>
      <c r="B551" t="s">
        <v>212</v>
      </c>
      <c r="C551">
        <v>3016</v>
      </c>
      <c r="D551" s="1">
        <v>0.1426</v>
      </c>
      <c r="E551">
        <v>430</v>
      </c>
      <c r="F551">
        <v>23</v>
      </c>
      <c r="G551" s="2">
        <v>5.3499999999999999E-2</v>
      </c>
      <c r="H551" s="3">
        <v>0.13</v>
      </c>
      <c r="I551" s="3">
        <v>2.37</v>
      </c>
      <c r="J551" s="3">
        <v>54.57</v>
      </c>
    </row>
    <row r="552" spans="1:10" x14ac:dyDescent="0.3">
      <c r="A552" t="s">
        <v>8</v>
      </c>
      <c r="B552" t="s">
        <v>233</v>
      </c>
      <c r="C552">
        <v>3928</v>
      </c>
      <c r="D552" s="1">
        <v>9.5700000000000007E-2</v>
      </c>
      <c r="E552">
        <v>376</v>
      </c>
      <c r="F552">
        <v>19</v>
      </c>
      <c r="G552" s="2">
        <v>5.0499999999999996E-2</v>
      </c>
      <c r="H552" s="3">
        <v>0.44</v>
      </c>
      <c r="I552" s="3">
        <v>8.74</v>
      </c>
      <c r="J552" s="3">
        <v>166.11</v>
      </c>
    </row>
    <row r="553" spans="1:10" x14ac:dyDescent="0.3">
      <c r="A553" t="s">
        <v>8</v>
      </c>
      <c r="B553" t="s">
        <v>233</v>
      </c>
      <c r="C553">
        <v>2726</v>
      </c>
      <c r="D553" s="1">
        <v>7.0400000000000004E-2</v>
      </c>
      <c r="E553">
        <v>192</v>
      </c>
      <c r="F553">
        <v>17</v>
      </c>
      <c r="G553" s="2">
        <v>8.8499999999999995E-2</v>
      </c>
      <c r="H553" s="3">
        <v>1.04</v>
      </c>
      <c r="I553" s="3">
        <v>11.72</v>
      </c>
      <c r="J553" s="3">
        <v>199.16</v>
      </c>
    </row>
    <row r="554" spans="1:10" x14ac:dyDescent="0.3">
      <c r="A554" t="s">
        <v>8</v>
      </c>
      <c r="B554" t="s">
        <v>248</v>
      </c>
      <c r="C554">
        <v>1777</v>
      </c>
      <c r="D554" s="1">
        <v>7.0300000000000001E-2</v>
      </c>
      <c r="E554">
        <v>125</v>
      </c>
      <c r="F554">
        <v>15</v>
      </c>
      <c r="G554" s="2">
        <v>0.12</v>
      </c>
      <c r="H554" s="3">
        <v>1.75</v>
      </c>
      <c r="I554" s="3">
        <v>14.59</v>
      </c>
      <c r="J554" s="3">
        <v>218.78</v>
      </c>
    </row>
    <row r="555" spans="1:10" x14ac:dyDescent="0.3">
      <c r="A555" t="s">
        <v>8</v>
      </c>
      <c r="B555" t="s">
        <v>221</v>
      </c>
      <c r="C555">
        <v>1967</v>
      </c>
      <c r="D555" s="1">
        <v>8.3400000000000002E-2</v>
      </c>
      <c r="E555">
        <v>164</v>
      </c>
      <c r="F555">
        <v>11</v>
      </c>
      <c r="G555" s="2">
        <v>6.7099999999999993E-2</v>
      </c>
      <c r="H555" s="3">
        <v>0.56000000000000005</v>
      </c>
      <c r="I555" s="3">
        <v>8.34</v>
      </c>
      <c r="J555" s="3">
        <v>91.79</v>
      </c>
    </row>
    <row r="556" spans="1:10" x14ac:dyDescent="0.3">
      <c r="A556" t="s">
        <v>8</v>
      </c>
      <c r="B556" t="s">
        <v>261</v>
      </c>
      <c r="C556">
        <v>442</v>
      </c>
      <c r="D556" s="1">
        <v>0.16519999999999999</v>
      </c>
      <c r="E556">
        <v>73</v>
      </c>
      <c r="F556">
        <v>8</v>
      </c>
      <c r="G556" s="2">
        <v>0.1096</v>
      </c>
      <c r="H556" s="3">
        <v>0.18</v>
      </c>
      <c r="I556" s="3">
        <v>1.64</v>
      </c>
      <c r="J556" s="3">
        <v>13.08</v>
      </c>
    </row>
    <row r="557" spans="1:10" x14ac:dyDescent="0.3">
      <c r="A557" t="s">
        <v>8</v>
      </c>
      <c r="B557" t="s">
        <v>212</v>
      </c>
      <c r="C557">
        <v>972</v>
      </c>
      <c r="D557" s="1">
        <v>0.15640000000000001</v>
      </c>
      <c r="E557">
        <v>152</v>
      </c>
      <c r="F557">
        <v>7</v>
      </c>
      <c r="G557" s="2">
        <v>4.6100000000000002E-2</v>
      </c>
      <c r="H557" s="3">
        <v>0.19</v>
      </c>
      <c r="I557" s="3">
        <v>4.03</v>
      </c>
      <c r="J557" s="3">
        <v>28.19</v>
      </c>
    </row>
    <row r="558" spans="1:10" x14ac:dyDescent="0.3">
      <c r="A558" t="s">
        <v>8</v>
      </c>
      <c r="B558" t="s">
        <v>223</v>
      </c>
      <c r="C558">
        <v>367</v>
      </c>
      <c r="D558" s="1">
        <v>0.11990000000000001</v>
      </c>
      <c r="E558">
        <v>44</v>
      </c>
      <c r="F558">
        <v>2</v>
      </c>
      <c r="G558" s="2">
        <v>4.5499999999999999E-2</v>
      </c>
      <c r="H558" s="3">
        <v>0.32</v>
      </c>
      <c r="I558" s="3">
        <v>7.14</v>
      </c>
      <c r="J558" s="3">
        <v>14.27</v>
      </c>
    </row>
    <row r="559" spans="1:10" x14ac:dyDescent="0.3">
      <c r="A559" t="s">
        <v>8</v>
      </c>
      <c r="B559" t="s">
        <v>221</v>
      </c>
      <c r="C559">
        <v>99</v>
      </c>
      <c r="D559" s="1">
        <v>4.0399999999999998E-2</v>
      </c>
      <c r="E559">
        <v>4</v>
      </c>
      <c r="F559">
        <v>0</v>
      </c>
      <c r="G559" s="2">
        <v>0</v>
      </c>
      <c r="H559" s="3">
        <v>0</v>
      </c>
      <c r="I559" s="3" t="s">
        <v>213</v>
      </c>
      <c r="J559" s="3">
        <v>0</v>
      </c>
    </row>
    <row r="560" spans="1:10" x14ac:dyDescent="0.3">
      <c r="A560" t="s">
        <v>8</v>
      </c>
      <c r="B560" t="s">
        <v>359</v>
      </c>
      <c r="C560">
        <v>466</v>
      </c>
      <c r="D560" s="1">
        <v>4.0800000000000003E-2</v>
      </c>
      <c r="E560">
        <v>19</v>
      </c>
      <c r="F560">
        <v>2</v>
      </c>
      <c r="G560" s="2">
        <v>0.10529999999999999</v>
      </c>
      <c r="H560" s="3">
        <v>0.57999999999999996</v>
      </c>
      <c r="I560" s="3">
        <v>5.5</v>
      </c>
      <c r="J560" s="3">
        <v>11</v>
      </c>
    </row>
    <row r="561" spans="1:10" x14ac:dyDescent="0.3">
      <c r="A561" t="s">
        <v>8</v>
      </c>
      <c r="B561" t="s">
        <v>242</v>
      </c>
      <c r="C561">
        <v>148</v>
      </c>
      <c r="D561" s="1">
        <v>2.7000000000000003E-2</v>
      </c>
      <c r="E561">
        <v>4</v>
      </c>
      <c r="F561">
        <v>0</v>
      </c>
      <c r="G561" s="2">
        <v>0</v>
      </c>
      <c r="H561" s="3">
        <v>0</v>
      </c>
      <c r="I561" s="3" t="s">
        <v>213</v>
      </c>
      <c r="J561" s="3">
        <v>0</v>
      </c>
    </row>
    <row r="562" spans="1:10" x14ac:dyDescent="0.3">
      <c r="A562" t="s">
        <v>8</v>
      </c>
      <c r="B562" t="s">
        <v>242</v>
      </c>
      <c r="C562">
        <v>113</v>
      </c>
      <c r="D562" s="1">
        <v>0</v>
      </c>
      <c r="E562">
        <v>0</v>
      </c>
      <c r="F562">
        <v>0</v>
      </c>
      <c r="G562" s="2">
        <v>0</v>
      </c>
      <c r="H562" s="3" t="s">
        <v>213</v>
      </c>
      <c r="I562" s="3" t="s">
        <v>213</v>
      </c>
      <c r="J562" s="3">
        <v>0</v>
      </c>
    </row>
    <row r="563" spans="1:10" x14ac:dyDescent="0.3">
      <c r="A563" t="s">
        <v>8</v>
      </c>
      <c r="B563" t="s">
        <v>272</v>
      </c>
      <c r="C563">
        <v>144</v>
      </c>
      <c r="D563" s="1">
        <v>2.0799999999999999E-2</v>
      </c>
      <c r="E563">
        <v>3</v>
      </c>
      <c r="F563">
        <v>1</v>
      </c>
      <c r="G563" s="2">
        <v>0.33329999999999999</v>
      </c>
      <c r="H563" s="3">
        <v>5.19</v>
      </c>
      <c r="I563" s="3">
        <v>15.56</v>
      </c>
      <c r="J563" s="3">
        <v>15.56</v>
      </c>
    </row>
    <row r="564" spans="1:10" x14ac:dyDescent="0.3">
      <c r="A564" t="s">
        <v>8</v>
      </c>
      <c r="B564" t="s">
        <v>233</v>
      </c>
      <c r="C564">
        <v>989</v>
      </c>
      <c r="D564" s="1">
        <v>8.5900000000000004E-2</v>
      </c>
      <c r="E564">
        <v>85</v>
      </c>
      <c r="F564">
        <v>3</v>
      </c>
      <c r="G564" s="2">
        <v>3.5299999999999998E-2</v>
      </c>
      <c r="H564" s="3">
        <v>0.11</v>
      </c>
      <c r="I564" s="3">
        <v>3.11</v>
      </c>
      <c r="J564" s="3">
        <v>9.34</v>
      </c>
    </row>
    <row r="565" spans="1:10" x14ac:dyDescent="0.3">
      <c r="A565" t="s">
        <v>8</v>
      </c>
      <c r="B565" t="s">
        <v>218</v>
      </c>
      <c r="C565">
        <v>324</v>
      </c>
      <c r="D565" s="1">
        <v>4.6300000000000001E-2</v>
      </c>
      <c r="E565">
        <v>15</v>
      </c>
      <c r="F565">
        <v>3</v>
      </c>
      <c r="G565" s="2">
        <v>0.2</v>
      </c>
      <c r="H565" s="3">
        <v>1.33</v>
      </c>
      <c r="I565" s="3">
        <v>6.67</v>
      </c>
      <c r="J565" s="3">
        <v>20.02</v>
      </c>
    </row>
    <row r="566" spans="1:10" x14ac:dyDescent="0.3">
      <c r="A566" t="s">
        <v>8</v>
      </c>
      <c r="B566" t="s">
        <v>223</v>
      </c>
      <c r="C566">
        <v>1978</v>
      </c>
      <c r="D566" s="1">
        <v>7.9399999999999998E-2</v>
      </c>
      <c r="E566">
        <v>157</v>
      </c>
      <c r="F566">
        <v>7</v>
      </c>
      <c r="G566" s="2">
        <v>4.4600000000000001E-2</v>
      </c>
      <c r="H566" s="3">
        <v>0.71</v>
      </c>
      <c r="I566" s="3">
        <v>15.99</v>
      </c>
      <c r="J566" s="3">
        <v>111.91</v>
      </c>
    </row>
    <row r="567" spans="1:10" x14ac:dyDescent="0.3">
      <c r="A567" t="s">
        <v>8</v>
      </c>
      <c r="B567" t="s">
        <v>223</v>
      </c>
      <c r="C567">
        <v>2898</v>
      </c>
      <c r="D567" s="1">
        <v>5.6900000000000006E-2</v>
      </c>
      <c r="E567">
        <v>165</v>
      </c>
      <c r="F567">
        <v>5</v>
      </c>
      <c r="G567" s="2">
        <v>3.0299999999999997E-2</v>
      </c>
      <c r="H567" s="3">
        <v>0.28000000000000003</v>
      </c>
      <c r="I567" s="3">
        <v>9.36</v>
      </c>
      <c r="J567" s="3">
        <v>46.82</v>
      </c>
    </row>
    <row r="568" spans="1:10" x14ac:dyDescent="0.3">
      <c r="A568" t="s">
        <v>8</v>
      </c>
      <c r="B568" t="s">
        <v>223</v>
      </c>
      <c r="C568">
        <v>152</v>
      </c>
      <c r="D568" s="1">
        <v>5.2600000000000001E-2</v>
      </c>
      <c r="E568">
        <v>8</v>
      </c>
      <c r="F568">
        <v>1</v>
      </c>
      <c r="G568" s="2">
        <v>0.125</v>
      </c>
      <c r="H568" s="3">
        <v>1.67</v>
      </c>
      <c r="I568" s="3">
        <v>13.39</v>
      </c>
      <c r="J568" s="3">
        <v>13.39</v>
      </c>
    </row>
    <row r="569" spans="1:10" x14ac:dyDescent="0.3">
      <c r="A569" t="s">
        <v>8</v>
      </c>
      <c r="B569" t="s">
        <v>223</v>
      </c>
      <c r="C569">
        <v>170</v>
      </c>
      <c r="D569" s="1">
        <v>5.8799999999999998E-2</v>
      </c>
      <c r="E569">
        <v>10</v>
      </c>
      <c r="F569">
        <v>0</v>
      </c>
      <c r="G569" s="2">
        <v>0</v>
      </c>
      <c r="H569" s="3">
        <v>0</v>
      </c>
      <c r="I569" s="3" t="s">
        <v>213</v>
      </c>
      <c r="J569" s="3">
        <v>0</v>
      </c>
    </row>
    <row r="570" spans="1:10" x14ac:dyDescent="0.3">
      <c r="A570" t="s">
        <v>8</v>
      </c>
      <c r="B570" t="s">
        <v>223</v>
      </c>
      <c r="C570">
        <v>51</v>
      </c>
      <c r="D570" s="1">
        <v>0.1176</v>
      </c>
      <c r="E570">
        <v>6</v>
      </c>
      <c r="F570">
        <v>0</v>
      </c>
      <c r="G570" s="2">
        <v>0</v>
      </c>
      <c r="H570" s="3">
        <v>0</v>
      </c>
      <c r="I570" s="3" t="s">
        <v>213</v>
      </c>
      <c r="J570" s="3">
        <v>0</v>
      </c>
    </row>
    <row r="571" spans="1:10" x14ac:dyDescent="0.3">
      <c r="A571" t="s">
        <v>96</v>
      </c>
      <c r="B571" t="s">
        <v>247</v>
      </c>
      <c r="C571">
        <v>156</v>
      </c>
      <c r="D571" s="1">
        <v>8.9700000000000002E-2</v>
      </c>
      <c r="E571">
        <v>14</v>
      </c>
      <c r="F571">
        <v>2</v>
      </c>
      <c r="G571" s="2">
        <v>0.1429</v>
      </c>
      <c r="H571" s="3">
        <v>0.85</v>
      </c>
      <c r="I571" s="3">
        <v>5.97</v>
      </c>
      <c r="J571" s="3">
        <v>11.94</v>
      </c>
    </row>
    <row r="572" spans="1:10" x14ac:dyDescent="0.3">
      <c r="A572" t="s">
        <v>96</v>
      </c>
      <c r="B572" t="s">
        <v>247</v>
      </c>
      <c r="C572">
        <v>132</v>
      </c>
      <c r="D572" s="1">
        <v>6.8199999999999997E-2</v>
      </c>
      <c r="E572">
        <v>9</v>
      </c>
      <c r="F572">
        <v>0</v>
      </c>
      <c r="G572" s="2">
        <v>0</v>
      </c>
      <c r="H572" s="3">
        <v>0</v>
      </c>
      <c r="I572" s="3" t="s">
        <v>213</v>
      </c>
      <c r="J572" s="3">
        <v>0</v>
      </c>
    </row>
    <row r="573" spans="1:10" x14ac:dyDescent="0.3">
      <c r="A573" t="s">
        <v>42</v>
      </c>
      <c r="B573" t="s">
        <v>235</v>
      </c>
      <c r="C573">
        <v>205</v>
      </c>
      <c r="D573" s="1">
        <v>7.3200000000000001E-2</v>
      </c>
      <c r="E573">
        <v>15</v>
      </c>
      <c r="F573">
        <v>0</v>
      </c>
      <c r="G573" s="2">
        <v>0</v>
      </c>
      <c r="H573" s="3">
        <v>0</v>
      </c>
      <c r="I573" s="3" t="s">
        <v>213</v>
      </c>
      <c r="J573" s="3">
        <v>0</v>
      </c>
    </row>
    <row r="574" spans="1:10" x14ac:dyDescent="0.3">
      <c r="A574" t="s">
        <v>42</v>
      </c>
      <c r="B574" t="s">
        <v>236</v>
      </c>
      <c r="C574">
        <v>37</v>
      </c>
      <c r="D574" s="1">
        <v>5.4100000000000002E-2</v>
      </c>
      <c r="E574">
        <v>2</v>
      </c>
      <c r="F574">
        <v>0</v>
      </c>
      <c r="G574" s="2">
        <v>0</v>
      </c>
      <c r="H574" s="3">
        <v>0</v>
      </c>
      <c r="I574" s="3" t="s">
        <v>213</v>
      </c>
      <c r="J574" s="3">
        <v>0</v>
      </c>
    </row>
    <row r="575" spans="1:10" x14ac:dyDescent="0.3">
      <c r="A575" t="s">
        <v>42</v>
      </c>
      <c r="B575" t="s">
        <v>223</v>
      </c>
      <c r="C575">
        <v>8</v>
      </c>
      <c r="D575" s="1">
        <v>0.125</v>
      </c>
      <c r="E575">
        <v>1</v>
      </c>
      <c r="F575">
        <v>0</v>
      </c>
      <c r="G575" s="2">
        <v>0</v>
      </c>
      <c r="H575" s="3">
        <v>0</v>
      </c>
      <c r="I575" s="3" t="s">
        <v>213</v>
      </c>
      <c r="J575" s="3">
        <v>0</v>
      </c>
    </row>
    <row r="576" spans="1:10" x14ac:dyDescent="0.3">
      <c r="A576" t="s">
        <v>42</v>
      </c>
      <c r="B576" t="s">
        <v>235</v>
      </c>
      <c r="C576">
        <v>29</v>
      </c>
      <c r="D576" s="1">
        <v>3.4500000000000003E-2</v>
      </c>
      <c r="E576">
        <v>1</v>
      </c>
      <c r="F576">
        <v>0</v>
      </c>
      <c r="G576" s="2">
        <v>0</v>
      </c>
      <c r="H576" s="3">
        <v>0</v>
      </c>
      <c r="I576" s="3" t="s">
        <v>213</v>
      </c>
      <c r="J576" s="3">
        <v>0</v>
      </c>
    </row>
    <row r="577" spans="1:10" x14ac:dyDescent="0.3">
      <c r="A577" t="s">
        <v>42</v>
      </c>
      <c r="B577" t="s">
        <v>272</v>
      </c>
      <c r="C577">
        <v>4</v>
      </c>
      <c r="D577" s="1">
        <v>0</v>
      </c>
      <c r="E577">
        <v>0</v>
      </c>
      <c r="F577">
        <v>0</v>
      </c>
      <c r="G577" s="2">
        <v>0</v>
      </c>
      <c r="H577" s="3" t="s">
        <v>213</v>
      </c>
      <c r="I577" s="3" t="s">
        <v>213</v>
      </c>
      <c r="J577" s="3">
        <v>0</v>
      </c>
    </row>
    <row r="578" spans="1:10" x14ac:dyDescent="0.3">
      <c r="A578" t="s">
        <v>42</v>
      </c>
      <c r="B578" t="s">
        <v>223</v>
      </c>
      <c r="C578">
        <v>191</v>
      </c>
      <c r="D578" s="1">
        <v>0.1099</v>
      </c>
      <c r="E578">
        <v>21</v>
      </c>
      <c r="F578">
        <v>1</v>
      </c>
      <c r="G578" s="2">
        <v>4.7599999999999996E-2</v>
      </c>
      <c r="H578" s="3">
        <v>0.51</v>
      </c>
      <c r="I578" s="3">
        <v>10.75</v>
      </c>
      <c r="J578" s="3">
        <v>10.75</v>
      </c>
    </row>
    <row r="579" spans="1:10" x14ac:dyDescent="0.3">
      <c r="A579" t="s">
        <v>42</v>
      </c>
      <c r="B579" t="s">
        <v>261</v>
      </c>
      <c r="C579">
        <v>101</v>
      </c>
      <c r="D579" s="1">
        <v>4.9500000000000002E-2</v>
      </c>
      <c r="E579">
        <v>5</v>
      </c>
      <c r="F579">
        <v>2</v>
      </c>
      <c r="G579" s="2">
        <v>0.4</v>
      </c>
      <c r="H579" s="3">
        <v>1.56</v>
      </c>
      <c r="I579" s="3">
        <v>3.9</v>
      </c>
      <c r="J579" s="3">
        <v>7.8</v>
      </c>
    </row>
    <row r="580" spans="1:10" x14ac:dyDescent="0.3">
      <c r="A580" t="s">
        <v>42</v>
      </c>
      <c r="B580" t="s">
        <v>261</v>
      </c>
      <c r="C580">
        <v>117</v>
      </c>
      <c r="D580" s="1">
        <v>5.1299999999999998E-2</v>
      </c>
      <c r="E580">
        <v>6</v>
      </c>
      <c r="F580">
        <v>0</v>
      </c>
      <c r="G580" s="2">
        <v>0</v>
      </c>
      <c r="H580" s="3">
        <v>0</v>
      </c>
      <c r="I580" s="3" t="s">
        <v>213</v>
      </c>
      <c r="J580" s="3">
        <v>0</v>
      </c>
    </row>
    <row r="581" spans="1:10" x14ac:dyDescent="0.3">
      <c r="A581" t="s">
        <v>42</v>
      </c>
      <c r="B581" t="s">
        <v>390</v>
      </c>
      <c r="C581">
        <v>37</v>
      </c>
      <c r="D581" s="1">
        <v>8.1099999999999992E-2</v>
      </c>
      <c r="E581">
        <v>3</v>
      </c>
      <c r="F581">
        <v>1</v>
      </c>
      <c r="G581" s="2">
        <v>0.33329999999999999</v>
      </c>
      <c r="H581" s="3">
        <v>4</v>
      </c>
      <c r="I581" s="3">
        <v>12</v>
      </c>
      <c r="J581" s="3">
        <v>12</v>
      </c>
    </row>
    <row r="582" spans="1:10" x14ac:dyDescent="0.3">
      <c r="A582" t="s">
        <v>42</v>
      </c>
      <c r="B582" t="s">
        <v>314</v>
      </c>
      <c r="C582">
        <v>105</v>
      </c>
      <c r="D582" s="1">
        <v>6.6699999999999995E-2</v>
      </c>
      <c r="E582">
        <v>7</v>
      </c>
      <c r="F582">
        <v>0</v>
      </c>
      <c r="G582" s="2">
        <v>0</v>
      </c>
      <c r="H582" s="3">
        <v>0</v>
      </c>
      <c r="I582" s="3" t="s">
        <v>213</v>
      </c>
      <c r="J582" s="3">
        <v>0</v>
      </c>
    </row>
    <row r="583" spans="1:10" x14ac:dyDescent="0.3">
      <c r="A583" t="s">
        <v>42</v>
      </c>
      <c r="B583" t="s">
        <v>239</v>
      </c>
      <c r="C583">
        <v>114</v>
      </c>
      <c r="D583" s="1">
        <v>6.1399999999999996E-2</v>
      </c>
      <c r="E583">
        <v>7</v>
      </c>
      <c r="F583">
        <v>0</v>
      </c>
      <c r="G583" s="2">
        <v>0</v>
      </c>
      <c r="H583" s="3">
        <v>0</v>
      </c>
      <c r="I583" s="3" t="s">
        <v>213</v>
      </c>
      <c r="J583" s="3">
        <v>0</v>
      </c>
    </row>
    <row r="584" spans="1:10" x14ac:dyDescent="0.3">
      <c r="A584" t="s">
        <v>42</v>
      </c>
      <c r="B584" t="s">
        <v>313</v>
      </c>
      <c r="C584">
        <v>73</v>
      </c>
      <c r="D584" s="1">
        <v>9.5899999999999999E-2</v>
      </c>
      <c r="E584">
        <v>7</v>
      </c>
      <c r="F584">
        <v>0</v>
      </c>
      <c r="G584" s="2">
        <v>0</v>
      </c>
      <c r="H584" s="3">
        <v>0</v>
      </c>
      <c r="I584" s="3" t="s">
        <v>213</v>
      </c>
      <c r="J584" s="3">
        <v>0</v>
      </c>
    </row>
    <row r="585" spans="1:10" x14ac:dyDescent="0.3">
      <c r="A585" t="s">
        <v>42</v>
      </c>
      <c r="B585" t="s">
        <v>235</v>
      </c>
      <c r="C585">
        <v>107</v>
      </c>
      <c r="D585" s="1">
        <v>5.6100000000000004E-2</v>
      </c>
      <c r="E585">
        <v>6</v>
      </c>
      <c r="F585">
        <v>0</v>
      </c>
      <c r="G585" s="2">
        <v>0</v>
      </c>
      <c r="H585" s="3">
        <v>0</v>
      </c>
      <c r="I585" s="3" t="s">
        <v>213</v>
      </c>
      <c r="J585" s="3">
        <v>0</v>
      </c>
    </row>
    <row r="586" spans="1:10" x14ac:dyDescent="0.3">
      <c r="A586" t="s">
        <v>42</v>
      </c>
      <c r="B586" t="s">
        <v>315</v>
      </c>
      <c r="C586">
        <v>80</v>
      </c>
      <c r="D586" s="1">
        <v>6.25E-2</v>
      </c>
      <c r="E586">
        <v>5</v>
      </c>
      <c r="F586">
        <v>0</v>
      </c>
      <c r="G586" s="2">
        <v>0</v>
      </c>
      <c r="H586" s="3">
        <v>0</v>
      </c>
      <c r="I586" s="3" t="s">
        <v>213</v>
      </c>
      <c r="J586" s="3">
        <v>0</v>
      </c>
    </row>
    <row r="587" spans="1:10" x14ac:dyDescent="0.3">
      <c r="A587" t="s">
        <v>42</v>
      </c>
      <c r="B587" t="s">
        <v>248</v>
      </c>
      <c r="C587">
        <v>45</v>
      </c>
      <c r="D587" s="1">
        <v>6.6699999999999995E-2</v>
      </c>
      <c r="E587">
        <v>3</v>
      </c>
      <c r="F587">
        <v>0</v>
      </c>
      <c r="G587" s="2">
        <v>0</v>
      </c>
      <c r="H587" s="3">
        <v>0</v>
      </c>
      <c r="I587" s="3" t="s">
        <v>213</v>
      </c>
      <c r="J587" s="3">
        <v>0</v>
      </c>
    </row>
    <row r="588" spans="1:10" x14ac:dyDescent="0.3">
      <c r="A588" t="s">
        <v>42</v>
      </c>
      <c r="B588" t="s">
        <v>242</v>
      </c>
      <c r="C588">
        <v>45</v>
      </c>
      <c r="D588" s="1">
        <v>2.2200000000000001E-2</v>
      </c>
      <c r="E588">
        <v>1</v>
      </c>
      <c r="F588">
        <v>0</v>
      </c>
      <c r="G588" s="2">
        <v>0</v>
      </c>
      <c r="H588" s="3">
        <v>0</v>
      </c>
      <c r="I588" s="3" t="s">
        <v>213</v>
      </c>
      <c r="J588" s="3">
        <v>0</v>
      </c>
    </row>
    <row r="589" spans="1:10" x14ac:dyDescent="0.3">
      <c r="A589" t="s">
        <v>42</v>
      </c>
      <c r="B589" t="s">
        <v>221</v>
      </c>
      <c r="C589">
        <v>17</v>
      </c>
      <c r="D589" s="1">
        <v>0</v>
      </c>
      <c r="E589">
        <v>0</v>
      </c>
      <c r="F589">
        <v>0</v>
      </c>
      <c r="G589" s="2">
        <v>0</v>
      </c>
      <c r="H589" s="3" t="s">
        <v>213</v>
      </c>
      <c r="I589" s="3" t="s">
        <v>213</v>
      </c>
      <c r="J589" s="3">
        <v>0</v>
      </c>
    </row>
    <row r="590" spans="1:10" x14ac:dyDescent="0.3">
      <c r="A590" t="s">
        <v>42</v>
      </c>
      <c r="B590" t="s">
        <v>223</v>
      </c>
      <c r="C590">
        <v>9</v>
      </c>
      <c r="D590" s="1">
        <v>0</v>
      </c>
      <c r="E590">
        <v>0</v>
      </c>
      <c r="F590">
        <v>0</v>
      </c>
      <c r="G590" s="2">
        <v>0</v>
      </c>
      <c r="H590" s="3" t="s">
        <v>213</v>
      </c>
      <c r="I590" s="3" t="s">
        <v>213</v>
      </c>
      <c r="J590" s="3">
        <v>0</v>
      </c>
    </row>
    <row r="591" spans="1:10" x14ac:dyDescent="0.3">
      <c r="A591" t="s">
        <v>42</v>
      </c>
      <c r="B591" t="s">
        <v>215</v>
      </c>
      <c r="C591">
        <v>186</v>
      </c>
      <c r="D591" s="1">
        <v>4.8399999999999999E-2</v>
      </c>
      <c r="E591">
        <v>9</v>
      </c>
      <c r="F591">
        <v>1</v>
      </c>
      <c r="G591" s="2">
        <v>0.11109999999999999</v>
      </c>
      <c r="H591" s="3">
        <v>1.05</v>
      </c>
      <c r="I591" s="3">
        <v>9.42</v>
      </c>
      <c r="J591" s="3">
        <v>9.42</v>
      </c>
    </row>
    <row r="592" spans="1:10" x14ac:dyDescent="0.3">
      <c r="A592" t="s">
        <v>42</v>
      </c>
      <c r="B592" t="s">
        <v>223</v>
      </c>
      <c r="C592">
        <v>195</v>
      </c>
      <c r="D592" s="1">
        <v>3.0800000000000001E-2</v>
      </c>
      <c r="E592">
        <v>6</v>
      </c>
      <c r="F592">
        <v>0</v>
      </c>
      <c r="G592" s="2">
        <v>0</v>
      </c>
      <c r="H592" s="3">
        <v>0</v>
      </c>
      <c r="I592" s="3" t="s">
        <v>213</v>
      </c>
      <c r="J592" s="3">
        <v>0</v>
      </c>
    </row>
    <row r="593" spans="1:10" x14ac:dyDescent="0.3">
      <c r="A593" t="s">
        <v>42</v>
      </c>
      <c r="B593" t="s">
        <v>223</v>
      </c>
      <c r="C593">
        <v>208</v>
      </c>
      <c r="D593" s="1">
        <v>2.8799999999999999E-2</v>
      </c>
      <c r="E593">
        <v>6</v>
      </c>
      <c r="F593">
        <v>0</v>
      </c>
      <c r="G593" s="2">
        <v>0</v>
      </c>
      <c r="H593" s="3">
        <v>0</v>
      </c>
      <c r="I593" s="3" t="s">
        <v>213</v>
      </c>
      <c r="J593" s="3">
        <v>0</v>
      </c>
    </row>
    <row r="594" spans="1:10" x14ac:dyDescent="0.3">
      <c r="A594" t="s">
        <v>42</v>
      </c>
      <c r="B594" t="s">
        <v>221</v>
      </c>
      <c r="C594">
        <v>158</v>
      </c>
      <c r="D594" s="1">
        <v>3.7999999999999999E-2</v>
      </c>
      <c r="E594">
        <v>6</v>
      </c>
      <c r="F594">
        <v>0</v>
      </c>
      <c r="G594" s="2">
        <v>0</v>
      </c>
      <c r="H594" s="3">
        <v>0</v>
      </c>
      <c r="I594" s="3" t="s">
        <v>213</v>
      </c>
      <c r="J594" s="3">
        <v>0</v>
      </c>
    </row>
    <row r="595" spans="1:10" x14ac:dyDescent="0.3">
      <c r="A595" t="s">
        <v>42</v>
      </c>
      <c r="B595" t="s">
        <v>221</v>
      </c>
      <c r="C595">
        <v>182</v>
      </c>
      <c r="D595" s="1">
        <v>2.75E-2</v>
      </c>
      <c r="E595">
        <v>5</v>
      </c>
      <c r="F595">
        <v>0</v>
      </c>
      <c r="G595" s="2">
        <v>0</v>
      </c>
      <c r="H595" s="3">
        <v>0</v>
      </c>
      <c r="I595" s="3" t="s">
        <v>213</v>
      </c>
      <c r="J595" s="3">
        <v>0</v>
      </c>
    </row>
    <row r="596" spans="1:10" x14ac:dyDescent="0.3">
      <c r="A596" t="s">
        <v>42</v>
      </c>
      <c r="B596" t="s">
        <v>221</v>
      </c>
      <c r="C596">
        <v>44</v>
      </c>
      <c r="D596" s="1">
        <v>2.2700000000000001E-2</v>
      </c>
      <c r="E596">
        <v>1</v>
      </c>
      <c r="F596">
        <v>0</v>
      </c>
      <c r="G596" s="2">
        <v>0</v>
      </c>
      <c r="H596" s="3">
        <v>0</v>
      </c>
      <c r="I596" s="3" t="s">
        <v>213</v>
      </c>
      <c r="J596" s="3">
        <v>0</v>
      </c>
    </row>
    <row r="597" spans="1:10" x14ac:dyDescent="0.3">
      <c r="A597" t="s">
        <v>42</v>
      </c>
      <c r="B597" t="s">
        <v>223</v>
      </c>
      <c r="C597">
        <v>57</v>
      </c>
      <c r="D597" s="1">
        <v>1.7500000000000002E-2</v>
      </c>
      <c r="E597">
        <v>1</v>
      </c>
      <c r="F597">
        <v>0</v>
      </c>
      <c r="G597" s="2">
        <v>0</v>
      </c>
      <c r="H597" s="3">
        <v>0</v>
      </c>
      <c r="I597" s="3" t="s">
        <v>213</v>
      </c>
      <c r="J597" s="3">
        <v>0</v>
      </c>
    </row>
    <row r="598" spans="1:10" x14ac:dyDescent="0.3">
      <c r="A598" t="s">
        <v>42</v>
      </c>
      <c r="B598" t="s">
        <v>272</v>
      </c>
      <c r="C598">
        <v>174</v>
      </c>
      <c r="D598" s="1">
        <v>5.1699999999999996E-2</v>
      </c>
      <c r="E598">
        <v>9</v>
      </c>
      <c r="F598">
        <v>0</v>
      </c>
      <c r="G598" s="2">
        <v>0</v>
      </c>
      <c r="H598" s="3">
        <v>0</v>
      </c>
      <c r="I598" s="3" t="s">
        <v>213</v>
      </c>
      <c r="J598" s="3">
        <v>0</v>
      </c>
    </row>
    <row r="599" spans="1:10" x14ac:dyDescent="0.3">
      <c r="A599" t="s">
        <v>42</v>
      </c>
      <c r="B599" t="s">
        <v>239</v>
      </c>
      <c r="C599">
        <v>127</v>
      </c>
      <c r="D599" s="1">
        <v>7.8700000000000006E-2</v>
      </c>
      <c r="E599">
        <v>10</v>
      </c>
      <c r="F599">
        <v>1</v>
      </c>
      <c r="G599" s="2">
        <v>0.1</v>
      </c>
      <c r="H599" s="3">
        <v>0.44</v>
      </c>
      <c r="I599" s="3">
        <v>4.38</v>
      </c>
      <c r="J599" s="3">
        <v>4.38</v>
      </c>
    </row>
    <row r="600" spans="1:10" x14ac:dyDescent="0.3">
      <c r="A600" t="s">
        <v>42</v>
      </c>
      <c r="B600" t="s">
        <v>315</v>
      </c>
      <c r="C600">
        <v>90</v>
      </c>
      <c r="D600" s="1">
        <v>4.4400000000000002E-2</v>
      </c>
      <c r="E600">
        <v>4</v>
      </c>
      <c r="F600">
        <v>1</v>
      </c>
      <c r="G600" s="2">
        <v>0.25</v>
      </c>
      <c r="H600" s="3">
        <v>2.0299999999999998</v>
      </c>
      <c r="I600" s="3">
        <v>8.1300000000000008</v>
      </c>
      <c r="J600" s="3">
        <v>8.1300000000000008</v>
      </c>
    </row>
    <row r="601" spans="1:10" x14ac:dyDescent="0.3">
      <c r="A601" t="s">
        <v>42</v>
      </c>
      <c r="B601" t="s">
        <v>313</v>
      </c>
      <c r="C601">
        <v>73</v>
      </c>
      <c r="D601" s="1">
        <v>5.4800000000000001E-2</v>
      </c>
      <c r="E601">
        <v>4</v>
      </c>
      <c r="F601">
        <v>1</v>
      </c>
      <c r="G601" s="2">
        <v>0.25</v>
      </c>
      <c r="H601" s="3">
        <v>2.0299999999999998</v>
      </c>
      <c r="I601" s="3">
        <v>8.1300000000000008</v>
      </c>
      <c r="J601" s="3">
        <v>8.1300000000000008</v>
      </c>
    </row>
    <row r="602" spans="1:10" x14ac:dyDescent="0.3">
      <c r="A602" t="s">
        <v>42</v>
      </c>
      <c r="B602" t="s">
        <v>390</v>
      </c>
      <c r="C602">
        <v>45</v>
      </c>
      <c r="D602" s="1">
        <v>6.6699999999999995E-2</v>
      </c>
      <c r="E602">
        <v>3</v>
      </c>
      <c r="F602">
        <v>1</v>
      </c>
      <c r="G602" s="2">
        <v>0.33329999999999999</v>
      </c>
      <c r="H602" s="3">
        <v>1.65</v>
      </c>
      <c r="I602" s="3">
        <v>4.95</v>
      </c>
      <c r="J602" s="3">
        <v>4.95</v>
      </c>
    </row>
    <row r="603" spans="1:10" x14ac:dyDescent="0.3">
      <c r="A603" t="s">
        <v>42</v>
      </c>
      <c r="B603" t="s">
        <v>235</v>
      </c>
      <c r="C603">
        <v>142</v>
      </c>
      <c r="D603" s="1">
        <v>4.2300000000000004E-2</v>
      </c>
      <c r="E603">
        <v>6</v>
      </c>
      <c r="F603">
        <v>0</v>
      </c>
      <c r="G603" s="2">
        <v>0</v>
      </c>
      <c r="H603" s="3">
        <v>0</v>
      </c>
      <c r="I603" s="3" t="s">
        <v>213</v>
      </c>
      <c r="J603" s="3">
        <v>0</v>
      </c>
    </row>
    <row r="604" spans="1:10" x14ac:dyDescent="0.3">
      <c r="A604" t="s">
        <v>42</v>
      </c>
      <c r="B604" t="s">
        <v>248</v>
      </c>
      <c r="C604">
        <v>77</v>
      </c>
      <c r="D604" s="1">
        <v>5.1900000000000002E-2</v>
      </c>
      <c r="E604">
        <v>4</v>
      </c>
      <c r="F604">
        <v>0</v>
      </c>
      <c r="G604" s="2">
        <v>0</v>
      </c>
      <c r="H604" s="3">
        <v>0</v>
      </c>
      <c r="I604" s="3" t="s">
        <v>213</v>
      </c>
      <c r="J604" s="3">
        <v>0</v>
      </c>
    </row>
    <row r="605" spans="1:10" x14ac:dyDescent="0.3">
      <c r="A605" t="s">
        <v>42</v>
      </c>
      <c r="B605" t="s">
        <v>242</v>
      </c>
      <c r="C605">
        <v>42</v>
      </c>
      <c r="D605" s="1">
        <v>4.7599999999999996E-2</v>
      </c>
      <c r="E605">
        <v>2</v>
      </c>
      <c r="F605">
        <v>0</v>
      </c>
      <c r="G605" s="2">
        <v>0</v>
      </c>
      <c r="H605" s="3">
        <v>0</v>
      </c>
      <c r="I605" s="3" t="s">
        <v>213</v>
      </c>
      <c r="J605" s="3">
        <v>0</v>
      </c>
    </row>
    <row r="606" spans="1:10" x14ac:dyDescent="0.3">
      <c r="A606" t="s">
        <v>42</v>
      </c>
      <c r="B606" t="s">
        <v>394</v>
      </c>
      <c r="C606">
        <v>15</v>
      </c>
      <c r="D606" s="1">
        <v>6.6699999999999995E-2</v>
      </c>
      <c r="E606">
        <v>1</v>
      </c>
      <c r="F606">
        <v>0</v>
      </c>
      <c r="G606" s="2">
        <v>0</v>
      </c>
      <c r="H606" s="3">
        <v>0</v>
      </c>
      <c r="I606" s="3" t="s">
        <v>213</v>
      </c>
      <c r="J606" s="3">
        <v>0</v>
      </c>
    </row>
    <row r="607" spans="1:10" x14ac:dyDescent="0.3">
      <c r="A607" t="s">
        <v>42</v>
      </c>
      <c r="B607" t="s">
        <v>223</v>
      </c>
      <c r="C607">
        <v>5</v>
      </c>
      <c r="D607" s="1">
        <v>0</v>
      </c>
      <c r="E607">
        <v>0</v>
      </c>
      <c r="F607">
        <v>0</v>
      </c>
      <c r="G607" s="2">
        <v>0</v>
      </c>
      <c r="H607" s="3" t="s">
        <v>213</v>
      </c>
      <c r="I607" s="3" t="s">
        <v>213</v>
      </c>
      <c r="J607" s="3">
        <v>0</v>
      </c>
    </row>
    <row r="608" spans="1:10" x14ac:dyDescent="0.3">
      <c r="A608" t="s">
        <v>42</v>
      </c>
      <c r="B608" t="s">
        <v>223</v>
      </c>
      <c r="C608">
        <v>193</v>
      </c>
      <c r="D608" s="1">
        <v>5.1799999999999999E-2</v>
      </c>
      <c r="E608">
        <v>10</v>
      </c>
      <c r="F608">
        <v>2</v>
      </c>
      <c r="G608" s="2">
        <v>0.2</v>
      </c>
      <c r="H608" s="3">
        <v>2.0099999999999998</v>
      </c>
      <c r="I608" s="3">
        <v>10.050000000000001</v>
      </c>
      <c r="J608" s="3">
        <v>20.09</v>
      </c>
    </row>
    <row r="609" spans="1:10" x14ac:dyDescent="0.3">
      <c r="A609" t="s">
        <v>42</v>
      </c>
      <c r="B609" t="s">
        <v>221</v>
      </c>
      <c r="C609">
        <v>231</v>
      </c>
      <c r="D609" s="1">
        <v>3.0299999999999997E-2</v>
      </c>
      <c r="E609">
        <v>7</v>
      </c>
      <c r="F609">
        <v>1</v>
      </c>
      <c r="G609" s="2">
        <v>0.1429</v>
      </c>
      <c r="H609" s="3">
        <v>1.0900000000000001</v>
      </c>
      <c r="I609" s="3">
        <v>7.61</v>
      </c>
      <c r="J609" s="3">
        <v>7.61</v>
      </c>
    </row>
    <row r="610" spans="1:10" x14ac:dyDescent="0.3">
      <c r="A610" t="s">
        <v>42</v>
      </c>
      <c r="B610" t="s">
        <v>223</v>
      </c>
      <c r="C610">
        <v>49</v>
      </c>
      <c r="D610" s="1">
        <v>6.1200000000000004E-2</v>
      </c>
      <c r="E610">
        <v>3</v>
      </c>
      <c r="F610">
        <v>1</v>
      </c>
      <c r="G610" s="2">
        <v>0.33329999999999999</v>
      </c>
      <c r="H610" s="3">
        <v>10.85</v>
      </c>
      <c r="I610" s="3">
        <v>32.54</v>
      </c>
      <c r="J610" s="3">
        <v>32.54</v>
      </c>
    </row>
    <row r="611" spans="1:10" x14ac:dyDescent="0.3">
      <c r="A611" t="s">
        <v>42</v>
      </c>
      <c r="B611" t="s">
        <v>221</v>
      </c>
      <c r="C611">
        <v>150</v>
      </c>
      <c r="D611" s="1">
        <v>3.3300000000000003E-2</v>
      </c>
      <c r="E611">
        <v>5</v>
      </c>
      <c r="F611">
        <v>0</v>
      </c>
      <c r="G611" s="2">
        <v>0</v>
      </c>
      <c r="H611" s="3">
        <v>0</v>
      </c>
      <c r="I611" s="3" t="s">
        <v>213</v>
      </c>
      <c r="J611" s="3">
        <v>0</v>
      </c>
    </row>
    <row r="612" spans="1:10" x14ac:dyDescent="0.3">
      <c r="A612" t="s">
        <v>42</v>
      </c>
      <c r="B612" t="s">
        <v>215</v>
      </c>
      <c r="C612">
        <v>84</v>
      </c>
      <c r="D612" s="1">
        <v>5.9500000000000004E-2</v>
      </c>
      <c r="E612">
        <v>5</v>
      </c>
      <c r="F612">
        <v>0</v>
      </c>
      <c r="G612" s="2">
        <v>0</v>
      </c>
      <c r="H612" s="3">
        <v>0</v>
      </c>
      <c r="I612" s="3" t="s">
        <v>213</v>
      </c>
      <c r="J612" s="3">
        <v>0</v>
      </c>
    </row>
    <row r="613" spans="1:10" x14ac:dyDescent="0.3">
      <c r="A613" t="s">
        <v>42</v>
      </c>
      <c r="B613" t="s">
        <v>223</v>
      </c>
      <c r="C613">
        <v>157</v>
      </c>
      <c r="D613" s="1">
        <v>1.9099999999999999E-2</v>
      </c>
      <c r="E613">
        <v>3</v>
      </c>
      <c r="F613">
        <v>0</v>
      </c>
      <c r="G613" s="2">
        <v>0</v>
      </c>
      <c r="H613" s="3">
        <v>0</v>
      </c>
      <c r="I613" s="3" t="s">
        <v>213</v>
      </c>
      <c r="J613" s="3">
        <v>0</v>
      </c>
    </row>
    <row r="614" spans="1:10" x14ac:dyDescent="0.3">
      <c r="A614" t="s">
        <v>42</v>
      </c>
      <c r="B614" t="s">
        <v>221</v>
      </c>
      <c r="C614">
        <v>38</v>
      </c>
      <c r="D614" s="1">
        <v>2.63E-2</v>
      </c>
      <c r="E614">
        <v>1</v>
      </c>
      <c r="F614">
        <v>0</v>
      </c>
      <c r="G614" s="2">
        <v>0</v>
      </c>
      <c r="H614" s="3">
        <v>0</v>
      </c>
      <c r="I614" s="3" t="s">
        <v>213</v>
      </c>
      <c r="J614" s="3">
        <v>0</v>
      </c>
    </row>
    <row r="615" spans="1:10" x14ac:dyDescent="0.3">
      <c r="A615" t="s">
        <v>42</v>
      </c>
      <c r="B615" t="s">
        <v>221</v>
      </c>
      <c r="C615">
        <v>6</v>
      </c>
      <c r="D615" s="1">
        <v>0.16670000000000001</v>
      </c>
      <c r="E615">
        <v>1</v>
      </c>
      <c r="F615">
        <v>0</v>
      </c>
      <c r="G615" s="2">
        <v>0</v>
      </c>
      <c r="H615" s="3">
        <v>0</v>
      </c>
      <c r="I615" s="3" t="s">
        <v>213</v>
      </c>
      <c r="J615" s="3">
        <v>0</v>
      </c>
    </row>
    <row r="616" spans="1:10" x14ac:dyDescent="0.3">
      <c r="A616" t="s">
        <v>42</v>
      </c>
      <c r="B616" t="s">
        <v>221</v>
      </c>
      <c r="C616">
        <v>185</v>
      </c>
      <c r="D616" s="1">
        <v>3.2400000000000005E-2</v>
      </c>
      <c r="E616">
        <v>6</v>
      </c>
      <c r="F616">
        <v>0</v>
      </c>
      <c r="G616" s="2">
        <v>0</v>
      </c>
      <c r="H616" s="3">
        <v>0</v>
      </c>
      <c r="I616" s="3" t="s">
        <v>213</v>
      </c>
      <c r="J616" s="3">
        <v>0</v>
      </c>
    </row>
    <row r="617" spans="1:10" x14ac:dyDescent="0.3">
      <c r="A617" t="s">
        <v>42</v>
      </c>
      <c r="B617" t="s">
        <v>272</v>
      </c>
      <c r="C617">
        <v>33</v>
      </c>
      <c r="D617" s="1">
        <v>6.0599999999999994E-2</v>
      </c>
      <c r="E617">
        <v>2</v>
      </c>
      <c r="F617">
        <v>0</v>
      </c>
      <c r="G617" s="2">
        <v>0</v>
      </c>
      <c r="H617" s="3">
        <v>0</v>
      </c>
      <c r="I617" s="3" t="s">
        <v>213</v>
      </c>
      <c r="J617" s="3">
        <v>0</v>
      </c>
    </row>
    <row r="618" spans="1:10" x14ac:dyDescent="0.3">
      <c r="A618" t="s">
        <v>42</v>
      </c>
      <c r="B618" t="s">
        <v>272</v>
      </c>
      <c r="C618">
        <v>101</v>
      </c>
      <c r="D618" s="1">
        <v>6.93E-2</v>
      </c>
      <c r="E618">
        <v>7</v>
      </c>
      <c r="F618">
        <v>0</v>
      </c>
      <c r="G618" s="2">
        <v>0</v>
      </c>
      <c r="H618" s="3">
        <v>0</v>
      </c>
      <c r="I618" s="3" t="s">
        <v>213</v>
      </c>
      <c r="J618" s="3">
        <v>0</v>
      </c>
    </row>
    <row r="619" spans="1:10" x14ac:dyDescent="0.3">
      <c r="A619" t="s">
        <v>42</v>
      </c>
      <c r="B619" t="s">
        <v>233</v>
      </c>
      <c r="C619">
        <v>77</v>
      </c>
      <c r="D619" s="1">
        <v>6.4899999999999999E-2</v>
      </c>
      <c r="E619">
        <v>5</v>
      </c>
      <c r="F619">
        <v>0</v>
      </c>
      <c r="G619" s="2">
        <v>0</v>
      </c>
      <c r="H619" s="3">
        <v>0</v>
      </c>
      <c r="I619" s="3" t="s">
        <v>213</v>
      </c>
      <c r="J619" s="3">
        <v>0</v>
      </c>
    </row>
    <row r="620" spans="1:10" x14ac:dyDescent="0.3">
      <c r="A620" t="s">
        <v>42</v>
      </c>
      <c r="B620" t="s">
        <v>272</v>
      </c>
      <c r="C620">
        <v>110</v>
      </c>
      <c r="D620" s="1">
        <v>4.5499999999999999E-2</v>
      </c>
      <c r="E620">
        <v>5</v>
      </c>
      <c r="F620">
        <v>0</v>
      </c>
      <c r="G620" s="2">
        <v>0</v>
      </c>
      <c r="H620" s="3">
        <v>0</v>
      </c>
      <c r="I620" s="3" t="s">
        <v>213</v>
      </c>
      <c r="J620" s="3">
        <v>0</v>
      </c>
    </row>
    <row r="621" spans="1:10" x14ac:dyDescent="0.3">
      <c r="A621" t="s">
        <v>27</v>
      </c>
      <c r="B621" t="s">
        <v>223</v>
      </c>
      <c r="C621">
        <v>61</v>
      </c>
      <c r="D621" s="1">
        <v>0.21309999999999998</v>
      </c>
      <c r="E621">
        <v>13</v>
      </c>
      <c r="F621">
        <v>0</v>
      </c>
      <c r="G621" s="2">
        <v>0</v>
      </c>
      <c r="H621" s="3">
        <v>0</v>
      </c>
      <c r="I621" s="3">
        <v>0</v>
      </c>
      <c r="J621" s="3">
        <v>0</v>
      </c>
    </row>
    <row r="622" spans="1:10" x14ac:dyDescent="0.3">
      <c r="A622" t="s">
        <v>27</v>
      </c>
      <c r="B622" t="s">
        <v>223</v>
      </c>
      <c r="C622">
        <v>11459</v>
      </c>
      <c r="D622" s="1">
        <v>7.1599999999999997E-2</v>
      </c>
      <c r="E622">
        <v>821</v>
      </c>
      <c r="F622">
        <v>14</v>
      </c>
      <c r="G622" s="2">
        <v>1.7100000000000001E-2</v>
      </c>
      <c r="H622" s="3">
        <v>0.19</v>
      </c>
      <c r="I622" s="3">
        <v>10.98</v>
      </c>
      <c r="J622" s="3">
        <v>153.65</v>
      </c>
    </row>
    <row r="623" spans="1:10" x14ac:dyDescent="0.3">
      <c r="A623" t="s">
        <v>27</v>
      </c>
      <c r="B623" t="s">
        <v>223</v>
      </c>
      <c r="C623">
        <v>4163</v>
      </c>
      <c r="D623" s="1">
        <v>9.5600000000000004E-2</v>
      </c>
      <c r="E623">
        <v>398</v>
      </c>
      <c r="F623">
        <v>11</v>
      </c>
      <c r="G623" s="2">
        <v>2.76E-2</v>
      </c>
      <c r="H623" s="3">
        <v>0.44</v>
      </c>
      <c r="I623" s="3">
        <v>15.94</v>
      </c>
      <c r="J623" s="3">
        <v>175.33</v>
      </c>
    </row>
    <row r="624" spans="1:10" x14ac:dyDescent="0.3">
      <c r="A624" t="s">
        <v>27</v>
      </c>
      <c r="B624" t="s">
        <v>223</v>
      </c>
      <c r="C624">
        <v>5688</v>
      </c>
      <c r="D624" s="1">
        <v>8.2799999999999999E-2</v>
      </c>
      <c r="E624">
        <v>471</v>
      </c>
      <c r="F624">
        <v>6</v>
      </c>
      <c r="G624" s="2">
        <v>1.2699999999999999E-2</v>
      </c>
      <c r="H624" s="3">
        <v>0.09</v>
      </c>
      <c r="I624" s="3">
        <v>7.32</v>
      </c>
      <c r="J624" s="3">
        <v>43.93</v>
      </c>
    </row>
    <row r="625" spans="1:10" x14ac:dyDescent="0.3">
      <c r="A625" t="s">
        <v>27</v>
      </c>
      <c r="B625" t="s">
        <v>223</v>
      </c>
      <c r="C625">
        <v>1588</v>
      </c>
      <c r="D625" s="1">
        <v>0.13600000000000001</v>
      </c>
      <c r="E625">
        <v>216</v>
      </c>
      <c r="F625">
        <v>1</v>
      </c>
      <c r="G625" s="2">
        <v>4.5999999999999999E-3</v>
      </c>
      <c r="H625" s="3">
        <v>0.02</v>
      </c>
      <c r="I625" s="3">
        <v>4.4800000000000004</v>
      </c>
      <c r="J625" s="3">
        <v>4.4800000000000004</v>
      </c>
    </row>
    <row r="626" spans="1:10" x14ac:dyDescent="0.3">
      <c r="A626" t="s">
        <v>27</v>
      </c>
      <c r="B626" t="s">
        <v>223</v>
      </c>
      <c r="C626">
        <v>79</v>
      </c>
      <c r="D626" s="1">
        <v>0.1646</v>
      </c>
      <c r="E626">
        <v>13</v>
      </c>
      <c r="F626">
        <v>0</v>
      </c>
      <c r="G626" s="2">
        <v>0</v>
      </c>
      <c r="H626" s="3">
        <v>0</v>
      </c>
      <c r="I626" s="3" t="s">
        <v>213</v>
      </c>
      <c r="J626" s="3">
        <v>0</v>
      </c>
    </row>
    <row r="627" spans="1:10" x14ac:dyDescent="0.3">
      <c r="A627" t="s">
        <v>77</v>
      </c>
      <c r="B627" t="s">
        <v>248</v>
      </c>
      <c r="C627">
        <v>24</v>
      </c>
      <c r="D627" s="1">
        <v>4.1700000000000001E-2</v>
      </c>
      <c r="E627">
        <v>1</v>
      </c>
      <c r="F627">
        <v>0</v>
      </c>
      <c r="G627" s="2">
        <v>0</v>
      </c>
      <c r="H627" s="3">
        <v>0</v>
      </c>
      <c r="I627" s="3" t="s">
        <v>213</v>
      </c>
      <c r="J627" s="3">
        <v>0</v>
      </c>
    </row>
    <row r="628" spans="1:10" x14ac:dyDescent="0.3">
      <c r="A628" t="s">
        <v>77</v>
      </c>
      <c r="B628" t="s">
        <v>242</v>
      </c>
      <c r="C628">
        <v>15</v>
      </c>
      <c r="D628" s="1">
        <v>0</v>
      </c>
      <c r="E628">
        <v>0</v>
      </c>
      <c r="F628">
        <v>0</v>
      </c>
      <c r="G628" s="2">
        <v>0</v>
      </c>
      <c r="H628" s="3" t="s">
        <v>213</v>
      </c>
      <c r="I628" s="3" t="s">
        <v>213</v>
      </c>
      <c r="J628" s="3">
        <v>0</v>
      </c>
    </row>
    <row r="629" spans="1:10" x14ac:dyDescent="0.3">
      <c r="A629" t="s">
        <v>77</v>
      </c>
      <c r="B629" t="s">
        <v>215</v>
      </c>
      <c r="C629">
        <v>115</v>
      </c>
      <c r="D629" s="1">
        <v>6.9599999999999995E-2</v>
      </c>
      <c r="E629">
        <v>8</v>
      </c>
      <c r="F629">
        <v>1</v>
      </c>
      <c r="G629" s="2">
        <v>0.125</v>
      </c>
      <c r="H629" s="3">
        <v>0.83</v>
      </c>
      <c r="I629" s="3">
        <v>6.6</v>
      </c>
      <c r="J629" s="3">
        <v>6.6</v>
      </c>
    </row>
    <row r="630" spans="1:10" x14ac:dyDescent="0.3">
      <c r="A630" t="s">
        <v>77</v>
      </c>
      <c r="B630" t="s">
        <v>221</v>
      </c>
      <c r="C630">
        <v>219</v>
      </c>
      <c r="D630" s="1">
        <v>5.4800000000000001E-2</v>
      </c>
      <c r="E630">
        <v>12</v>
      </c>
      <c r="F630">
        <v>0</v>
      </c>
      <c r="G630" s="2">
        <v>0</v>
      </c>
      <c r="H630" s="3">
        <v>0</v>
      </c>
      <c r="I630" s="3" t="s">
        <v>213</v>
      </c>
      <c r="J630" s="3">
        <v>0</v>
      </c>
    </row>
    <row r="631" spans="1:10" x14ac:dyDescent="0.3">
      <c r="A631" t="s">
        <v>77</v>
      </c>
      <c r="B631" t="s">
        <v>221</v>
      </c>
      <c r="C631">
        <v>295</v>
      </c>
      <c r="D631" s="1">
        <v>3.0499999999999999E-2</v>
      </c>
      <c r="E631">
        <v>9</v>
      </c>
      <c r="F631">
        <v>0</v>
      </c>
      <c r="G631" s="2">
        <v>0</v>
      </c>
      <c r="H631" s="3">
        <v>0</v>
      </c>
      <c r="I631" s="3" t="s">
        <v>213</v>
      </c>
      <c r="J631" s="3">
        <v>0</v>
      </c>
    </row>
    <row r="632" spans="1:10" x14ac:dyDescent="0.3">
      <c r="A632" t="s">
        <v>77</v>
      </c>
      <c r="B632" t="s">
        <v>223</v>
      </c>
      <c r="C632">
        <v>119</v>
      </c>
      <c r="D632" s="1">
        <v>6.7199999999999996E-2</v>
      </c>
      <c r="E632">
        <v>8</v>
      </c>
      <c r="F632">
        <v>0</v>
      </c>
      <c r="G632" s="2">
        <v>0</v>
      </c>
      <c r="H632" s="3">
        <v>0</v>
      </c>
      <c r="I632" s="3" t="s">
        <v>213</v>
      </c>
      <c r="J632" s="3">
        <v>0</v>
      </c>
    </row>
    <row r="633" spans="1:10" x14ac:dyDescent="0.3">
      <c r="A633" t="s">
        <v>77</v>
      </c>
      <c r="B633" t="s">
        <v>221</v>
      </c>
      <c r="C633">
        <v>215</v>
      </c>
      <c r="D633" s="1">
        <v>1.8600000000000002E-2</v>
      </c>
      <c r="E633">
        <v>4</v>
      </c>
      <c r="F633">
        <v>0</v>
      </c>
      <c r="G633" s="2">
        <v>0</v>
      </c>
      <c r="H633" s="3">
        <v>0</v>
      </c>
      <c r="I633" s="3" t="s">
        <v>213</v>
      </c>
      <c r="J633" s="3">
        <v>0</v>
      </c>
    </row>
    <row r="634" spans="1:10" x14ac:dyDescent="0.3">
      <c r="A634" t="s">
        <v>77</v>
      </c>
      <c r="B634" t="s">
        <v>223</v>
      </c>
      <c r="C634">
        <v>149</v>
      </c>
      <c r="D634" s="1">
        <v>2.0099999999999996E-2</v>
      </c>
      <c r="E634">
        <v>3</v>
      </c>
      <c r="F634">
        <v>0</v>
      </c>
      <c r="G634" s="2">
        <v>0</v>
      </c>
      <c r="H634" s="3">
        <v>0</v>
      </c>
      <c r="I634" s="3" t="s">
        <v>213</v>
      </c>
      <c r="J634" s="3">
        <v>0</v>
      </c>
    </row>
    <row r="635" spans="1:10" x14ac:dyDescent="0.3">
      <c r="A635" t="s">
        <v>77</v>
      </c>
      <c r="B635" t="s">
        <v>221</v>
      </c>
      <c r="C635">
        <v>13</v>
      </c>
      <c r="D635" s="1">
        <v>0.15380000000000002</v>
      </c>
      <c r="E635">
        <v>2</v>
      </c>
      <c r="F635">
        <v>0</v>
      </c>
      <c r="G635" s="2">
        <v>0</v>
      </c>
      <c r="H635" s="3">
        <v>0</v>
      </c>
      <c r="I635" s="3" t="s">
        <v>213</v>
      </c>
      <c r="J635" s="3">
        <v>0</v>
      </c>
    </row>
    <row r="636" spans="1:10" x14ac:dyDescent="0.3">
      <c r="A636" t="s">
        <v>77</v>
      </c>
      <c r="B636" t="s">
        <v>223</v>
      </c>
      <c r="C636">
        <v>133</v>
      </c>
      <c r="D636" s="1">
        <v>7.4999999999999997E-3</v>
      </c>
      <c r="E636">
        <v>1</v>
      </c>
      <c r="F636">
        <v>0</v>
      </c>
      <c r="G636" s="2">
        <v>0</v>
      </c>
      <c r="H636" s="3">
        <v>0</v>
      </c>
      <c r="I636" s="3" t="s">
        <v>213</v>
      </c>
      <c r="J636" s="3">
        <v>0</v>
      </c>
    </row>
    <row r="637" spans="1:10" x14ac:dyDescent="0.3">
      <c r="A637" t="s">
        <v>77</v>
      </c>
      <c r="B637" t="s">
        <v>223</v>
      </c>
      <c r="C637">
        <v>29</v>
      </c>
      <c r="D637" s="1">
        <v>3.4500000000000003E-2</v>
      </c>
      <c r="E637">
        <v>1</v>
      </c>
      <c r="F637">
        <v>0</v>
      </c>
      <c r="G637" s="2">
        <v>0</v>
      </c>
      <c r="H637" s="3">
        <v>0</v>
      </c>
      <c r="I637" s="3" t="s">
        <v>213</v>
      </c>
      <c r="J637" s="3">
        <v>0</v>
      </c>
    </row>
    <row r="638" spans="1:10" x14ac:dyDescent="0.3">
      <c r="A638" t="s">
        <v>77</v>
      </c>
      <c r="B638" t="s">
        <v>223</v>
      </c>
      <c r="C638">
        <v>8</v>
      </c>
      <c r="D638" s="1">
        <v>0.125</v>
      </c>
      <c r="E638">
        <v>1</v>
      </c>
      <c r="F638">
        <v>0</v>
      </c>
      <c r="G638" s="2">
        <v>0</v>
      </c>
      <c r="H638" s="3">
        <v>0</v>
      </c>
      <c r="I638" s="3" t="s">
        <v>213</v>
      </c>
      <c r="J638" s="3">
        <v>0</v>
      </c>
    </row>
    <row r="639" spans="1:10" x14ac:dyDescent="0.3">
      <c r="A639" t="s">
        <v>77</v>
      </c>
      <c r="B639" t="s">
        <v>221</v>
      </c>
      <c r="C639">
        <v>12</v>
      </c>
      <c r="D639" s="1">
        <v>8.3299999999999999E-2</v>
      </c>
      <c r="E639">
        <v>1</v>
      </c>
      <c r="F639">
        <v>0</v>
      </c>
      <c r="G639" s="2">
        <v>0</v>
      </c>
      <c r="H639" s="3">
        <v>0</v>
      </c>
      <c r="I639" s="3" t="s">
        <v>213</v>
      </c>
      <c r="J639" s="3">
        <v>0</v>
      </c>
    </row>
    <row r="640" spans="1:10" x14ac:dyDescent="0.3">
      <c r="A640" t="s">
        <v>77</v>
      </c>
      <c r="B640" t="s">
        <v>242</v>
      </c>
      <c r="C640">
        <v>33</v>
      </c>
      <c r="D640" s="1">
        <v>6.0599999999999994E-2</v>
      </c>
      <c r="E640">
        <v>2</v>
      </c>
      <c r="F640">
        <v>0</v>
      </c>
      <c r="G640" s="2">
        <v>0</v>
      </c>
      <c r="H640" s="3">
        <v>0</v>
      </c>
      <c r="I640" s="3" t="s">
        <v>213</v>
      </c>
      <c r="J640" s="3">
        <v>0</v>
      </c>
    </row>
    <row r="641" spans="1:10" x14ac:dyDescent="0.3">
      <c r="A641" t="s">
        <v>77</v>
      </c>
      <c r="B641" t="s">
        <v>248</v>
      </c>
      <c r="C641">
        <v>30</v>
      </c>
      <c r="D641" s="1">
        <v>6.6699999999999995E-2</v>
      </c>
      <c r="E641">
        <v>2</v>
      </c>
      <c r="F641">
        <v>0</v>
      </c>
      <c r="G641" s="2">
        <v>0</v>
      </c>
      <c r="H641" s="3">
        <v>0</v>
      </c>
      <c r="I641" s="3" t="s">
        <v>213</v>
      </c>
      <c r="J641" s="3">
        <v>0</v>
      </c>
    </row>
    <row r="642" spans="1:10" x14ac:dyDescent="0.3">
      <c r="A642" t="s">
        <v>77</v>
      </c>
      <c r="B642" t="s">
        <v>217</v>
      </c>
      <c r="C642">
        <v>38</v>
      </c>
      <c r="D642" s="1">
        <v>5.2600000000000001E-2</v>
      </c>
      <c r="E642">
        <v>2</v>
      </c>
      <c r="F642">
        <v>1</v>
      </c>
      <c r="G642" s="2">
        <v>0.5</v>
      </c>
      <c r="H642" s="3">
        <v>3.4</v>
      </c>
      <c r="I642" s="3">
        <v>6.79</v>
      </c>
      <c r="J642" s="3">
        <v>6.79</v>
      </c>
    </row>
    <row r="643" spans="1:10" x14ac:dyDescent="0.3">
      <c r="A643" t="s">
        <v>77</v>
      </c>
      <c r="B643" t="s">
        <v>217</v>
      </c>
      <c r="C643">
        <v>96</v>
      </c>
      <c r="D643" s="1">
        <v>1.04E-2</v>
      </c>
      <c r="E643">
        <v>1</v>
      </c>
      <c r="F643">
        <v>0</v>
      </c>
      <c r="G643" s="2">
        <v>0</v>
      </c>
      <c r="H643" s="3">
        <v>0</v>
      </c>
      <c r="I643" s="3" t="s">
        <v>213</v>
      </c>
      <c r="J643" s="3">
        <v>0</v>
      </c>
    </row>
    <row r="644" spans="1:10" x14ac:dyDescent="0.3">
      <c r="A644" t="s">
        <v>77</v>
      </c>
      <c r="B644" t="s">
        <v>221</v>
      </c>
      <c r="C644">
        <v>0</v>
      </c>
      <c r="D644" s="1">
        <v>0</v>
      </c>
      <c r="E644">
        <v>0</v>
      </c>
      <c r="F644">
        <v>0</v>
      </c>
      <c r="G644" s="2">
        <v>0</v>
      </c>
      <c r="H644" s="3" t="s">
        <v>213</v>
      </c>
      <c r="I644" s="3" t="s">
        <v>213</v>
      </c>
      <c r="J644" s="3">
        <v>0</v>
      </c>
    </row>
    <row r="645" spans="1:10" x14ac:dyDescent="0.3">
      <c r="A645" t="s">
        <v>77</v>
      </c>
      <c r="B645" t="s">
        <v>223</v>
      </c>
      <c r="C645">
        <v>3</v>
      </c>
      <c r="D645" s="1">
        <v>0</v>
      </c>
      <c r="E645">
        <v>0</v>
      </c>
      <c r="F645">
        <v>0</v>
      </c>
      <c r="G645" s="2">
        <v>0</v>
      </c>
      <c r="H645" s="3" t="s">
        <v>213</v>
      </c>
      <c r="I645" s="3" t="s">
        <v>213</v>
      </c>
      <c r="J645" s="3">
        <v>0</v>
      </c>
    </row>
    <row r="646" spans="1:10" x14ac:dyDescent="0.3">
      <c r="A646" t="s">
        <v>77</v>
      </c>
      <c r="B646" t="s">
        <v>223</v>
      </c>
      <c r="C646">
        <v>94</v>
      </c>
      <c r="D646" s="1">
        <v>2.1299999999999999E-2</v>
      </c>
      <c r="E646">
        <v>2</v>
      </c>
      <c r="F646">
        <v>1</v>
      </c>
      <c r="G646" s="2">
        <v>0.5</v>
      </c>
      <c r="H646" s="3">
        <v>4.08</v>
      </c>
      <c r="I646" s="3">
        <v>8.15</v>
      </c>
      <c r="J646" s="3">
        <v>8.15</v>
      </c>
    </row>
    <row r="647" spans="1:10" x14ac:dyDescent="0.3">
      <c r="A647" t="s">
        <v>77</v>
      </c>
      <c r="B647" t="s">
        <v>223</v>
      </c>
      <c r="C647">
        <v>33</v>
      </c>
      <c r="D647" s="1">
        <v>3.0299999999999997E-2</v>
      </c>
      <c r="E647">
        <v>1</v>
      </c>
      <c r="F647">
        <v>1</v>
      </c>
      <c r="G647" s="2">
        <v>1</v>
      </c>
      <c r="H647" s="3">
        <v>33.07</v>
      </c>
      <c r="I647" s="3">
        <v>33.07</v>
      </c>
      <c r="J647" s="3">
        <v>33.07</v>
      </c>
    </row>
    <row r="648" spans="1:10" x14ac:dyDescent="0.3">
      <c r="A648" t="s">
        <v>77</v>
      </c>
      <c r="B648" t="s">
        <v>221</v>
      </c>
      <c r="C648">
        <v>110</v>
      </c>
      <c r="D648" s="1">
        <v>4.5499999999999999E-2</v>
      </c>
      <c r="E648">
        <v>5</v>
      </c>
      <c r="F648">
        <v>0</v>
      </c>
      <c r="G648" s="2">
        <v>0</v>
      </c>
      <c r="H648" s="3">
        <v>0</v>
      </c>
      <c r="I648" s="3" t="s">
        <v>213</v>
      </c>
      <c r="J648" s="3">
        <v>0</v>
      </c>
    </row>
    <row r="649" spans="1:10" x14ac:dyDescent="0.3">
      <c r="A649" t="s">
        <v>77</v>
      </c>
      <c r="B649" t="s">
        <v>215</v>
      </c>
      <c r="C649">
        <v>47</v>
      </c>
      <c r="D649" s="1">
        <v>8.5099999999999995E-2</v>
      </c>
      <c r="E649">
        <v>4</v>
      </c>
      <c r="F649">
        <v>0</v>
      </c>
      <c r="G649" s="2">
        <v>0</v>
      </c>
      <c r="H649" s="3">
        <v>0</v>
      </c>
      <c r="I649" s="3" t="s">
        <v>213</v>
      </c>
      <c r="J649" s="3">
        <v>0</v>
      </c>
    </row>
    <row r="650" spans="1:10" x14ac:dyDescent="0.3">
      <c r="A650" t="s">
        <v>77</v>
      </c>
      <c r="B650" t="s">
        <v>223</v>
      </c>
      <c r="C650">
        <v>66</v>
      </c>
      <c r="D650" s="1">
        <v>4.5499999999999999E-2</v>
      </c>
      <c r="E650">
        <v>3</v>
      </c>
      <c r="F650">
        <v>0</v>
      </c>
      <c r="G650" s="2">
        <v>0</v>
      </c>
      <c r="H650" s="3">
        <v>0</v>
      </c>
      <c r="I650" s="3" t="s">
        <v>213</v>
      </c>
      <c r="J650" s="3">
        <v>0</v>
      </c>
    </row>
    <row r="651" spans="1:10" x14ac:dyDescent="0.3">
      <c r="A651" t="s">
        <v>77</v>
      </c>
      <c r="B651" t="s">
        <v>221</v>
      </c>
      <c r="C651">
        <v>47</v>
      </c>
      <c r="D651" s="1">
        <v>6.3799999999999996E-2</v>
      </c>
      <c r="E651">
        <v>3</v>
      </c>
      <c r="F651">
        <v>0</v>
      </c>
      <c r="G651" s="2">
        <v>0</v>
      </c>
      <c r="H651" s="3">
        <v>0</v>
      </c>
      <c r="I651" s="3" t="s">
        <v>213</v>
      </c>
      <c r="J651" s="3">
        <v>0</v>
      </c>
    </row>
    <row r="652" spans="1:10" x14ac:dyDescent="0.3">
      <c r="A652" t="s">
        <v>77</v>
      </c>
      <c r="B652" t="s">
        <v>223</v>
      </c>
      <c r="C652">
        <v>78</v>
      </c>
      <c r="D652" s="1">
        <v>2.5600000000000001E-2</v>
      </c>
      <c r="E652">
        <v>2</v>
      </c>
      <c r="F652">
        <v>0</v>
      </c>
      <c r="G652" s="2">
        <v>0</v>
      </c>
      <c r="H652" s="3">
        <v>0</v>
      </c>
      <c r="I652" s="3" t="s">
        <v>213</v>
      </c>
      <c r="J652" s="3">
        <v>0</v>
      </c>
    </row>
    <row r="653" spans="1:10" x14ac:dyDescent="0.3">
      <c r="A653" t="s">
        <v>77</v>
      </c>
      <c r="B653" t="s">
        <v>221</v>
      </c>
      <c r="C653">
        <v>118</v>
      </c>
      <c r="D653" s="1">
        <v>8.5000000000000006E-3</v>
      </c>
      <c r="E653">
        <v>1</v>
      </c>
      <c r="F653">
        <v>0</v>
      </c>
      <c r="G653" s="2">
        <v>0</v>
      </c>
      <c r="H653" s="3">
        <v>0</v>
      </c>
      <c r="I653" s="3" t="s">
        <v>213</v>
      </c>
      <c r="J653" s="3">
        <v>0</v>
      </c>
    </row>
    <row r="654" spans="1:10" x14ac:dyDescent="0.3">
      <c r="A654" t="s">
        <v>77</v>
      </c>
      <c r="B654" t="s">
        <v>221</v>
      </c>
      <c r="C654">
        <v>41</v>
      </c>
      <c r="D654" s="1">
        <v>0</v>
      </c>
      <c r="E654">
        <v>0</v>
      </c>
      <c r="F654">
        <v>0</v>
      </c>
      <c r="G654" s="2">
        <v>0</v>
      </c>
      <c r="H654" s="3" t="s">
        <v>213</v>
      </c>
      <c r="I654" s="3" t="s">
        <v>213</v>
      </c>
      <c r="J654" s="3">
        <v>0</v>
      </c>
    </row>
    <row r="655" spans="1:10" x14ac:dyDescent="0.3">
      <c r="A655" t="s">
        <v>20</v>
      </c>
      <c r="B655" t="s">
        <v>228</v>
      </c>
      <c r="C655">
        <v>4290</v>
      </c>
      <c r="D655" s="1">
        <v>9.8800000000000013E-2</v>
      </c>
      <c r="E655">
        <v>424</v>
      </c>
      <c r="F655">
        <v>20</v>
      </c>
      <c r="G655" s="2">
        <v>4.7199999999999999E-2</v>
      </c>
      <c r="H655" s="3">
        <v>0.41</v>
      </c>
      <c r="I655" s="3">
        <v>8.73</v>
      </c>
      <c r="J655" s="3">
        <v>174.64</v>
      </c>
    </row>
    <row r="656" spans="1:10" x14ac:dyDescent="0.3">
      <c r="A656" t="s">
        <v>20</v>
      </c>
      <c r="B656" t="s">
        <v>282</v>
      </c>
      <c r="C656">
        <v>58</v>
      </c>
      <c r="D656" s="1">
        <v>0.3276</v>
      </c>
      <c r="E656">
        <v>19</v>
      </c>
      <c r="F656">
        <v>2</v>
      </c>
      <c r="G656" s="2">
        <v>0.10529999999999999</v>
      </c>
      <c r="H656" s="3">
        <v>0.24</v>
      </c>
      <c r="I656" s="3">
        <v>2.2799999999999998</v>
      </c>
      <c r="J656" s="3">
        <v>4.5599999999999996</v>
      </c>
    </row>
    <row r="657" spans="1:10" x14ac:dyDescent="0.3">
      <c r="A657" t="s">
        <v>20</v>
      </c>
      <c r="B657" t="s">
        <v>228</v>
      </c>
      <c r="C657">
        <v>74</v>
      </c>
      <c r="D657" s="1">
        <v>5.4100000000000002E-2</v>
      </c>
      <c r="E657">
        <v>4</v>
      </c>
      <c r="F657">
        <v>0</v>
      </c>
      <c r="G657" s="2">
        <v>0</v>
      </c>
      <c r="H657" s="3">
        <v>0</v>
      </c>
      <c r="I657" s="3" t="s">
        <v>213</v>
      </c>
      <c r="J657" s="3">
        <v>0</v>
      </c>
    </row>
    <row r="658" spans="1:10" x14ac:dyDescent="0.3">
      <c r="A658" t="s">
        <v>152</v>
      </c>
      <c r="B658" t="s">
        <v>315</v>
      </c>
      <c r="C658">
        <v>17</v>
      </c>
      <c r="D658" s="1">
        <v>0.1176</v>
      </c>
      <c r="E658">
        <v>2</v>
      </c>
      <c r="F658">
        <v>1</v>
      </c>
      <c r="G658" s="2">
        <v>0.5</v>
      </c>
      <c r="H658" s="3">
        <v>3.62</v>
      </c>
      <c r="I658" s="3">
        <v>7.24</v>
      </c>
      <c r="J658" s="3">
        <v>7.24</v>
      </c>
    </row>
    <row r="659" spans="1:10" x14ac:dyDescent="0.3">
      <c r="A659" t="s">
        <v>153</v>
      </c>
      <c r="B659" t="s">
        <v>212</v>
      </c>
      <c r="C659">
        <v>146</v>
      </c>
      <c r="D659" s="1">
        <v>0.13699999999999998</v>
      </c>
      <c r="E659">
        <v>20</v>
      </c>
      <c r="F659">
        <v>3</v>
      </c>
      <c r="G659" s="2">
        <v>0.15</v>
      </c>
      <c r="H659" s="3">
        <v>0.45</v>
      </c>
      <c r="I659" s="3">
        <v>2.97</v>
      </c>
      <c r="J659" s="3">
        <v>8.91</v>
      </c>
    </row>
    <row r="660" spans="1:10" x14ac:dyDescent="0.3">
      <c r="A660" t="s">
        <v>154</v>
      </c>
      <c r="B660" t="s">
        <v>221</v>
      </c>
      <c r="C660">
        <v>645</v>
      </c>
      <c r="D660" s="1">
        <v>3.1E-2</v>
      </c>
      <c r="E660">
        <v>20</v>
      </c>
      <c r="F660">
        <v>0</v>
      </c>
      <c r="G660" s="2">
        <v>0</v>
      </c>
      <c r="H660" s="3">
        <v>0</v>
      </c>
      <c r="I660" s="3" t="s">
        <v>213</v>
      </c>
      <c r="J660" s="3">
        <v>0</v>
      </c>
    </row>
    <row r="661" spans="1:10" x14ac:dyDescent="0.3">
      <c r="A661" t="s">
        <v>97</v>
      </c>
      <c r="B661" t="s">
        <v>221</v>
      </c>
      <c r="C661">
        <v>446</v>
      </c>
      <c r="D661" s="1">
        <v>2.69E-2</v>
      </c>
      <c r="E661">
        <v>12</v>
      </c>
      <c r="F661">
        <v>0</v>
      </c>
      <c r="G661" s="2">
        <v>0</v>
      </c>
      <c r="H661" s="3">
        <v>0</v>
      </c>
      <c r="I661" s="3" t="s">
        <v>213</v>
      </c>
      <c r="J661" s="3">
        <v>0</v>
      </c>
    </row>
    <row r="662" spans="1:10" x14ac:dyDescent="0.3">
      <c r="A662" t="s">
        <v>97</v>
      </c>
      <c r="B662" t="s">
        <v>221</v>
      </c>
      <c r="C662">
        <v>159</v>
      </c>
      <c r="D662" s="1">
        <v>1.89E-2</v>
      </c>
      <c r="E662">
        <v>3</v>
      </c>
      <c r="F662">
        <v>0</v>
      </c>
      <c r="G662" s="2">
        <v>0</v>
      </c>
      <c r="H662" s="3">
        <v>0</v>
      </c>
      <c r="I662" s="3" t="s">
        <v>213</v>
      </c>
      <c r="J662" s="3">
        <v>0</v>
      </c>
    </row>
    <row r="663" spans="1:10" x14ac:dyDescent="0.3">
      <c r="A663" t="s">
        <v>155</v>
      </c>
      <c r="B663" t="s">
        <v>215</v>
      </c>
      <c r="C663">
        <v>271</v>
      </c>
      <c r="D663" s="1">
        <v>6.6400000000000001E-2</v>
      </c>
      <c r="E663">
        <v>18</v>
      </c>
      <c r="F663">
        <v>3</v>
      </c>
      <c r="G663" s="2">
        <v>0.16670000000000001</v>
      </c>
      <c r="H663" s="3">
        <v>0.4</v>
      </c>
      <c r="I663" s="3">
        <v>2.37</v>
      </c>
      <c r="J663" s="3">
        <v>7.12</v>
      </c>
    </row>
    <row r="664" spans="1:10" x14ac:dyDescent="0.3">
      <c r="A664" t="s">
        <v>62</v>
      </c>
      <c r="B664" t="s">
        <v>315</v>
      </c>
      <c r="C664">
        <v>157</v>
      </c>
      <c r="D664" s="1">
        <v>5.7300000000000004E-2</v>
      </c>
      <c r="E664">
        <v>9</v>
      </c>
      <c r="F664">
        <v>1</v>
      </c>
      <c r="G664" s="2">
        <v>0.11109999999999999</v>
      </c>
      <c r="H664" s="3">
        <v>19.3</v>
      </c>
      <c r="I664" s="3">
        <v>173.74</v>
      </c>
      <c r="J664" s="3">
        <v>173.74</v>
      </c>
    </row>
    <row r="665" spans="1:10" x14ac:dyDescent="0.3">
      <c r="A665" t="s">
        <v>62</v>
      </c>
      <c r="B665" t="s">
        <v>313</v>
      </c>
      <c r="C665">
        <v>37</v>
      </c>
      <c r="D665" s="1">
        <v>0.1081</v>
      </c>
      <c r="E665">
        <v>4</v>
      </c>
      <c r="F665">
        <v>0</v>
      </c>
      <c r="G665" s="2">
        <v>0</v>
      </c>
      <c r="H665" s="3">
        <v>0</v>
      </c>
      <c r="I665" s="3" t="s">
        <v>213</v>
      </c>
      <c r="J665" s="3">
        <v>0</v>
      </c>
    </row>
    <row r="666" spans="1:10" x14ac:dyDescent="0.3">
      <c r="A666" t="s">
        <v>54</v>
      </c>
      <c r="B666" t="s">
        <v>217</v>
      </c>
      <c r="C666">
        <v>409</v>
      </c>
      <c r="D666" s="1">
        <v>0.1076</v>
      </c>
      <c r="E666">
        <v>44</v>
      </c>
      <c r="F666">
        <v>4</v>
      </c>
      <c r="G666" s="2">
        <v>9.0899999999999995E-2</v>
      </c>
      <c r="H666" s="3">
        <v>0.67</v>
      </c>
      <c r="I666" s="3">
        <v>7.36</v>
      </c>
      <c r="J666" s="3">
        <v>29.43</v>
      </c>
    </row>
    <row r="667" spans="1:10" x14ac:dyDescent="0.3">
      <c r="A667" t="s">
        <v>156</v>
      </c>
      <c r="B667" t="s">
        <v>421</v>
      </c>
      <c r="C667">
        <v>0</v>
      </c>
      <c r="D667" s="1">
        <v>0</v>
      </c>
      <c r="E667">
        <v>0</v>
      </c>
      <c r="F667">
        <v>0</v>
      </c>
      <c r="G667" s="2">
        <v>0</v>
      </c>
      <c r="H667" s="3" t="s">
        <v>213</v>
      </c>
      <c r="I667" s="3" t="s">
        <v>213</v>
      </c>
      <c r="J667" s="3">
        <v>0</v>
      </c>
    </row>
    <row r="668" spans="1:10" x14ac:dyDescent="0.3">
      <c r="A668" t="s">
        <v>157</v>
      </c>
      <c r="B668" t="s">
        <v>258</v>
      </c>
      <c r="C668">
        <v>184</v>
      </c>
      <c r="D668" s="1">
        <v>5.9800000000000006E-2</v>
      </c>
      <c r="E668">
        <v>11</v>
      </c>
      <c r="F668">
        <v>2</v>
      </c>
      <c r="G668" s="2">
        <v>0.18179999999999999</v>
      </c>
      <c r="H668" s="3">
        <v>1.26</v>
      </c>
      <c r="I668" s="3">
        <v>6.91</v>
      </c>
      <c r="J668" s="3">
        <v>13.81</v>
      </c>
    </row>
    <row r="669" spans="1:10" x14ac:dyDescent="0.3">
      <c r="A669" t="s">
        <v>55</v>
      </c>
      <c r="B669" t="s">
        <v>432</v>
      </c>
      <c r="C669">
        <v>301</v>
      </c>
      <c r="D669" s="1">
        <v>5.9800000000000006E-2</v>
      </c>
      <c r="E669">
        <v>18</v>
      </c>
      <c r="F669">
        <v>1</v>
      </c>
      <c r="G669" s="2">
        <v>5.5599999999999997E-2</v>
      </c>
      <c r="H669" s="3">
        <v>0.59</v>
      </c>
      <c r="I669" s="3">
        <v>10.53</v>
      </c>
      <c r="J669" s="3">
        <v>10.53</v>
      </c>
    </row>
    <row r="670" spans="1:10" x14ac:dyDescent="0.3">
      <c r="A670" t="s">
        <v>158</v>
      </c>
      <c r="B670" t="s">
        <v>233</v>
      </c>
      <c r="C670">
        <v>612</v>
      </c>
      <c r="D670" s="1">
        <v>6.0499999999999998E-2</v>
      </c>
      <c r="E670">
        <v>37</v>
      </c>
      <c r="F670">
        <v>4</v>
      </c>
      <c r="G670" s="2">
        <v>0.1081</v>
      </c>
      <c r="H670" s="3">
        <v>0.57999999999999996</v>
      </c>
      <c r="I670" s="3">
        <v>5.34</v>
      </c>
      <c r="J670" s="3">
        <v>21.36</v>
      </c>
    </row>
    <row r="671" spans="1:10" x14ac:dyDescent="0.3">
      <c r="A671" t="s">
        <v>41</v>
      </c>
      <c r="B671" t="s">
        <v>309</v>
      </c>
      <c r="C671">
        <v>479</v>
      </c>
      <c r="D671" s="1">
        <v>0.1232</v>
      </c>
      <c r="E671">
        <v>59</v>
      </c>
      <c r="F671">
        <v>3</v>
      </c>
      <c r="G671" s="2">
        <v>5.0799999999999998E-2</v>
      </c>
      <c r="H671" s="3">
        <v>0.15</v>
      </c>
      <c r="I671" s="3">
        <v>2.88</v>
      </c>
      <c r="J671" s="3">
        <v>8.6300000000000008</v>
      </c>
    </row>
    <row r="672" spans="1:10" x14ac:dyDescent="0.3">
      <c r="A672" t="s">
        <v>41</v>
      </c>
      <c r="B672" t="s">
        <v>233</v>
      </c>
      <c r="C672">
        <v>473</v>
      </c>
      <c r="D672" s="1">
        <v>9.5100000000000004E-2</v>
      </c>
      <c r="E672">
        <v>45</v>
      </c>
      <c r="F672">
        <v>2</v>
      </c>
      <c r="G672" s="2">
        <v>4.4400000000000002E-2</v>
      </c>
      <c r="H672" s="3">
        <v>0.51</v>
      </c>
      <c r="I672" s="3">
        <v>11.47</v>
      </c>
      <c r="J672" s="3">
        <v>22.93</v>
      </c>
    </row>
    <row r="673" spans="1:10" x14ac:dyDescent="0.3">
      <c r="A673" t="s">
        <v>41</v>
      </c>
      <c r="B673" t="s">
        <v>227</v>
      </c>
      <c r="C673">
        <v>67</v>
      </c>
      <c r="D673" s="1">
        <v>8.9600000000000013E-2</v>
      </c>
      <c r="E673">
        <v>6</v>
      </c>
      <c r="F673">
        <v>1</v>
      </c>
      <c r="G673" s="2">
        <v>0.16670000000000001</v>
      </c>
      <c r="H673" s="3">
        <v>0.42</v>
      </c>
      <c r="I673" s="3">
        <v>2.54</v>
      </c>
      <c r="J673" s="3">
        <v>2.54</v>
      </c>
    </row>
    <row r="674" spans="1:10" x14ac:dyDescent="0.3">
      <c r="A674" t="s">
        <v>41</v>
      </c>
      <c r="B674" t="s">
        <v>227</v>
      </c>
      <c r="C674">
        <v>173</v>
      </c>
      <c r="D674" s="1">
        <v>6.3600000000000004E-2</v>
      </c>
      <c r="E674">
        <v>11</v>
      </c>
      <c r="F674">
        <v>0</v>
      </c>
      <c r="G674" s="2">
        <v>0</v>
      </c>
      <c r="H674" s="3">
        <v>0</v>
      </c>
      <c r="I674" s="3" t="s">
        <v>213</v>
      </c>
      <c r="J674" s="3">
        <v>0</v>
      </c>
    </row>
    <row r="675" spans="1:10" x14ac:dyDescent="0.3">
      <c r="A675" t="s">
        <v>41</v>
      </c>
      <c r="B675" t="s">
        <v>227</v>
      </c>
      <c r="C675">
        <v>42</v>
      </c>
      <c r="D675" s="1">
        <v>0.16670000000000001</v>
      </c>
      <c r="E675">
        <v>7</v>
      </c>
      <c r="F675">
        <v>0</v>
      </c>
      <c r="G675" s="2">
        <v>0</v>
      </c>
      <c r="H675" s="3">
        <v>0</v>
      </c>
      <c r="I675" s="3" t="s">
        <v>213</v>
      </c>
      <c r="J675" s="3">
        <v>0</v>
      </c>
    </row>
    <row r="676" spans="1:10" x14ac:dyDescent="0.3">
      <c r="A676" t="s">
        <v>41</v>
      </c>
      <c r="B676" t="s">
        <v>233</v>
      </c>
      <c r="C676">
        <v>1</v>
      </c>
      <c r="D676" s="1">
        <v>0</v>
      </c>
      <c r="E676">
        <v>0</v>
      </c>
      <c r="F676">
        <v>0</v>
      </c>
      <c r="G676" s="2">
        <v>0</v>
      </c>
      <c r="H676" s="3" t="s">
        <v>213</v>
      </c>
      <c r="I676" s="3" t="s">
        <v>213</v>
      </c>
      <c r="J676" s="3">
        <v>0</v>
      </c>
    </row>
    <row r="677" spans="1:10" x14ac:dyDescent="0.3">
      <c r="A677" t="s">
        <v>41</v>
      </c>
      <c r="B677" t="s">
        <v>227</v>
      </c>
      <c r="C677">
        <v>0</v>
      </c>
      <c r="D677" s="1">
        <v>0</v>
      </c>
      <c r="E677">
        <v>0</v>
      </c>
      <c r="F677">
        <v>0</v>
      </c>
      <c r="G677" s="2">
        <v>0</v>
      </c>
      <c r="H677" s="3" t="s">
        <v>213</v>
      </c>
      <c r="I677" s="3" t="s">
        <v>213</v>
      </c>
      <c r="J677" s="3">
        <v>0</v>
      </c>
    </row>
    <row r="678" spans="1:10" x14ac:dyDescent="0.3">
      <c r="A678" t="s">
        <v>41</v>
      </c>
      <c r="B678" t="s">
        <v>309</v>
      </c>
      <c r="C678">
        <v>423</v>
      </c>
      <c r="D678" s="1">
        <v>7.3300000000000004E-2</v>
      </c>
      <c r="E678">
        <v>31</v>
      </c>
      <c r="F678">
        <v>2</v>
      </c>
      <c r="G678" s="2">
        <v>6.4500000000000002E-2</v>
      </c>
      <c r="H678" s="3">
        <v>0.14000000000000001</v>
      </c>
      <c r="I678" s="3">
        <v>2.2000000000000002</v>
      </c>
      <c r="J678" s="3">
        <v>4.4000000000000004</v>
      </c>
    </row>
    <row r="679" spans="1:10" x14ac:dyDescent="0.3">
      <c r="A679" t="s">
        <v>41</v>
      </c>
      <c r="B679" t="s">
        <v>309</v>
      </c>
      <c r="C679">
        <v>328</v>
      </c>
      <c r="D679" s="1">
        <v>8.2299999999999998E-2</v>
      </c>
      <c r="E679">
        <v>27</v>
      </c>
      <c r="F679">
        <v>1</v>
      </c>
      <c r="G679" s="2">
        <v>3.7000000000000005E-2</v>
      </c>
      <c r="H679" s="3">
        <v>0.28000000000000003</v>
      </c>
      <c r="I679" s="3">
        <v>7.52</v>
      </c>
      <c r="J679" s="3">
        <v>7.52</v>
      </c>
    </row>
    <row r="680" spans="1:10" x14ac:dyDescent="0.3">
      <c r="A680" t="s">
        <v>41</v>
      </c>
      <c r="B680" t="s">
        <v>268</v>
      </c>
      <c r="C680">
        <v>422</v>
      </c>
      <c r="D680" s="1">
        <v>6.1600000000000002E-2</v>
      </c>
      <c r="E680">
        <v>26</v>
      </c>
      <c r="F680">
        <v>1</v>
      </c>
      <c r="G680" s="2">
        <v>3.85E-2</v>
      </c>
      <c r="H680" s="3">
        <v>0.48</v>
      </c>
      <c r="I680" s="3">
        <v>12.38</v>
      </c>
      <c r="J680" s="3">
        <v>12.38</v>
      </c>
    </row>
    <row r="681" spans="1:10" x14ac:dyDescent="0.3">
      <c r="A681" t="s">
        <v>41</v>
      </c>
      <c r="B681" t="s">
        <v>233</v>
      </c>
      <c r="C681">
        <v>1646</v>
      </c>
      <c r="D681" s="1">
        <v>9.4800000000000009E-2</v>
      </c>
      <c r="E681">
        <v>156</v>
      </c>
      <c r="F681">
        <v>22</v>
      </c>
      <c r="G681" s="2">
        <v>0.14099999999999999</v>
      </c>
      <c r="H681" s="3">
        <v>0.41</v>
      </c>
      <c r="I681" s="3">
        <v>2.89</v>
      </c>
      <c r="J681" s="3">
        <v>63.67</v>
      </c>
    </row>
    <row r="682" spans="1:10" x14ac:dyDescent="0.3">
      <c r="A682" t="s">
        <v>41</v>
      </c>
      <c r="B682" t="s">
        <v>233</v>
      </c>
      <c r="C682">
        <v>1424</v>
      </c>
      <c r="D682" s="1">
        <v>8.7100000000000011E-2</v>
      </c>
      <c r="E682">
        <v>124</v>
      </c>
      <c r="F682">
        <v>11</v>
      </c>
      <c r="G682" s="2">
        <v>8.8699999999999987E-2</v>
      </c>
      <c r="H682" s="3">
        <v>0.31</v>
      </c>
      <c r="I682" s="3">
        <v>3.54</v>
      </c>
      <c r="J682" s="3">
        <v>38.96</v>
      </c>
    </row>
    <row r="683" spans="1:10" x14ac:dyDescent="0.3">
      <c r="A683" t="s">
        <v>56</v>
      </c>
      <c r="B683" t="s">
        <v>277</v>
      </c>
      <c r="C683">
        <v>276</v>
      </c>
      <c r="D683" s="1">
        <v>7.6100000000000001E-2</v>
      </c>
      <c r="E683">
        <v>21</v>
      </c>
      <c r="F683">
        <v>2</v>
      </c>
      <c r="G683" s="2">
        <v>9.5199999999999993E-2</v>
      </c>
      <c r="H683" s="3">
        <v>0.32</v>
      </c>
      <c r="I683" s="3">
        <v>3.36</v>
      </c>
      <c r="J683" s="3">
        <v>6.72</v>
      </c>
    </row>
    <row r="684" spans="1:10" x14ac:dyDescent="0.3">
      <c r="A684" t="s">
        <v>73</v>
      </c>
      <c r="B684" t="s">
        <v>217</v>
      </c>
      <c r="C684">
        <v>241</v>
      </c>
      <c r="D684" s="1">
        <v>5.8099999999999999E-2</v>
      </c>
      <c r="E684">
        <v>14</v>
      </c>
      <c r="F684">
        <v>0</v>
      </c>
      <c r="G684" s="2">
        <v>0</v>
      </c>
      <c r="H684" s="3">
        <v>0</v>
      </c>
      <c r="I684" s="3" t="s">
        <v>213</v>
      </c>
      <c r="J684" s="3">
        <v>0</v>
      </c>
    </row>
    <row r="685" spans="1:10" x14ac:dyDescent="0.3">
      <c r="A685" t="s">
        <v>73</v>
      </c>
      <c r="B685" t="s">
        <v>223</v>
      </c>
      <c r="C685">
        <v>295</v>
      </c>
      <c r="D685" s="1">
        <v>4.7500000000000001E-2</v>
      </c>
      <c r="E685">
        <v>14</v>
      </c>
      <c r="F685">
        <v>0</v>
      </c>
      <c r="G685" s="2">
        <v>0</v>
      </c>
      <c r="H685" s="3">
        <v>0</v>
      </c>
      <c r="I685" s="3" t="s">
        <v>213</v>
      </c>
      <c r="J685" s="3">
        <v>0</v>
      </c>
    </row>
    <row r="686" spans="1:10" x14ac:dyDescent="0.3">
      <c r="A686" t="s">
        <v>21</v>
      </c>
      <c r="B686" t="s">
        <v>263</v>
      </c>
      <c r="C686">
        <v>372</v>
      </c>
      <c r="D686" s="1">
        <v>9.1400000000000009E-2</v>
      </c>
      <c r="E686">
        <v>34</v>
      </c>
      <c r="F686">
        <v>2</v>
      </c>
      <c r="G686" s="2">
        <v>5.8799999999999998E-2</v>
      </c>
      <c r="H686" s="3">
        <v>0.44</v>
      </c>
      <c r="I686" s="3">
        <v>7.45</v>
      </c>
      <c r="J686" s="3">
        <v>14.9</v>
      </c>
    </row>
    <row r="687" spans="1:10" x14ac:dyDescent="0.3">
      <c r="A687" t="s">
        <v>58</v>
      </c>
      <c r="B687" t="s">
        <v>223</v>
      </c>
      <c r="C687">
        <v>170</v>
      </c>
      <c r="D687" s="1">
        <v>4.7100000000000003E-2</v>
      </c>
      <c r="E687">
        <v>8</v>
      </c>
      <c r="F687">
        <v>3</v>
      </c>
      <c r="G687" s="2">
        <v>0.375</v>
      </c>
      <c r="H687" s="3">
        <v>3.22</v>
      </c>
      <c r="I687" s="3">
        <v>8.59</v>
      </c>
      <c r="J687" s="3">
        <v>25.78</v>
      </c>
    </row>
    <row r="688" spans="1:10" x14ac:dyDescent="0.3">
      <c r="A688" t="s">
        <v>63</v>
      </c>
      <c r="B688" t="s">
        <v>233</v>
      </c>
      <c r="C688">
        <v>1820</v>
      </c>
      <c r="D688" s="1">
        <v>0.1225</v>
      </c>
      <c r="E688">
        <v>223</v>
      </c>
      <c r="F688">
        <v>13</v>
      </c>
      <c r="G688" s="2">
        <v>5.8299999999999998E-2</v>
      </c>
      <c r="H688" s="3">
        <v>0.24</v>
      </c>
      <c r="I688" s="3">
        <v>4.13</v>
      </c>
      <c r="J688" s="3">
        <v>53.73</v>
      </c>
    </row>
    <row r="689" spans="1:10" x14ac:dyDescent="0.3">
      <c r="A689" t="s">
        <v>63</v>
      </c>
      <c r="B689" t="s">
        <v>233</v>
      </c>
      <c r="C689">
        <v>766</v>
      </c>
      <c r="D689" s="1">
        <v>5.8700000000000002E-2</v>
      </c>
      <c r="E689">
        <v>45</v>
      </c>
      <c r="F689">
        <v>2</v>
      </c>
      <c r="G689" s="2">
        <v>4.4400000000000002E-2</v>
      </c>
      <c r="H689" s="3">
        <v>0.25</v>
      </c>
      <c r="I689" s="3">
        <v>5.59</v>
      </c>
      <c r="J689" s="3">
        <v>11.18</v>
      </c>
    </row>
    <row r="690" spans="1:10" x14ac:dyDescent="0.3">
      <c r="A690" t="s">
        <v>7</v>
      </c>
      <c r="B690" t="s">
        <v>248</v>
      </c>
      <c r="C690">
        <v>2353</v>
      </c>
      <c r="D690" s="1">
        <v>0.13220000000000001</v>
      </c>
      <c r="E690">
        <v>311</v>
      </c>
      <c r="F690">
        <v>49</v>
      </c>
      <c r="G690" s="2">
        <v>0.15759999999999999</v>
      </c>
      <c r="H690" s="3">
        <v>1.6</v>
      </c>
      <c r="I690" s="3">
        <v>10.14</v>
      </c>
      <c r="J690" s="3">
        <v>496.93</v>
      </c>
    </row>
    <row r="691" spans="1:10" x14ac:dyDescent="0.3">
      <c r="A691" t="s">
        <v>7</v>
      </c>
      <c r="B691" t="s">
        <v>248</v>
      </c>
      <c r="C691">
        <v>1537</v>
      </c>
      <c r="D691" s="1">
        <v>0.12300000000000001</v>
      </c>
      <c r="E691">
        <v>189</v>
      </c>
      <c r="F691">
        <v>26</v>
      </c>
      <c r="G691" s="2">
        <v>0.1376</v>
      </c>
      <c r="H691" s="3">
        <v>1.1100000000000001</v>
      </c>
      <c r="I691" s="3">
        <v>8.07</v>
      </c>
      <c r="J691" s="3">
        <v>209.94</v>
      </c>
    </row>
    <row r="692" spans="1:10" x14ac:dyDescent="0.3">
      <c r="A692" t="s">
        <v>7</v>
      </c>
      <c r="B692" t="s">
        <v>242</v>
      </c>
      <c r="C692">
        <v>541</v>
      </c>
      <c r="D692" s="1">
        <v>9.98E-2</v>
      </c>
      <c r="E692">
        <v>54</v>
      </c>
      <c r="F692">
        <v>8</v>
      </c>
      <c r="G692" s="2">
        <v>0.14810000000000001</v>
      </c>
      <c r="H692" s="3">
        <v>0.35</v>
      </c>
      <c r="I692" s="3">
        <v>2.38</v>
      </c>
      <c r="J692" s="3">
        <v>19.059999999999999</v>
      </c>
    </row>
    <row r="693" spans="1:10" x14ac:dyDescent="0.3">
      <c r="A693" t="s">
        <v>7</v>
      </c>
      <c r="B693" t="s">
        <v>215</v>
      </c>
      <c r="C693">
        <v>1425</v>
      </c>
      <c r="D693" s="1">
        <v>0.1186</v>
      </c>
      <c r="E693">
        <v>169</v>
      </c>
      <c r="F693">
        <v>37</v>
      </c>
      <c r="G693" s="2">
        <v>0.21890000000000001</v>
      </c>
      <c r="H693" s="3">
        <v>1.6</v>
      </c>
      <c r="I693" s="3">
        <v>7.32</v>
      </c>
      <c r="J693" s="3">
        <v>270.95</v>
      </c>
    </row>
    <row r="694" spans="1:10" x14ac:dyDescent="0.3">
      <c r="A694" t="s">
        <v>7</v>
      </c>
      <c r="B694" t="s">
        <v>215</v>
      </c>
      <c r="C694">
        <v>580</v>
      </c>
      <c r="D694" s="1">
        <v>0.15689999999999998</v>
      </c>
      <c r="E694">
        <v>91</v>
      </c>
      <c r="F694">
        <v>20</v>
      </c>
      <c r="G694" s="2">
        <v>0.2198</v>
      </c>
      <c r="H694" s="3">
        <v>0.51</v>
      </c>
      <c r="I694" s="3">
        <v>2.31</v>
      </c>
      <c r="J694" s="3">
        <v>46.1</v>
      </c>
    </row>
    <row r="695" spans="1:10" x14ac:dyDescent="0.3">
      <c r="A695" t="s">
        <v>7</v>
      </c>
      <c r="B695" t="s">
        <v>221</v>
      </c>
      <c r="C695">
        <v>1162</v>
      </c>
      <c r="D695" s="1">
        <v>8.09E-2</v>
      </c>
      <c r="E695">
        <v>94</v>
      </c>
      <c r="F695">
        <v>17</v>
      </c>
      <c r="G695" s="2">
        <v>0.18090000000000001</v>
      </c>
      <c r="H695" s="3">
        <v>1.31</v>
      </c>
      <c r="I695" s="3">
        <v>7.25</v>
      </c>
      <c r="J695" s="3">
        <v>123.24</v>
      </c>
    </row>
    <row r="696" spans="1:10" x14ac:dyDescent="0.3">
      <c r="A696" t="s">
        <v>159</v>
      </c>
      <c r="B696" t="s">
        <v>238</v>
      </c>
      <c r="C696">
        <v>175</v>
      </c>
      <c r="D696" s="1">
        <v>0.08</v>
      </c>
      <c r="E696">
        <v>14</v>
      </c>
      <c r="F696">
        <v>0</v>
      </c>
      <c r="G696" s="2">
        <v>0</v>
      </c>
      <c r="H696" s="3">
        <v>0</v>
      </c>
      <c r="I696" s="3" t="s">
        <v>213</v>
      </c>
      <c r="J696" s="3">
        <v>0</v>
      </c>
    </row>
    <row r="697" spans="1:10" x14ac:dyDescent="0.3">
      <c r="A697" t="s">
        <v>160</v>
      </c>
      <c r="B697" t="s">
        <v>233</v>
      </c>
      <c r="C697">
        <v>479</v>
      </c>
      <c r="D697" s="1">
        <v>6.0499999999999998E-2</v>
      </c>
      <c r="E697">
        <v>29</v>
      </c>
      <c r="F697">
        <v>1</v>
      </c>
      <c r="G697" s="2">
        <v>3.4500000000000003E-2</v>
      </c>
      <c r="H697" s="3">
        <v>0.15</v>
      </c>
      <c r="I697" s="3">
        <v>4.4400000000000004</v>
      </c>
      <c r="J697" s="3">
        <v>4.4400000000000004</v>
      </c>
    </row>
    <row r="698" spans="1:10" x14ac:dyDescent="0.3">
      <c r="A698" t="s">
        <v>30</v>
      </c>
      <c r="B698" t="s">
        <v>233</v>
      </c>
      <c r="C698">
        <v>312</v>
      </c>
      <c r="D698" s="1">
        <v>0.13780000000000001</v>
      </c>
      <c r="E698">
        <v>43</v>
      </c>
      <c r="F698">
        <v>7</v>
      </c>
      <c r="G698" s="2">
        <v>0.1628</v>
      </c>
      <c r="H698" s="3">
        <v>0.45</v>
      </c>
      <c r="I698" s="3">
        <v>2.77</v>
      </c>
      <c r="J698" s="3">
        <v>19.420000000000002</v>
      </c>
    </row>
    <row r="699" spans="1:10" x14ac:dyDescent="0.3">
      <c r="A699" t="s">
        <v>14</v>
      </c>
      <c r="B699" t="s">
        <v>233</v>
      </c>
      <c r="C699">
        <v>3463</v>
      </c>
      <c r="D699" s="1">
        <v>0.106</v>
      </c>
      <c r="E699">
        <v>367</v>
      </c>
      <c r="F699">
        <v>48</v>
      </c>
      <c r="G699" s="2">
        <v>0.1308</v>
      </c>
      <c r="H699" s="3">
        <v>0.28000000000000003</v>
      </c>
      <c r="I699" s="3">
        <v>2.13</v>
      </c>
      <c r="J699" s="3">
        <v>102.36</v>
      </c>
    </row>
    <row r="700" spans="1:10" x14ac:dyDescent="0.3">
      <c r="A700" t="s">
        <v>14</v>
      </c>
      <c r="B700" t="s">
        <v>233</v>
      </c>
      <c r="C700">
        <v>2789</v>
      </c>
      <c r="D700" s="1">
        <v>7.9600000000000004E-2</v>
      </c>
      <c r="E700">
        <v>222</v>
      </c>
      <c r="F700">
        <v>14</v>
      </c>
      <c r="G700" s="2">
        <v>6.3099999999999989E-2</v>
      </c>
      <c r="H700" s="3">
        <v>0.28999999999999998</v>
      </c>
      <c r="I700" s="3">
        <v>4.68</v>
      </c>
      <c r="J700" s="3">
        <v>65.45</v>
      </c>
    </row>
    <row r="701" spans="1:10" x14ac:dyDescent="0.3">
      <c r="A701" t="s">
        <v>12</v>
      </c>
      <c r="B701" t="s">
        <v>233</v>
      </c>
      <c r="C701">
        <v>2970</v>
      </c>
      <c r="D701" s="1">
        <v>0.1024</v>
      </c>
      <c r="E701">
        <v>304</v>
      </c>
      <c r="F701">
        <v>35</v>
      </c>
      <c r="G701" s="2">
        <v>0.11509999999999999</v>
      </c>
      <c r="H701" s="3">
        <v>0.25</v>
      </c>
      <c r="I701" s="3">
        <v>2.14</v>
      </c>
      <c r="J701" s="3">
        <v>74.84</v>
      </c>
    </row>
    <row r="702" spans="1:10" x14ac:dyDescent="0.3">
      <c r="A702" t="s">
        <v>12</v>
      </c>
      <c r="B702" t="s">
        <v>356</v>
      </c>
      <c r="C702">
        <v>2093</v>
      </c>
      <c r="D702" s="1">
        <v>0.11990000000000001</v>
      </c>
      <c r="E702">
        <v>251</v>
      </c>
      <c r="F702">
        <v>18</v>
      </c>
      <c r="G702" s="2">
        <v>7.17E-2</v>
      </c>
      <c r="H702" s="3">
        <v>0.52</v>
      </c>
      <c r="I702" s="3">
        <v>7.21</v>
      </c>
      <c r="J702" s="3">
        <v>129.69999999999999</v>
      </c>
    </row>
    <row r="703" spans="1:10" x14ac:dyDescent="0.3">
      <c r="A703" t="s">
        <v>12</v>
      </c>
      <c r="B703" t="s">
        <v>356</v>
      </c>
      <c r="C703">
        <v>2215</v>
      </c>
      <c r="D703" s="1">
        <v>8.1699999999999995E-2</v>
      </c>
      <c r="E703">
        <v>181</v>
      </c>
      <c r="F703">
        <v>13</v>
      </c>
      <c r="G703" s="2">
        <v>7.1800000000000003E-2</v>
      </c>
      <c r="H703" s="3">
        <v>0.2</v>
      </c>
      <c r="I703" s="3">
        <v>2.76</v>
      </c>
      <c r="J703" s="3">
        <v>35.85</v>
      </c>
    </row>
    <row r="704" spans="1:10" x14ac:dyDescent="0.3">
      <c r="A704" t="s">
        <v>32</v>
      </c>
      <c r="B704" t="s">
        <v>353</v>
      </c>
      <c r="C704">
        <v>744</v>
      </c>
      <c r="D704" s="1">
        <v>0.10220000000000001</v>
      </c>
      <c r="E704">
        <v>76</v>
      </c>
      <c r="F704">
        <v>5</v>
      </c>
      <c r="G704" s="2">
        <v>6.5799999999999997E-2</v>
      </c>
      <c r="H704" s="3">
        <v>0.65</v>
      </c>
      <c r="I704" s="3">
        <v>9.85</v>
      </c>
      <c r="J704" s="3">
        <v>49.26</v>
      </c>
    </row>
    <row r="705" spans="1:10" x14ac:dyDescent="0.3">
      <c r="A705" t="s">
        <v>32</v>
      </c>
      <c r="B705" t="s">
        <v>244</v>
      </c>
      <c r="C705">
        <v>582</v>
      </c>
      <c r="D705" s="1">
        <v>6.3600000000000004E-2</v>
      </c>
      <c r="E705">
        <v>37</v>
      </c>
      <c r="F705">
        <v>5</v>
      </c>
      <c r="G705" s="2">
        <v>0.1351</v>
      </c>
      <c r="H705" s="3">
        <v>0.88</v>
      </c>
      <c r="I705" s="3">
        <v>6.5</v>
      </c>
      <c r="J705" s="3">
        <v>32.51</v>
      </c>
    </row>
    <row r="706" spans="1:10" x14ac:dyDescent="0.3">
      <c r="A706" t="s">
        <v>66</v>
      </c>
      <c r="B706" t="s">
        <v>244</v>
      </c>
      <c r="C706">
        <v>520</v>
      </c>
      <c r="D706" s="1">
        <v>7.3099999999999998E-2</v>
      </c>
      <c r="E706">
        <v>38</v>
      </c>
      <c r="F706">
        <v>2</v>
      </c>
      <c r="G706" s="2">
        <v>5.2600000000000001E-2</v>
      </c>
      <c r="H706" s="3">
        <v>0.11</v>
      </c>
      <c r="I706" s="3">
        <v>2.0499999999999998</v>
      </c>
      <c r="J706" s="3">
        <v>4.09</v>
      </c>
    </row>
    <row r="707" spans="1:10" x14ac:dyDescent="0.3">
      <c r="A707" t="s">
        <v>66</v>
      </c>
      <c r="B707" t="s">
        <v>244</v>
      </c>
      <c r="C707">
        <v>270</v>
      </c>
      <c r="D707" s="1">
        <v>8.1500000000000003E-2</v>
      </c>
      <c r="E707">
        <v>22</v>
      </c>
      <c r="F707">
        <v>2</v>
      </c>
      <c r="G707" s="2">
        <v>9.0899999999999995E-2</v>
      </c>
      <c r="H707" s="3">
        <v>0.52</v>
      </c>
      <c r="I707" s="3">
        <v>5.77</v>
      </c>
      <c r="J707" s="3">
        <v>11.54</v>
      </c>
    </row>
    <row r="708" spans="1:10" x14ac:dyDescent="0.3">
      <c r="A708" t="s">
        <v>66</v>
      </c>
      <c r="B708" t="s">
        <v>446</v>
      </c>
      <c r="C708">
        <v>437</v>
      </c>
      <c r="D708" s="1">
        <v>9.6099999999999991E-2</v>
      </c>
      <c r="E708">
        <v>42</v>
      </c>
      <c r="F708">
        <v>1</v>
      </c>
      <c r="G708" s="2">
        <v>2.3799999999999998E-2</v>
      </c>
      <c r="H708" s="3">
        <v>0.25</v>
      </c>
      <c r="I708" s="3">
        <v>10.33</v>
      </c>
      <c r="J708" s="3">
        <v>10.33</v>
      </c>
    </row>
    <row r="709" spans="1:10" x14ac:dyDescent="0.3">
      <c r="A709" t="s">
        <v>78</v>
      </c>
      <c r="B709" t="s">
        <v>251</v>
      </c>
      <c r="C709">
        <v>265</v>
      </c>
      <c r="D709" s="1">
        <v>3.0200000000000001E-2</v>
      </c>
      <c r="E709">
        <v>8</v>
      </c>
      <c r="F709">
        <v>0</v>
      </c>
      <c r="G709" s="2">
        <v>0</v>
      </c>
      <c r="H709" s="3">
        <v>0</v>
      </c>
      <c r="I709" s="3" t="s">
        <v>213</v>
      </c>
      <c r="J709" s="3">
        <v>0</v>
      </c>
    </row>
    <row r="710" spans="1:10" x14ac:dyDescent="0.3">
      <c r="A710" t="s">
        <v>78</v>
      </c>
      <c r="B710" t="s">
        <v>227</v>
      </c>
      <c r="C710">
        <v>25</v>
      </c>
      <c r="D710" s="1">
        <v>0.12</v>
      </c>
      <c r="E710">
        <v>3</v>
      </c>
      <c r="F710">
        <v>1</v>
      </c>
      <c r="G710" s="2">
        <v>0.33329999999999999</v>
      </c>
      <c r="H710" s="3">
        <v>28.18</v>
      </c>
      <c r="I710" s="3">
        <v>84.53</v>
      </c>
      <c r="J710" s="3">
        <v>84.53</v>
      </c>
    </row>
    <row r="711" spans="1:10" x14ac:dyDescent="0.3">
      <c r="A711" t="s">
        <v>78</v>
      </c>
      <c r="B711" t="s">
        <v>227</v>
      </c>
      <c r="C711">
        <v>95</v>
      </c>
      <c r="D711" s="1">
        <v>0.1368</v>
      </c>
      <c r="E711">
        <v>13</v>
      </c>
      <c r="F711">
        <v>0</v>
      </c>
      <c r="G711" s="2">
        <v>0</v>
      </c>
      <c r="H711" s="3">
        <v>0</v>
      </c>
      <c r="I711" s="3" t="s">
        <v>213</v>
      </c>
      <c r="J711" s="3">
        <v>0</v>
      </c>
    </row>
    <row r="712" spans="1:10" x14ac:dyDescent="0.3">
      <c r="A712" t="s">
        <v>78</v>
      </c>
      <c r="B712" t="s">
        <v>227</v>
      </c>
      <c r="C712">
        <v>191</v>
      </c>
      <c r="D712" s="1">
        <v>5.2400000000000002E-2</v>
      </c>
      <c r="E712">
        <v>10</v>
      </c>
      <c r="F712">
        <v>0</v>
      </c>
      <c r="G712" s="2">
        <v>0</v>
      </c>
      <c r="H712" s="3">
        <v>0</v>
      </c>
      <c r="I712" s="3" t="s">
        <v>213</v>
      </c>
      <c r="J712" s="3">
        <v>0</v>
      </c>
    </row>
    <row r="713" spans="1:10" x14ac:dyDescent="0.3">
      <c r="A713" t="s">
        <v>78</v>
      </c>
      <c r="B713" t="s">
        <v>227</v>
      </c>
      <c r="C713">
        <v>97</v>
      </c>
      <c r="D713" s="1">
        <v>0.10310000000000001</v>
      </c>
      <c r="E713">
        <v>10</v>
      </c>
      <c r="F713">
        <v>0</v>
      </c>
      <c r="G713" s="2">
        <v>0</v>
      </c>
      <c r="H713" s="3">
        <v>0</v>
      </c>
      <c r="I713" s="3" t="s">
        <v>213</v>
      </c>
      <c r="J713" s="3">
        <v>0</v>
      </c>
    </row>
    <row r="714" spans="1:10" x14ac:dyDescent="0.3">
      <c r="A714" t="s">
        <v>78</v>
      </c>
      <c r="B714" t="s">
        <v>227</v>
      </c>
      <c r="C714">
        <v>0</v>
      </c>
      <c r="D714" s="1">
        <v>0</v>
      </c>
      <c r="E714">
        <v>0</v>
      </c>
      <c r="F714">
        <v>0</v>
      </c>
      <c r="G714" s="2">
        <v>0</v>
      </c>
      <c r="H714" s="3" t="s">
        <v>213</v>
      </c>
      <c r="I714" s="3" t="s">
        <v>213</v>
      </c>
      <c r="J714" s="3">
        <v>0</v>
      </c>
    </row>
    <row r="715" spans="1:10" x14ac:dyDescent="0.3">
      <c r="A715" t="s">
        <v>78</v>
      </c>
      <c r="B715" t="s">
        <v>300</v>
      </c>
      <c r="C715">
        <v>963</v>
      </c>
      <c r="D715" s="1">
        <v>8.3100000000000007E-2</v>
      </c>
      <c r="E715">
        <v>80</v>
      </c>
      <c r="F715">
        <v>7</v>
      </c>
      <c r="G715" s="2">
        <v>8.7499999999999994E-2</v>
      </c>
      <c r="H715" s="3">
        <v>0.26</v>
      </c>
      <c r="I715" s="3">
        <v>2.97</v>
      </c>
      <c r="J715" s="3">
        <v>20.79</v>
      </c>
    </row>
    <row r="716" spans="1:10" x14ac:dyDescent="0.3">
      <c r="A716" t="s">
        <v>78</v>
      </c>
      <c r="B716" t="s">
        <v>451</v>
      </c>
      <c r="C716">
        <v>388</v>
      </c>
      <c r="D716" s="1">
        <v>5.9299999999999999E-2</v>
      </c>
      <c r="E716">
        <v>23</v>
      </c>
      <c r="F716">
        <v>1</v>
      </c>
      <c r="G716" s="2">
        <v>4.3499999999999997E-2</v>
      </c>
      <c r="H716" s="3">
        <v>0.51</v>
      </c>
      <c r="I716" s="3">
        <v>11.67</v>
      </c>
      <c r="J716" s="3">
        <v>11.67</v>
      </c>
    </row>
    <row r="717" spans="1:10" x14ac:dyDescent="0.3">
      <c r="A717" t="s">
        <v>161</v>
      </c>
      <c r="B717" t="s">
        <v>268</v>
      </c>
      <c r="C717">
        <v>477</v>
      </c>
      <c r="D717" s="1">
        <v>0.1656</v>
      </c>
      <c r="E717">
        <v>79</v>
      </c>
      <c r="F717">
        <v>1</v>
      </c>
      <c r="G717" s="2">
        <v>1.2699999999999999E-2</v>
      </c>
      <c r="H717" s="3">
        <v>0.18</v>
      </c>
      <c r="I717" s="3">
        <v>14.52</v>
      </c>
      <c r="J717" s="3">
        <v>14.52</v>
      </c>
    </row>
    <row r="718" spans="1:10" x14ac:dyDescent="0.3">
      <c r="A718" t="s">
        <v>26</v>
      </c>
      <c r="B718" t="s">
        <v>432</v>
      </c>
      <c r="C718">
        <v>386</v>
      </c>
      <c r="D718" s="1">
        <v>6.9900000000000004E-2</v>
      </c>
      <c r="E718">
        <v>27</v>
      </c>
      <c r="F718">
        <v>3</v>
      </c>
      <c r="G718" s="2">
        <v>0.11109999999999999</v>
      </c>
      <c r="H718" s="3">
        <v>0.44</v>
      </c>
      <c r="I718" s="3">
        <v>3.96</v>
      </c>
      <c r="J718" s="3">
        <v>11.87</v>
      </c>
    </row>
    <row r="719" spans="1:10" x14ac:dyDescent="0.3">
      <c r="A719" t="s">
        <v>26</v>
      </c>
      <c r="B719" t="s">
        <v>432</v>
      </c>
      <c r="C719">
        <v>255</v>
      </c>
      <c r="D719" s="1">
        <v>8.6300000000000002E-2</v>
      </c>
      <c r="E719">
        <v>22</v>
      </c>
      <c r="F719">
        <v>1</v>
      </c>
      <c r="G719" s="2">
        <v>4.5499999999999999E-2</v>
      </c>
      <c r="H719" s="3">
        <v>0.08</v>
      </c>
      <c r="I719" s="3">
        <v>1.7</v>
      </c>
      <c r="J719" s="3">
        <v>1.7</v>
      </c>
    </row>
    <row r="720" spans="1:10" x14ac:dyDescent="0.3">
      <c r="A720" t="s">
        <v>25</v>
      </c>
      <c r="B720" t="s">
        <v>452</v>
      </c>
      <c r="C720">
        <v>2436</v>
      </c>
      <c r="D720" s="1">
        <v>0.1076</v>
      </c>
      <c r="E720">
        <v>262</v>
      </c>
      <c r="F720">
        <v>29</v>
      </c>
      <c r="G720" s="2">
        <v>0.11070000000000001</v>
      </c>
      <c r="H720" s="3">
        <v>0.27</v>
      </c>
      <c r="I720" s="3">
        <v>2.48</v>
      </c>
      <c r="J720" s="3">
        <v>71.78</v>
      </c>
    </row>
    <row r="721" spans="1:10" x14ac:dyDescent="0.3">
      <c r="A721" t="s">
        <v>162</v>
      </c>
      <c r="B721" t="s">
        <v>421</v>
      </c>
      <c r="C721">
        <v>0</v>
      </c>
      <c r="D721" s="1">
        <v>0</v>
      </c>
      <c r="E721">
        <v>0</v>
      </c>
      <c r="F721">
        <v>0</v>
      </c>
      <c r="G721" s="2">
        <v>0</v>
      </c>
      <c r="H721" s="3" t="s">
        <v>213</v>
      </c>
      <c r="I721" s="3" t="s">
        <v>213</v>
      </c>
      <c r="J721" s="3">
        <v>0</v>
      </c>
    </row>
    <row r="722" spans="1:10" x14ac:dyDescent="0.3">
      <c r="A722" t="s">
        <v>98</v>
      </c>
      <c r="B722" t="s">
        <v>223</v>
      </c>
      <c r="C722">
        <v>173</v>
      </c>
      <c r="D722" s="1">
        <v>0.12140000000000001</v>
      </c>
      <c r="E722">
        <v>21</v>
      </c>
      <c r="F722">
        <v>1</v>
      </c>
      <c r="G722" s="2">
        <v>4.7599999999999996E-2</v>
      </c>
      <c r="H722" s="3">
        <v>0.61</v>
      </c>
      <c r="I722" s="3">
        <v>12.81</v>
      </c>
      <c r="J722" s="3">
        <v>12.81</v>
      </c>
    </row>
    <row r="723" spans="1:10" x14ac:dyDescent="0.3">
      <c r="A723" t="s">
        <v>98</v>
      </c>
      <c r="B723" t="s">
        <v>261</v>
      </c>
      <c r="C723">
        <v>463</v>
      </c>
      <c r="D723" s="1">
        <v>0.10369999999999999</v>
      </c>
      <c r="E723">
        <v>48</v>
      </c>
      <c r="F723">
        <v>0</v>
      </c>
      <c r="G723" s="2">
        <v>0</v>
      </c>
      <c r="H723" s="3">
        <v>0</v>
      </c>
      <c r="I723" s="3" t="s">
        <v>213</v>
      </c>
      <c r="J723" s="3">
        <v>0</v>
      </c>
    </row>
    <row r="724" spans="1:10" x14ac:dyDescent="0.3">
      <c r="A724" t="s">
        <v>99</v>
      </c>
      <c r="B724" t="s">
        <v>300</v>
      </c>
      <c r="C724">
        <v>0</v>
      </c>
      <c r="D724" s="1">
        <v>0</v>
      </c>
      <c r="E724">
        <v>0</v>
      </c>
      <c r="F724">
        <v>0</v>
      </c>
      <c r="G724" s="2">
        <v>0</v>
      </c>
      <c r="H724" s="3" t="s">
        <v>213</v>
      </c>
      <c r="I724" s="3" t="s">
        <v>213</v>
      </c>
      <c r="J724" s="3">
        <v>0</v>
      </c>
    </row>
    <row r="725" spans="1:10" x14ac:dyDescent="0.3">
      <c r="A725" t="s">
        <v>99</v>
      </c>
      <c r="B725" t="s">
        <v>300</v>
      </c>
      <c r="C725">
        <v>0</v>
      </c>
      <c r="D725" s="1">
        <v>0</v>
      </c>
      <c r="E725">
        <v>0</v>
      </c>
      <c r="F725">
        <v>0</v>
      </c>
      <c r="G725" s="2">
        <v>0</v>
      </c>
      <c r="H725" s="3" t="s">
        <v>213</v>
      </c>
      <c r="I725" s="3" t="s">
        <v>213</v>
      </c>
      <c r="J725" s="3">
        <v>0</v>
      </c>
    </row>
    <row r="726" spans="1:10" x14ac:dyDescent="0.3">
      <c r="A726" t="s">
        <v>163</v>
      </c>
      <c r="B726" t="s">
        <v>453</v>
      </c>
      <c r="C726">
        <v>248</v>
      </c>
      <c r="D726" s="1">
        <v>6.0499999999999998E-2</v>
      </c>
      <c r="E726">
        <v>15</v>
      </c>
      <c r="F726">
        <v>0</v>
      </c>
      <c r="G726" s="2">
        <v>0</v>
      </c>
      <c r="H726" s="3">
        <v>0</v>
      </c>
      <c r="I726" s="3" t="s">
        <v>213</v>
      </c>
      <c r="J726" s="3">
        <v>0</v>
      </c>
    </row>
    <row r="727" spans="1:10" x14ac:dyDescent="0.3">
      <c r="A727" t="s">
        <v>454</v>
      </c>
      <c r="B727" t="s">
        <v>221</v>
      </c>
      <c r="C727">
        <v>750</v>
      </c>
      <c r="D727" s="1">
        <v>3.3300000000000003E-2</v>
      </c>
      <c r="E727">
        <v>25</v>
      </c>
      <c r="F727">
        <v>4</v>
      </c>
      <c r="G727" s="2">
        <v>0.16</v>
      </c>
      <c r="H727" s="3">
        <v>0.52</v>
      </c>
      <c r="I727" s="3">
        <v>3.27</v>
      </c>
      <c r="J727" s="3">
        <v>13.06</v>
      </c>
    </row>
    <row r="728" spans="1:10" x14ac:dyDescent="0.3">
      <c r="A728" t="s">
        <v>164</v>
      </c>
      <c r="B728" t="s">
        <v>238</v>
      </c>
      <c r="C728">
        <v>125</v>
      </c>
      <c r="D728" s="1">
        <v>7.2000000000000008E-2</v>
      </c>
      <c r="E728">
        <v>9</v>
      </c>
      <c r="F728">
        <v>0</v>
      </c>
      <c r="G728" s="2">
        <v>0</v>
      </c>
      <c r="H728" s="3">
        <v>0</v>
      </c>
      <c r="I728" s="3" t="s">
        <v>213</v>
      </c>
      <c r="J728" s="3">
        <v>0</v>
      </c>
    </row>
    <row r="729" spans="1:10" x14ac:dyDescent="0.3">
      <c r="A729" t="s">
        <v>165</v>
      </c>
      <c r="B729" t="s">
        <v>235</v>
      </c>
      <c r="C729">
        <v>35</v>
      </c>
      <c r="D729" s="1">
        <v>5.7099999999999998E-2</v>
      </c>
      <c r="E729">
        <v>2</v>
      </c>
      <c r="F729">
        <v>0</v>
      </c>
      <c r="G729" s="2">
        <v>0</v>
      </c>
      <c r="H729" s="3">
        <v>0</v>
      </c>
      <c r="I729" s="3" t="s">
        <v>213</v>
      </c>
      <c r="J729" s="3">
        <v>0</v>
      </c>
    </row>
    <row r="730" spans="1:10" x14ac:dyDescent="0.3">
      <c r="A730" t="s">
        <v>166</v>
      </c>
      <c r="B730" t="s">
        <v>272</v>
      </c>
      <c r="C730">
        <v>189</v>
      </c>
      <c r="D730" s="1">
        <v>0.10580000000000001</v>
      </c>
      <c r="E730">
        <v>20</v>
      </c>
      <c r="F730">
        <v>0</v>
      </c>
      <c r="G730" s="2">
        <v>0</v>
      </c>
      <c r="H730" s="3">
        <v>0</v>
      </c>
      <c r="I730" s="3" t="s">
        <v>213</v>
      </c>
      <c r="J730" s="3">
        <v>0</v>
      </c>
    </row>
    <row r="731" spans="1:10" x14ac:dyDescent="0.3">
      <c r="A731" t="s">
        <v>167</v>
      </c>
      <c r="B731" t="s">
        <v>215</v>
      </c>
      <c r="C731">
        <v>127</v>
      </c>
      <c r="D731" s="1">
        <v>5.5099999999999996E-2</v>
      </c>
      <c r="E731">
        <v>7</v>
      </c>
      <c r="F731">
        <v>1</v>
      </c>
      <c r="G731" s="2">
        <v>0.1429</v>
      </c>
      <c r="H731" s="3">
        <v>0.9</v>
      </c>
      <c r="I731" s="3">
        <v>6.3</v>
      </c>
      <c r="J731" s="3">
        <v>6.3</v>
      </c>
    </row>
    <row r="732" spans="1:10" x14ac:dyDescent="0.3">
      <c r="A732" t="s">
        <v>57</v>
      </c>
      <c r="B732" t="s">
        <v>235</v>
      </c>
      <c r="C732">
        <v>70</v>
      </c>
      <c r="D732" s="1">
        <v>5.7099999999999998E-2</v>
      </c>
      <c r="E732">
        <v>4</v>
      </c>
      <c r="F732">
        <v>1</v>
      </c>
      <c r="G732" s="2">
        <v>0.25</v>
      </c>
      <c r="H732" s="3">
        <v>2</v>
      </c>
      <c r="I732" s="3">
        <v>7.98</v>
      </c>
      <c r="J732" s="3">
        <v>7.98</v>
      </c>
    </row>
    <row r="733" spans="1:10" x14ac:dyDescent="0.3">
      <c r="A733" t="s">
        <v>39</v>
      </c>
      <c r="B733" t="s">
        <v>212</v>
      </c>
      <c r="C733">
        <v>485</v>
      </c>
      <c r="D733" s="1">
        <v>7.6299999999999993E-2</v>
      </c>
      <c r="E733">
        <v>37</v>
      </c>
      <c r="F733">
        <v>4</v>
      </c>
      <c r="G733" s="2">
        <v>0.1081</v>
      </c>
      <c r="H733" s="3">
        <v>0.84</v>
      </c>
      <c r="I733" s="3">
        <v>7.81</v>
      </c>
      <c r="J733" s="3">
        <v>31.22</v>
      </c>
    </row>
    <row r="734" spans="1:10" x14ac:dyDescent="0.3">
      <c r="A734" t="s">
        <v>168</v>
      </c>
      <c r="B734" t="s">
        <v>356</v>
      </c>
      <c r="C734">
        <v>1</v>
      </c>
      <c r="D734" s="1">
        <v>0</v>
      </c>
      <c r="E734">
        <v>0</v>
      </c>
      <c r="F734">
        <v>0</v>
      </c>
      <c r="G734" s="2">
        <v>0</v>
      </c>
      <c r="H734" s="3" t="s">
        <v>213</v>
      </c>
      <c r="I734" s="3" t="s">
        <v>213</v>
      </c>
      <c r="J734" s="3">
        <v>0</v>
      </c>
    </row>
    <row r="735" spans="1:10" x14ac:dyDescent="0.3">
      <c r="A735" t="s">
        <v>169</v>
      </c>
      <c r="B735" t="s">
        <v>277</v>
      </c>
      <c r="C735">
        <v>134</v>
      </c>
      <c r="D735" s="1">
        <v>0.12689999999999999</v>
      </c>
      <c r="E735">
        <v>17</v>
      </c>
      <c r="F735">
        <v>1</v>
      </c>
      <c r="G735" s="2">
        <v>5.8799999999999998E-2</v>
      </c>
      <c r="H735" s="3">
        <v>0.39</v>
      </c>
      <c r="I735" s="3">
        <v>6.57</v>
      </c>
      <c r="J735" s="3">
        <v>6.57</v>
      </c>
    </row>
    <row r="736" spans="1:10" x14ac:dyDescent="0.3">
      <c r="A736" t="s">
        <v>170</v>
      </c>
      <c r="B736" t="s">
        <v>244</v>
      </c>
      <c r="C736">
        <v>128</v>
      </c>
      <c r="D736" s="1">
        <v>5.4699999999999999E-2</v>
      </c>
      <c r="E736">
        <v>7</v>
      </c>
      <c r="F736">
        <v>1</v>
      </c>
      <c r="G736" s="2">
        <v>0.1429</v>
      </c>
      <c r="H736" s="3">
        <v>0.28999999999999998</v>
      </c>
      <c r="I736" s="3">
        <v>2.06</v>
      </c>
      <c r="J736" s="3">
        <v>2.06</v>
      </c>
    </row>
    <row r="737" spans="1:10" x14ac:dyDescent="0.3">
      <c r="A737" t="s">
        <v>80</v>
      </c>
      <c r="B737" t="s">
        <v>221</v>
      </c>
      <c r="C737">
        <v>312</v>
      </c>
      <c r="D737" s="1">
        <v>6.7299999999999999E-2</v>
      </c>
      <c r="E737">
        <v>21</v>
      </c>
      <c r="F737">
        <v>2</v>
      </c>
      <c r="G737" s="2">
        <v>9.5199999999999993E-2</v>
      </c>
      <c r="H737" s="3">
        <v>0.24</v>
      </c>
      <c r="I737" s="3">
        <v>2.5499999999999998</v>
      </c>
      <c r="J737" s="3">
        <v>5.09</v>
      </c>
    </row>
    <row r="738" spans="1:10" x14ac:dyDescent="0.3">
      <c r="A738" t="s">
        <v>80</v>
      </c>
      <c r="B738" t="s">
        <v>223</v>
      </c>
      <c r="C738">
        <v>260</v>
      </c>
      <c r="D738" s="1">
        <v>6.1500000000000006E-2</v>
      </c>
      <c r="E738">
        <v>16</v>
      </c>
      <c r="F738">
        <v>1</v>
      </c>
      <c r="G738" s="2">
        <v>6.25E-2</v>
      </c>
      <c r="H738" s="3">
        <v>0.11</v>
      </c>
      <c r="I738" s="3">
        <v>1.7</v>
      </c>
      <c r="J738" s="3">
        <v>1.7</v>
      </c>
    </row>
    <row r="739" spans="1:10" x14ac:dyDescent="0.3">
      <c r="A739" t="s">
        <v>80</v>
      </c>
      <c r="B739" t="s">
        <v>215</v>
      </c>
      <c r="C739">
        <v>235</v>
      </c>
      <c r="D739" s="1">
        <v>5.1100000000000007E-2</v>
      </c>
      <c r="E739">
        <v>12</v>
      </c>
      <c r="F739">
        <v>1</v>
      </c>
      <c r="G739" s="2">
        <v>8.3299999999999999E-2</v>
      </c>
      <c r="H739" s="3">
        <v>0.14000000000000001</v>
      </c>
      <c r="I739" s="3">
        <v>1.7</v>
      </c>
      <c r="J739" s="3">
        <v>1.7</v>
      </c>
    </row>
    <row r="740" spans="1:10" x14ac:dyDescent="0.3">
      <c r="A740" t="s">
        <v>80</v>
      </c>
      <c r="B740" t="s">
        <v>215</v>
      </c>
      <c r="C740">
        <v>246</v>
      </c>
      <c r="D740" s="1">
        <v>6.0999999999999999E-2</v>
      </c>
      <c r="E740">
        <v>15</v>
      </c>
      <c r="F740">
        <v>0</v>
      </c>
      <c r="G740" s="2">
        <v>0</v>
      </c>
      <c r="H740" s="3">
        <v>0</v>
      </c>
      <c r="I740" s="3" t="s">
        <v>213</v>
      </c>
      <c r="J740" s="3">
        <v>0</v>
      </c>
    </row>
    <row r="741" spans="1:10" x14ac:dyDescent="0.3">
      <c r="A741" t="s">
        <v>80</v>
      </c>
      <c r="B741" t="s">
        <v>223</v>
      </c>
      <c r="C741">
        <v>112</v>
      </c>
      <c r="D741" s="1">
        <v>7.1399999999999991E-2</v>
      </c>
      <c r="E741">
        <v>8</v>
      </c>
      <c r="F741">
        <v>0</v>
      </c>
      <c r="G741" s="2">
        <v>0</v>
      </c>
      <c r="H741" s="3">
        <v>0</v>
      </c>
      <c r="I741" s="3" t="s">
        <v>213</v>
      </c>
      <c r="J741" s="3">
        <v>0</v>
      </c>
    </row>
    <row r="742" spans="1:10" x14ac:dyDescent="0.3">
      <c r="A742" t="s">
        <v>67</v>
      </c>
      <c r="B742" t="s">
        <v>223</v>
      </c>
      <c r="C742">
        <v>845</v>
      </c>
      <c r="D742" s="1">
        <v>4.9699999999999994E-2</v>
      </c>
      <c r="E742">
        <v>42</v>
      </c>
      <c r="F742">
        <v>3</v>
      </c>
      <c r="G742" s="2">
        <v>7.1399999999999991E-2</v>
      </c>
      <c r="H742" s="3">
        <v>1.56</v>
      </c>
      <c r="I742" s="3">
        <v>21.9</v>
      </c>
      <c r="J742" s="3">
        <v>65.69</v>
      </c>
    </row>
    <row r="743" spans="1:10" x14ac:dyDescent="0.3">
      <c r="A743" t="s">
        <v>67</v>
      </c>
      <c r="B743" t="s">
        <v>223</v>
      </c>
      <c r="C743">
        <v>124</v>
      </c>
      <c r="D743" s="1">
        <v>5.6500000000000002E-2</v>
      </c>
      <c r="E743">
        <v>7</v>
      </c>
      <c r="F743">
        <v>1</v>
      </c>
      <c r="G743" s="2">
        <v>0.1429</v>
      </c>
      <c r="H743" s="3">
        <v>0.95</v>
      </c>
      <c r="I743" s="3">
        <v>6.67</v>
      </c>
      <c r="J743" s="3">
        <v>6.67</v>
      </c>
    </row>
    <row r="744" spans="1:10" x14ac:dyDescent="0.3">
      <c r="A744" t="s">
        <v>67</v>
      </c>
      <c r="B744" t="s">
        <v>223</v>
      </c>
      <c r="C744">
        <v>32</v>
      </c>
      <c r="D744" s="1">
        <v>3.1300000000000001E-2</v>
      </c>
      <c r="E744">
        <v>1</v>
      </c>
      <c r="F744">
        <v>0</v>
      </c>
      <c r="G744" s="2">
        <v>0</v>
      </c>
      <c r="H744" s="3">
        <v>0</v>
      </c>
      <c r="I744" s="3" t="s">
        <v>213</v>
      </c>
      <c r="J744" s="3">
        <v>0</v>
      </c>
    </row>
    <row r="745" spans="1:10" x14ac:dyDescent="0.3">
      <c r="A745" t="s">
        <v>68</v>
      </c>
      <c r="B745" t="s">
        <v>223</v>
      </c>
      <c r="C745">
        <v>92</v>
      </c>
      <c r="D745" s="1">
        <v>8.6999999999999994E-2</v>
      </c>
      <c r="E745">
        <v>8</v>
      </c>
      <c r="F745">
        <v>0</v>
      </c>
      <c r="G745" s="2">
        <v>0</v>
      </c>
      <c r="H745" s="3">
        <v>5.22</v>
      </c>
      <c r="I745" s="3">
        <v>8.34</v>
      </c>
      <c r="J745" s="3">
        <v>41.72</v>
      </c>
    </row>
    <row r="746" spans="1:10" x14ac:dyDescent="0.3">
      <c r="A746" t="s">
        <v>68</v>
      </c>
      <c r="B746" t="s">
        <v>223</v>
      </c>
      <c r="C746">
        <v>2141</v>
      </c>
      <c r="D746" s="1">
        <v>7.5700000000000003E-2</v>
      </c>
      <c r="E746">
        <v>162</v>
      </c>
      <c r="F746">
        <v>12</v>
      </c>
      <c r="G746" s="2">
        <v>7.4099999999999999E-2</v>
      </c>
      <c r="H746" s="3">
        <v>1.0900000000000001</v>
      </c>
      <c r="I746" s="3">
        <v>14.7</v>
      </c>
      <c r="J746" s="3">
        <v>176.41</v>
      </c>
    </row>
    <row r="747" spans="1:10" x14ac:dyDescent="0.3">
      <c r="A747" t="s">
        <v>68</v>
      </c>
      <c r="B747" t="s">
        <v>223</v>
      </c>
      <c r="C747">
        <v>199</v>
      </c>
      <c r="D747" s="1">
        <v>6.5299999999999997E-2</v>
      </c>
      <c r="E747">
        <v>13</v>
      </c>
      <c r="F747">
        <v>1</v>
      </c>
      <c r="G747" s="2">
        <v>7.690000000000001E-2</v>
      </c>
      <c r="H747" s="3">
        <v>0.42</v>
      </c>
      <c r="I747" s="3">
        <v>5.5</v>
      </c>
      <c r="J747" s="3">
        <v>5.5</v>
      </c>
    </row>
    <row r="748" spans="1:10" x14ac:dyDescent="0.3">
      <c r="A748" t="s">
        <v>76</v>
      </c>
      <c r="B748" t="s">
        <v>235</v>
      </c>
      <c r="C748">
        <v>1515</v>
      </c>
      <c r="D748" s="1">
        <v>7.7199999999999991E-2</v>
      </c>
      <c r="E748">
        <v>117</v>
      </c>
      <c r="F748">
        <v>9</v>
      </c>
      <c r="G748" s="2">
        <v>7.690000000000001E-2</v>
      </c>
      <c r="H748" s="3">
        <v>0.5</v>
      </c>
      <c r="I748" s="3">
        <v>6.55</v>
      </c>
      <c r="J748" s="3">
        <v>58.91</v>
      </c>
    </row>
    <row r="749" spans="1:10" x14ac:dyDescent="0.3">
      <c r="A749" t="s">
        <v>76</v>
      </c>
      <c r="B749" t="s">
        <v>219</v>
      </c>
      <c r="C749">
        <v>174</v>
      </c>
      <c r="D749" s="1">
        <v>4.5999999999999999E-2</v>
      </c>
      <c r="E749">
        <v>8</v>
      </c>
      <c r="F749">
        <v>3</v>
      </c>
      <c r="G749" s="2">
        <v>0.375</v>
      </c>
      <c r="H749" s="3">
        <v>1.4</v>
      </c>
      <c r="I749" s="3">
        <v>3.72</v>
      </c>
      <c r="J749" s="3">
        <v>11.16</v>
      </c>
    </row>
    <row r="750" spans="1:10" x14ac:dyDescent="0.3">
      <c r="A750" t="s">
        <v>76</v>
      </c>
      <c r="B750" t="s">
        <v>229</v>
      </c>
      <c r="C750">
        <v>219</v>
      </c>
      <c r="D750" s="1">
        <v>5.0199999999999995E-2</v>
      </c>
      <c r="E750">
        <v>11</v>
      </c>
      <c r="F750">
        <v>2</v>
      </c>
      <c r="G750" s="2">
        <v>0.18179999999999999</v>
      </c>
      <c r="H750" s="3">
        <v>3.82</v>
      </c>
      <c r="I750" s="3">
        <v>21.04</v>
      </c>
      <c r="J750" s="3">
        <v>42.07</v>
      </c>
    </row>
    <row r="751" spans="1:10" x14ac:dyDescent="0.3">
      <c r="A751" t="s">
        <v>76</v>
      </c>
      <c r="B751" t="s">
        <v>317</v>
      </c>
      <c r="C751">
        <v>105</v>
      </c>
      <c r="D751" s="1">
        <v>5.7099999999999998E-2</v>
      </c>
      <c r="E751">
        <v>6</v>
      </c>
      <c r="F751">
        <v>2</v>
      </c>
      <c r="G751" s="2">
        <v>0.33329999999999999</v>
      </c>
      <c r="H751" s="3">
        <v>2.8</v>
      </c>
      <c r="I751" s="3">
        <v>8.4</v>
      </c>
      <c r="J751" s="3">
        <v>16.8</v>
      </c>
    </row>
    <row r="752" spans="1:10" x14ac:dyDescent="0.3">
      <c r="A752" t="s">
        <v>76</v>
      </c>
      <c r="B752" t="s">
        <v>235</v>
      </c>
      <c r="C752">
        <v>381</v>
      </c>
      <c r="D752" s="1">
        <v>5.2499999999999998E-2</v>
      </c>
      <c r="E752">
        <v>20</v>
      </c>
      <c r="F752">
        <v>1</v>
      </c>
      <c r="G752" s="2">
        <v>0.05</v>
      </c>
      <c r="H752" s="3">
        <v>0.2</v>
      </c>
      <c r="I752" s="3">
        <v>4.0199999999999996</v>
      </c>
      <c r="J752" s="3">
        <v>4.0199999999999996</v>
      </c>
    </row>
    <row r="753" spans="1:10" x14ac:dyDescent="0.3">
      <c r="A753" t="s">
        <v>76</v>
      </c>
      <c r="B753" t="s">
        <v>231</v>
      </c>
      <c r="C753">
        <v>215</v>
      </c>
      <c r="D753" s="1">
        <v>8.8399999999999992E-2</v>
      </c>
      <c r="E753">
        <v>19</v>
      </c>
      <c r="F753">
        <v>1</v>
      </c>
      <c r="G753" s="2">
        <v>5.2600000000000001E-2</v>
      </c>
      <c r="H753" s="3">
        <v>0.5</v>
      </c>
      <c r="I753" s="3">
        <v>9.42</v>
      </c>
      <c r="J753" s="3">
        <v>9.42</v>
      </c>
    </row>
    <row r="754" spans="1:10" x14ac:dyDescent="0.3">
      <c r="A754" t="s">
        <v>76</v>
      </c>
      <c r="B754" t="s">
        <v>289</v>
      </c>
      <c r="C754">
        <v>196</v>
      </c>
      <c r="D754" s="1">
        <v>6.1200000000000004E-2</v>
      </c>
      <c r="E754">
        <v>12</v>
      </c>
      <c r="F754">
        <v>1</v>
      </c>
      <c r="G754" s="2">
        <v>8.3299999999999999E-2</v>
      </c>
      <c r="H754" s="3">
        <v>0.91</v>
      </c>
      <c r="I754" s="3">
        <v>10.94</v>
      </c>
      <c r="J754" s="3">
        <v>10.94</v>
      </c>
    </row>
    <row r="755" spans="1:10" x14ac:dyDescent="0.3">
      <c r="A755" t="s">
        <v>76</v>
      </c>
      <c r="B755" t="s">
        <v>282</v>
      </c>
      <c r="C755">
        <v>276</v>
      </c>
      <c r="D755" s="1">
        <v>3.9900000000000005E-2</v>
      </c>
      <c r="E755">
        <v>11</v>
      </c>
      <c r="F755">
        <v>1</v>
      </c>
      <c r="G755" s="2">
        <v>9.0899999999999995E-2</v>
      </c>
      <c r="H755" s="3">
        <v>1.1399999999999999</v>
      </c>
      <c r="I755" s="3">
        <v>12.49</v>
      </c>
      <c r="J755" s="3">
        <v>12.49</v>
      </c>
    </row>
    <row r="756" spans="1:10" x14ac:dyDescent="0.3">
      <c r="A756" t="s">
        <v>76</v>
      </c>
      <c r="B756" t="s">
        <v>314</v>
      </c>
      <c r="C756">
        <v>196</v>
      </c>
      <c r="D756" s="1">
        <v>3.5699999999999996E-2</v>
      </c>
      <c r="E756">
        <v>7</v>
      </c>
      <c r="F756">
        <v>1</v>
      </c>
      <c r="G756" s="2">
        <v>0.1429</v>
      </c>
      <c r="H756" s="3">
        <v>2.37</v>
      </c>
      <c r="I756" s="3">
        <v>16.61</v>
      </c>
      <c r="J756" s="3">
        <v>16.61</v>
      </c>
    </row>
    <row r="757" spans="1:10" x14ac:dyDescent="0.3">
      <c r="A757" t="s">
        <v>76</v>
      </c>
      <c r="B757" t="s">
        <v>312</v>
      </c>
      <c r="C757">
        <v>88</v>
      </c>
      <c r="D757" s="1">
        <v>7.9500000000000001E-2</v>
      </c>
      <c r="E757">
        <v>7</v>
      </c>
      <c r="F757">
        <v>1</v>
      </c>
      <c r="G757" s="2">
        <v>0.1429</v>
      </c>
      <c r="H757" s="3">
        <v>1.55</v>
      </c>
      <c r="I757" s="3">
        <v>10.87</v>
      </c>
      <c r="J757" s="3">
        <v>10.87</v>
      </c>
    </row>
    <row r="758" spans="1:10" x14ac:dyDescent="0.3">
      <c r="A758" t="s">
        <v>76</v>
      </c>
      <c r="B758" t="s">
        <v>320</v>
      </c>
      <c r="C758">
        <v>196</v>
      </c>
      <c r="D758" s="1">
        <v>3.0600000000000002E-2</v>
      </c>
      <c r="E758">
        <v>6</v>
      </c>
      <c r="F758">
        <v>1</v>
      </c>
      <c r="G758" s="2">
        <v>0.16670000000000001</v>
      </c>
      <c r="H758" s="3">
        <v>0.68</v>
      </c>
      <c r="I758" s="3">
        <v>4.07</v>
      </c>
      <c r="J758" s="3">
        <v>4.07</v>
      </c>
    </row>
    <row r="759" spans="1:10" x14ac:dyDescent="0.3">
      <c r="A759" t="s">
        <v>76</v>
      </c>
      <c r="B759" t="s">
        <v>235</v>
      </c>
      <c r="C759">
        <v>158</v>
      </c>
      <c r="D759" s="1">
        <v>3.7999999999999999E-2</v>
      </c>
      <c r="E759">
        <v>6</v>
      </c>
      <c r="F759">
        <v>1</v>
      </c>
      <c r="G759" s="2">
        <v>0.16670000000000001</v>
      </c>
      <c r="H759" s="3">
        <v>0.38</v>
      </c>
      <c r="I759" s="3">
        <v>2.25</v>
      </c>
      <c r="J759" s="3">
        <v>2.25</v>
      </c>
    </row>
    <row r="760" spans="1:10" x14ac:dyDescent="0.3">
      <c r="A760" t="s">
        <v>76</v>
      </c>
      <c r="B760" t="s">
        <v>315</v>
      </c>
      <c r="C760">
        <v>94</v>
      </c>
      <c r="D760" s="1">
        <v>5.3200000000000004E-2</v>
      </c>
      <c r="E760">
        <v>5</v>
      </c>
      <c r="F760">
        <v>1</v>
      </c>
      <c r="G760" s="2">
        <v>0.2</v>
      </c>
      <c r="H760" s="3">
        <v>1.94</v>
      </c>
      <c r="I760" s="3">
        <v>9.7100000000000009</v>
      </c>
      <c r="J760" s="3">
        <v>9.7100000000000009</v>
      </c>
    </row>
    <row r="761" spans="1:10" x14ac:dyDescent="0.3">
      <c r="A761" t="s">
        <v>76</v>
      </c>
      <c r="B761" t="s">
        <v>225</v>
      </c>
      <c r="C761">
        <v>71</v>
      </c>
      <c r="D761" s="1">
        <v>7.0400000000000004E-2</v>
      </c>
      <c r="E761">
        <v>5</v>
      </c>
      <c r="F761">
        <v>1</v>
      </c>
      <c r="G761" s="2">
        <v>0.2</v>
      </c>
      <c r="H761" s="3">
        <v>0.56000000000000005</v>
      </c>
      <c r="I761" s="3">
        <v>2.82</v>
      </c>
      <c r="J761" s="3">
        <v>2.82</v>
      </c>
    </row>
    <row r="762" spans="1:10" x14ac:dyDescent="0.3">
      <c r="A762" t="s">
        <v>76</v>
      </c>
      <c r="B762" t="s">
        <v>225</v>
      </c>
      <c r="C762">
        <v>96</v>
      </c>
      <c r="D762" s="1">
        <v>4.1700000000000001E-2</v>
      </c>
      <c r="E762">
        <v>4</v>
      </c>
      <c r="F762">
        <v>1</v>
      </c>
      <c r="G762" s="2">
        <v>0.25</v>
      </c>
      <c r="H762" s="3">
        <v>4.99</v>
      </c>
      <c r="I762" s="3">
        <v>19.96</v>
      </c>
      <c r="J762" s="3">
        <v>19.96</v>
      </c>
    </row>
    <row r="763" spans="1:10" x14ac:dyDescent="0.3">
      <c r="A763" t="s">
        <v>76</v>
      </c>
      <c r="B763" t="s">
        <v>455</v>
      </c>
      <c r="C763">
        <v>100</v>
      </c>
      <c r="D763" s="1">
        <v>0.04</v>
      </c>
      <c r="E763">
        <v>4</v>
      </c>
      <c r="F763">
        <v>1</v>
      </c>
      <c r="G763" s="2">
        <v>0.25</v>
      </c>
      <c r="H763" s="3">
        <v>0.74</v>
      </c>
      <c r="I763" s="3">
        <v>2.95</v>
      </c>
      <c r="J763" s="3">
        <v>2.95</v>
      </c>
    </row>
    <row r="764" spans="1:10" x14ac:dyDescent="0.3">
      <c r="A764" t="s">
        <v>76</v>
      </c>
      <c r="B764" t="s">
        <v>226</v>
      </c>
      <c r="C764">
        <v>226</v>
      </c>
      <c r="D764" s="1">
        <v>0.1018</v>
      </c>
      <c r="E764">
        <v>23</v>
      </c>
      <c r="F764">
        <v>0</v>
      </c>
      <c r="G764" s="2">
        <v>0</v>
      </c>
      <c r="H764" s="3">
        <v>0</v>
      </c>
      <c r="I764" s="3" t="s">
        <v>213</v>
      </c>
      <c r="J764" s="3">
        <v>0</v>
      </c>
    </row>
    <row r="765" spans="1:10" x14ac:dyDescent="0.3">
      <c r="A765" t="s">
        <v>76</v>
      </c>
      <c r="B765" t="s">
        <v>313</v>
      </c>
      <c r="C765">
        <v>342</v>
      </c>
      <c r="D765" s="1">
        <v>6.1399999999999996E-2</v>
      </c>
      <c r="E765">
        <v>21</v>
      </c>
      <c r="F765">
        <v>0</v>
      </c>
      <c r="G765" s="2">
        <v>0</v>
      </c>
      <c r="H765" s="3">
        <v>0</v>
      </c>
      <c r="I765" s="3" t="s">
        <v>213</v>
      </c>
      <c r="J765" s="3">
        <v>0</v>
      </c>
    </row>
    <row r="766" spans="1:10" x14ac:dyDescent="0.3">
      <c r="A766" t="s">
        <v>76</v>
      </c>
      <c r="B766" t="s">
        <v>225</v>
      </c>
      <c r="C766">
        <v>224</v>
      </c>
      <c r="D766" s="1">
        <v>5.7999999999999996E-2</v>
      </c>
      <c r="E766">
        <v>13</v>
      </c>
      <c r="F766">
        <v>0</v>
      </c>
      <c r="G766" s="2">
        <v>0</v>
      </c>
      <c r="H766" s="3">
        <v>0</v>
      </c>
      <c r="I766" s="3" t="s">
        <v>213</v>
      </c>
      <c r="J766" s="3">
        <v>0</v>
      </c>
    </row>
    <row r="767" spans="1:10" x14ac:dyDescent="0.3">
      <c r="A767" t="s">
        <v>76</v>
      </c>
      <c r="B767" t="s">
        <v>282</v>
      </c>
      <c r="C767">
        <v>191</v>
      </c>
      <c r="D767" s="1">
        <v>5.2400000000000002E-2</v>
      </c>
      <c r="E767">
        <v>10</v>
      </c>
      <c r="F767">
        <v>0</v>
      </c>
      <c r="G767" s="2">
        <v>0</v>
      </c>
      <c r="H767" s="3">
        <v>0</v>
      </c>
      <c r="I767" s="3" t="s">
        <v>213</v>
      </c>
      <c r="J767" s="3">
        <v>0</v>
      </c>
    </row>
    <row r="768" spans="1:10" x14ac:dyDescent="0.3">
      <c r="A768" t="s">
        <v>76</v>
      </c>
      <c r="B768" t="s">
        <v>286</v>
      </c>
      <c r="C768">
        <v>212</v>
      </c>
      <c r="D768" s="1">
        <v>3.7699999999999997E-2</v>
      </c>
      <c r="E768">
        <v>8</v>
      </c>
      <c r="F768">
        <v>0</v>
      </c>
      <c r="G768" s="2">
        <v>0</v>
      </c>
      <c r="H768" s="3">
        <v>0</v>
      </c>
      <c r="I768" s="3" t="s">
        <v>213</v>
      </c>
      <c r="J768" s="3">
        <v>0</v>
      </c>
    </row>
    <row r="769" spans="1:10" x14ac:dyDescent="0.3">
      <c r="A769" t="s">
        <v>76</v>
      </c>
      <c r="B769" t="s">
        <v>317</v>
      </c>
      <c r="C769">
        <v>74</v>
      </c>
      <c r="D769" s="1">
        <v>8.1099999999999992E-2</v>
      </c>
      <c r="E769">
        <v>6</v>
      </c>
      <c r="F769">
        <v>0</v>
      </c>
      <c r="G769" s="2">
        <v>0</v>
      </c>
      <c r="H769" s="3">
        <v>0</v>
      </c>
      <c r="I769" s="3" t="s">
        <v>213</v>
      </c>
      <c r="J769" s="3">
        <v>0</v>
      </c>
    </row>
    <row r="770" spans="1:10" x14ac:dyDescent="0.3">
      <c r="A770" t="s">
        <v>76</v>
      </c>
      <c r="B770" t="s">
        <v>282</v>
      </c>
      <c r="C770">
        <v>80</v>
      </c>
      <c r="D770" s="1">
        <v>7.4999999999999997E-2</v>
      </c>
      <c r="E770">
        <v>6</v>
      </c>
      <c r="F770">
        <v>0</v>
      </c>
      <c r="G770" s="2">
        <v>0</v>
      </c>
      <c r="H770" s="3">
        <v>0</v>
      </c>
      <c r="I770" s="3" t="s">
        <v>213</v>
      </c>
      <c r="J770" s="3">
        <v>0</v>
      </c>
    </row>
    <row r="771" spans="1:10" x14ac:dyDescent="0.3">
      <c r="A771" t="s">
        <v>76</v>
      </c>
      <c r="B771" t="s">
        <v>288</v>
      </c>
      <c r="C771">
        <v>105</v>
      </c>
      <c r="D771" s="1">
        <v>5.7099999999999998E-2</v>
      </c>
      <c r="E771">
        <v>6</v>
      </c>
      <c r="F771">
        <v>0</v>
      </c>
      <c r="G771" s="2">
        <v>0</v>
      </c>
      <c r="H771" s="3">
        <v>0</v>
      </c>
      <c r="I771" s="3" t="s">
        <v>213</v>
      </c>
      <c r="J771" s="3">
        <v>0</v>
      </c>
    </row>
    <row r="772" spans="1:10" x14ac:dyDescent="0.3">
      <c r="A772" t="s">
        <v>76</v>
      </c>
      <c r="B772" t="s">
        <v>314</v>
      </c>
      <c r="C772">
        <v>102</v>
      </c>
      <c r="D772" s="1">
        <v>5.8799999999999998E-2</v>
      </c>
      <c r="E772">
        <v>6</v>
      </c>
      <c r="F772">
        <v>0</v>
      </c>
      <c r="G772" s="2">
        <v>0</v>
      </c>
      <c r="H772" s="3">
        <v>0</v>
      </c>
      <c r="I772" s="3" t="s">
        <v>213</v>
      </c>
      <c r="J772" s="3">
        <v>0</v>
      </c>
    </row>
    <row r="773" spans="1:10" x14ac:dyDescent="0.3">
      <c r="A773" t="s">
        <v>76</v>
      </c>
      <c r="B773" t="s">
        <v>288</v>
      </c>
      <c r="C773">
        <v>89</v>
      </c>
      <c r="D773" s="1">
        <v>5.62E-2</v>
      </c>
      <c r="E773">
        <v>5</v>
      </c>
      <c r="F773">
        <v>0</v>
      </c>
      <c r="G773" s="2">
        <v>0</v>
      </c>
      <c r="H773" s="3">
        <v>0</v>
      </c>
      <c r="I773" s="3" t="s">
        <v>213</v>
      </c>
      <c r="J773" s="3">
        <v>0</v>
      </c>
    </row>
    <row r="774" spans="1:10" x14ac:dyDescent="0.3">
      <c r="A774" t="s">
        <v>76</v>
      </c>
      <c r="B774" t="s">
        <v>312</v>
      </c>
      <c r="C774">
        <v>51</v>
      </c>
      <c r="D774" s="1">
        <v>9.8000000000000004E-2</v>
      </c>
      <c r="E774">
        <v>5</v>
      </c>
      <c r="F774">
        <v>0</v>
      </c>
      <c r="G774" s="2">
        <v>0</v>
      </c>
      <c r="H774" s="3">
        <v>0</v>
      </c>
      <c r="I774" s="3" t="s">
        <v>213</v>
      </c>
      <c r="J774" s="3">
        <v>0</v>
      </c>
    </row>
    <row r="775" spans="1:10" x14ac:dyDescent="0.3">
      <c r="A775" t="s">
        <v>76</v>
      </c>
      <c r="B775" t="s">
        <v>316</v>
      </c>
      <c r="C775">
        <v>154</v>
      </c>
      <c r="D775" s="1">
        <v>3.2500000000000001E-2</v>
      </c>
      <c r="E775">
        <v>5</v>
      </c>
      <c r="F775">
        <v>0</v>
      </c>
      <c r="G775" s="2">
        <v>0</v>
      </c>
      <c r="H775" s="3">
        <v>0</v>
      </c>
      <c r="I775" s="3" t="s">
        <v>213</v>
      </c>
      <c r="J775" s="3">
        <v>0</v>
      </c>
    </row>
    <row r="776" spans="1:10" x14ac:dyDescent="0.3">
      <c r="A776" t="s">
        <v>76</v>
      </c>
      <c r="B776" t="s">
        <v>286</v>
      </c>
      <c r="C776">
        <v>122</v>
      </c>
      <c r="D776" s="1">
        <v>4.0999999999999995E-2</v>
      </c>
      <c r="E776">
        <v>5</v>
      </c>
      <c r="F776">
        <v>0</v>
      </c>
      <c r="G776" s="2">
        <v>0</v>
      </c>
      <c r="H776" s="3">
        <v>0</v>
      </c>
      <c r="I776" s="3" t="s">
        <v>213</v>
      </c>
      <c r="J776" s="3">
        <v>0</v>
      </c>
    </row>
    <row r="777" spans="1:10" x14ac:dyDescent="0.3">
      <c r="A777" t="s">
        <v>76</v>
      </c>
      <c r="B777" t="s">
        <v>264</v>
      </c>
      <c r="C777">
        <v>62</v>
      </c>
      <c r="D777" s="1">
        <v>8.0600000000000005E-2</v>
      </c>
      <c r="E777">
        <v>5</v>
      </c>
      <c r="F777">
        <v>0</v>
      </c>
      <c r="G777" s="2">
        <v>0</v>
      </c>
      <c r="H777" s="3">
        <v>0</v>
      </c>
      <c r="I777" s="3" t="s">
        <v>213</v>
      </c>
      <c r="J777" s="3">
        <v>0</v>
      </c>
    </row>
    <row r="778" spans="1:10" x14ac:dyDescent="0.3">
      <c r="A778" t="s">
        <v>76</v>
      </c>
      <c r="B778" t="s">
        <v>315</v>
      </c>
      <c r="C778">
        <v>202</v>
      </c>
      <c r="D778" s="1">
        <v>2.4799999999999999E-2</v>
      </c>
      <c r="E778">
        <v>5</v>
      </c>
      <c r="F778">
        <v>0</v>
      </c>
      <c r="G778" s="2">
        <v>0</v>
      </c>
      <c r="H778" s="3">
        <v>0</v>
      </c>
      <c r="I778" s="3" t="s">
        <v>213</v>
      </c>
      <c r="J778" s="3">
        <v>0</v>
      </c>
    </row>
    <row r="779" spans="1:10" x14ac:dyDescent="0.3">
      <c r="A779" t="s">
        <v>76</v>
      </c>
      <c r="B779" t="s">
        <v>314</v>
      </c>
      <c r="C779">
        <v>142</v>
      </c>
      <c r="D779" s="1">
        <v>3.5200000000000002E-2</v>
      </c>
      <c r="E779">
        <v>5</v>
      </c>
      <c r="F779">
        <v>0</v>
      </c>
      <c r="G779" s="2">
        <v>0</v>
      </c>
      <c r="H779" s="3">
        <v>0</v>
      </c>
      <c r="I779" s="3" t="s">
        <v>213</v>
      </c>
      <c r="J779" s="3">
        <v>0</v>
      </c>
    </row>
    <row r="780" spans="1:10" x14ac:dyDescent="0.3">
      <c r="A780" t="s">
        <v>76</v>
      </c>
      <c r="B780" t="s">
        <v>245</v>
      </c>
      <c r="C780">
        <v>72</v>
      </c>
      <c r="D780" s="1">
        <v>5.5599999999999997E-2</v>
      </c>
      <c r="E780">
        <v>4</v>
      </c>
      <c r="F780">
        <v>0</v>
      </c>
      <c r="G780" s="2">
        <v>0</v>
      </c>
      <c r="H780" s="3">
        <v>0</v>
      </c>
      <c r="I780" s="3" t="s">
        <v>213</v>
      </c>
      <c r="J780" s="3">
        <v>0</v>
      </c>
    </row>
    <row r="781" spans="1:10" x14ac:dyDescent="0.3">
      <c r="A781" t="s">
        <v>76</v>
      </c>
      <c r="B781" t="s">
        <v>455</v>
      </c>
      <c r="C781">
        <v>140</v>
      </c>
      <c r="D781" s="1">
        <v>2.86E-2</v>
      </c>
      <c r="E781">
        <v>4</v>
      </c>
      <c r="F781">
        <v>0</v>
      </c>
      <c r="G781" s="2">
        <v>0</v>
      </c>
      <c r="H781" s="3">
        <v>0</v>
      </c>
      <c r="I781" s="3" t="s">
        <v>213</v>
      </c>
      <c r="J781" s="3">
        <v>0</v>
      </c>
    </row>
    <row r="782" spans="1:10" x14ac:dyDescent="0.3">
      <c r="A782" t="s">
        <v>76</v>
      </c>
      <c r="B782" t="s">
        <v>239</v>
      </c>
      <c r="C782">
        <v>129</v>
      </c>
      <c r="D782" s="1">
        <v>3.1E-2</v>
      </c>
      <c r="E782">
        <v>4</v>
      </c>
      <c r="F782">
        <v>0</v>
      </c>
      <c r="G782" s="2">
        <v>0</v>
      </c>
      <c r="H782" s="3">
        <v>0</v>
      </c>
      <c r="I782" s="3" t="s">
        <v>213</v>
      </c>
      <c r="J782" s="3">
        <v>0</v>
      </c>
    </row>
    <row r="783" spans="1:10" x14ac:dyDescent="0.3">
      <c r="A783" t="s">
        <v>76</v>
      </c>
      <c r="B783" t="s">
        <v>264</v>
      </c>
      <c r="C783">
        <v>137</v>
      </c>
      <c r="D783" s="1">
        <v>2.92E-2</v>
      </c>
      <c r="E783">
        <v>4</v>
      </c>
      <c r="F783">
        <v>0</v>
      </c>
      <c r="G783" s="2">
        <v>0</v>
      </c>
      <c r="H783" s="3">
        <v>0</v>
      </c>
      <c r="I783" s="3" t="s">
        <v>213</v>
      </c>
      <c r="J783" s="3">
        <v>0</v>
      </c>
    </row>
    <row r="784" spans="1:10" x14ac:dyDescent="0.3">
      <c r="A784" t="s">
        <v>76</v>
      </c>
      <c r="B784" t="s">
        <v>225</v>
      </c>
      <c r="C784">
        <v>70</v>
      </c>
      <c r="D784" s="1">
        <v>5.7099999999999998E-2</v>
      </c>
      <c r="E784">
        <v>4</v>
      </c>
      <c r="F784">
        <v>0</v>
      </c>
      <c r="G784" s="2">
        <v>0</v>
      </c>
      <c r="H784" s="3">
        <v>0</v>
      </c>
      <c r="I784" s="3" t="s">
        <v>213</v>
      </c>
      <c r="J784" s="3">
        <v>0</v>
      </c>
    </row>
    <row r="785" spans="1:10" x14ac:dyDescent="0.3">
      <c r="A785" t="s">
        <v>76</v>
      </c>
      <c r="B785" t="s">
        <v>229</v>
      </c>
      <c r="C785">
        <v>133</v>
      </c>
      <c r="D785" s="1">
        <v>3.0099999999999998E-2</v>
      </c>
      <c r="E785">
        <v>4</v>
      </c>
      <c r="F785">
        <v>0</v>
      </c>
      <c r="G785" s="2">
        <v>0</v>
      </c>
      <c r="H785" s="3">
        <v>0</v>
      </c>
      <c r="I785" s="3" t="s">
        <v>213</v>
      </c>
      <c r="J785" s="3">
        <v>0</v>
      </c>
    </row>
    <row r="786" spans="1:10" x14ac:dyDescent="0.3">
      <c r="A786" t="s">
        <v>76</v>
      </c>
      <c r="B786" t="s">
        <v>316</v>
      </c>
      <c r="C786">
        <v>114</v>
      </c>
      <c r="D786" s="1">
        <v>3.5099999999999999E-2</v>
      </c>
      <c r="E786">
        <v>4</v>
      </c>
      <c r="F786">
        <v>0</v>
      </c>
      <c r="G786" s="2">
        <v>0</v>
      </c>
      <c r="H786" s="3">
        <v>0</v>
      </c>
      <c r="I786" s="3" t="s">
        <v>213</v>
      </c>
      <c r="J786" s="3">
        <v>0</v>
      </c>
    </row>
    <row r="787" spans="1:10" x14ac:dyDescent="0.3">
      <c r="A787" t="s">
        <v>76</v>
      </c>
      <c r="B787" t="s">
        <v>317</v>
      </c>
      <c r="C787">
        <v>0</v>
      </c>
      <c r="D787" s="1">
        <v>0</v>
      </c>
      <c r="E787">
        <v>0</v>
      </c>
      <c r="F787">
        <v>0</v>
      </c>
      <c r="G787" s="2">
        <v>0</v>
      </c>
      <c r="H787" s="3" t="s">
        <v>213</v>
      </c>
      <c r="I787" s="3" t="s">
        <v>213</v>
      </c>
      <c r="J787" s="3">
        <v>0</v>
      </c>
    </row>
    <row r="788" spans="1:10" x14ac:dyDescent="0.3">
      <c r="A788" t="s">
        <v>76</v>
      </c>
      <c r="B788" t="s">
        <v>312</v>
      </c>
      <c r="C788">
        <v>0</v>
      </c>
      <c r="D788" s="1">
        <v>0</v>
      </c>
      <c r="E788">
        <v>0</v>
      </c>
      <c r="F788">
        <v>0</v>
      </c>
      <c r="G788" s="2">
        <v>0</v>
      </c>
      <c r="H788" s="3" t="s">
        <v>213</v>
      </c>
      <c r="I788" s="3" t="s">
        <v>213</v>
      </c>
      <c r="J788" s="3">
        <v>0</v>
      </c>
    </row>
    <row r="789" spans="1:10" x14ac:dyDescent="0.3">
      <c r="A789" t="s">
        <v>76</v>
      </c>
      <c r="B789" t="s">
        <v>316</v>
      </c>
      <c r="C789">
        <v>0</v>
      </c>
      <c r="D789" s="1">
        <v>0</v>
      </c>
      <c r="E789">
        <v>0</v>
      </c>
      <c r="F789">
        <v>0</v>
      </c>
      <c r="G789" s="2">
        <v>0</v>
      </c>
      <c r="H789" s="3" t="s">
        <v>213</v>
      </c>
      <c r="I789" s="3" t="s">
        <v>213</v>
      </c>
      <c r="J789" s="3">
        <v>0</v>
      </c>
    </row>
    <row r="790" spans="1:10" x14ac:dyDescent="0.3">
      <c r="A790" t="s">
        <v>76</v>
      </c>
      <c r="B790" t="s">
        <v>455</v>
      </c>
      <c r="C790">
        <v>0</v>
      </c>
      <c r="D790" s="1">
        <v>0</v>
      </c>
      <c r="E790">
        <v>0</v>
      </c>
      <c r="F790">
        <v>0</v>
      </c>
      <c r="G790" s="2">
        <v>0</v>
      </c>
      <c r="H790" s="3" t="s">
        <v>213</v>
      </c>
      <c r="I790" s="3" t="s">
        <v>213</v>
      </c>
      <c r="J790" s="3">
        <v>0</v>
      </c>
    </row>
    <row r="791" spans="1:10" x14ac:dyDescent="0.3">
      <c r="A791" t="s">
        <v>76</v>
      </c>
      <c r="B791" t="s">
        <v>229</v>
      </c>
      <c r="C791">
        <v>0</v>
      </c>
      <c r="D791" s="1">
        <v>0</v>
      </c>
      <c r="E791">
        <v>0</v>
      </c>
      <c r="F791">
        <v>0</v>
      </c>
      <c r="G791" s="2">
        <v>0</v>
      </c>
      <c r="H791" s="3" t="s">
        <v>213</v>
      </c>
      <c r="I791" s="3" t="s">
        <v>213</v>
      </c>
      <c r="J791" s="3">
        <v>0</v>
      </c>
    </row>
    <row r="792" spans="1:10" x14ac:dyDescent="0.3">
      <c r="A792" t="s">
        <v>76</v>
      </c>
      <c r="B792" t="s">
        <v>315</v>
      </c>
      <c r="C792">
        <v>0</v>
      </c>
      <c r="D792" s="1">
        <v>0</v>
      </c>
      <c r="E792">
        <v>0</v>
      </c>
      <c r="F792">
        <v>0</v>
      </c>
      <c r="G792" s="2">
        <v>0</v>
      </c>
      <c r="H792" s="3" t="s">
        <v>213</v>
      </c>
      <c r="I792" s="3" t="s">
        <v>213</v>
      </c>
      <c r="J792" s="3">
        <v>0</v>
      </c>
    </row>
    <row r="793" spans="1:10" x14ac:dyDescent="0.3">
      <c r="A793" t="s">
        <v>76</v>
      </c>
      <c r="B793" t="s">
        <v>314</v>
      </c>
      <c r="C793">
        <v>0</v>
      </c>
      <c r="D793" s="1">
        <v>0</v>
      </c>
      <c r="E793">
        <v>0</v>
      </c>
      <c r="F793">
        <v>0</v>
      </c>
      <c r="G793" s="2">
        <v>0</v>
      </c>
      <c r="H793" s="3" t="s">
        <v>213</v>
      </c>
      <c r="I793" s="3" t="s">
        <v>213</v>
      </c>
      <c r="J793" s="3">
        <v>0</v>
      </c>
    </row>
    <row r="794" spans="1:10" x14ac:dyDescent="0.3">
      <c r="A794" t="s">
        <v>76</v>
      </c>
      <c r="B794" t="s">
        <v>288</v>
      </c>
      <c r="C794">
        <v>0</v>
      </c>
      <c r="D794" s="1">
        <v>0</v>
      </c>
      <c r="E794">
        <v>0</v>
      </c>
      <c r="F794">
        <v>0</v>
      </c>
      <c r="G794" s="2">
        <v>0</v>
      </c>
      <c r="H794" s="3" t="s">
        <v>213</v>
      </c>
      <c r="I794" s="3" t="s">
        <v>213</v>
      </c>
      <c r="J794" s="3">
        <v>0</v>
      </c>
    </row>
    <row r="795" spans="1:10" x14ac:dyDescent="0.3">
      <c r="A795" t="s">
        <v>76</v>
      </c>
      <c r="B795" t="s">
        <v>282</v>
      </c>
      <c r="C795">
        <v>0</v>
      </c>
      <c r="D795" s="1">
        <v>0</v>
      </c>
      <c r="E795">
        <v>0</v>
      </c>
      <c r="F795">
        <v>0</v>
      </c>
      <c r="G795" s="2">
        <v>0</v>
      </c>
      <c r="H795" s="3" t="s">
        <v>213</v>
      </c>
      <c r="I795" s="3" t="s">
        <v>213</v>
      </c>
      <c r="J795" s="3">
        <v>0</v>
      </c>
    </row>
    <row r="796" spans="1:10" x14ac:dyDescent="0.3">
      <c r="A796" t="s">
        <v>76</v>
      </c>
      <c r="B796" t="s">
        <v>286</v>
      </c>
      <c r="C796">
        <v>0</v>
      </c>
      <c r="D796" s="1">
        <v>0</v>
      </c>
      <c r="E796">
        <v>0</v>
      </c>
      <c r="F796">
        <v>0</v>
      </c>
      <c r="G796" s="2">
        <v>0</v>
      </c>
      <c r="H796" s="3" t="s">
        <v>213</v>
      </c>
      <c r="I796" s="3" t="s">
        <v>213</v>
      </c>
      <c r="J796" s="3">
        <v>0</v>
      </c>
    </row>
    <row r="797" spans="1:10" x14ac:dyDescent="0.3">
      <c r="A797" t="s">
        <v>76</v>
      </c>
      <c r="B797" t="s">
        <v>264</v>
      </c>
      <c r="C797">
        <v>0</v>
      </c>
      <c r="D797" s="1">
        <v>0</v>
      </c>
      <c r="E797">
        <v>0</v>
      </c>
      <c r="F797">
        <v>0</v>
      </c>
      <c r="G797" s="2">
        <v>0</v>
      </c>
      <c r="H797" s="3" t="s">
        <v>213</v>
      </c>
      <c r="I797" s="3" t="s">
        <v>213</v>
      </c>
      <c r="J797" s="3">
        <v>0</v>
      </c>
    </row>
    <row r="798" spans="1:10" x14ac:dyDescent="0.3">
      <c r="A798" t="s">
        <v>76</v>
      </c>
      <c r="B798" t="s">
        <v>225</v>
      </c>
      <c r="C798">
        <v>0</v>
      </c>
      <c r="D798" s="1">
        <v>0</v>
      </c>
      <c r="E798">
        <v>0</v>
      </c>
      <c r="F798">
        <v>0</v>
      </c>
      <c r="G798" s="2">
        <v>0</v>
      </c>
      <c r="H798" s="3" t="s">
        <v>213</v>
      </c>
      <c r="I798" s="3" t="s">
        <v>213</v>
      </c>
      <c r="J798" s="3">
        <v>0</v>
      </c>
    </row>
    <row r="799" spans="1:10" x14ac:dyDescent="0.3">
      <c r="A799" t="s">
        <v>76</v>
      </c>
      <c r="B799" t="s">
        <v>320</v>
      </c>
      <c r="C799">
        <v>0</v>
      </c>
      <c r="D799" s="1">
        <v>0</v>
      </c>
      <c r="E799">
        <v>0</v>
      </c>
      <c r="F799">
        <v>0</v>
      </c>
      <c r="G799" s="2">
        <v>0</v>
      </c>
      <c r="H799" s="3" t="s">
        <v>213</v>
      </c>
      <c r="I799" s="3" t="s">
        <v>213</v>
      </c>
      <c r="J799" s="3">
        <v>0</v>
      </c>
    </row>
    <row r="800" spans="1:10" x14ac:dyDescent="0.3">
      <c r="A800" t="s">
        <v>76</v>
      </c>
      <c r="B800" t="s">
        <v>239</v>
      </c>
      <c r="C800">
        <v>0</v>
      </c>
      <c r="D800" s="1">
        <v>0</v>
      </c>
      <c r="E800">
        <v>0</v>
      </c>
      <c r="F800">
        <v>0</v>
      </c>
      <c r="G800" s="2">
        <v>0</v>
      </c>
      <c r="H800" s="3" t="s">
        <v>213</v>
      </c>
      <c r="I800" s="3" t="s">
        <v>213</v>
      </c>
      <c r="J800" s="3">
        <v>0</v>
      </c>
    </row>
    <row r="801" spans="1:10" x14ac:dyDescent="0.3">
      <c r="A801" t="s">
        <v>76</v>
      </c>
      <c r="B801" t="s">
        <v>245</v>
      </c>
      <c r="C801">
        <v>0</v>
      </c>
      <c r="D801" s="1">
        <v>0</v>
      </c>
      <c r="E801">
        <v>0</v>
      </c>
      <c r="F801">
        <v>0</v>
      </c>
      <c r="G801" s="2">
        <v>0</v>
      </c>
      <c r="H801" s="3" t="s">
        <v>213</v>
      </c>
      <c r="I801" s="3" t="s">
        <v>213</v>
      </c>
      <c r="J801" s="3">
        <v>0</v>
      </c>
    </row>
    <row r="802" spans="1:10" x14ac:dyDescent="0.3">
      <c r="A802" t="s">
        <v>76</v>
      </c>
      <c r="B802" t="s">
        <v>235</v>
      </c>
      <c r="C802">
        <v>0</v>
      </c>
      <c r="D802" s="1">
        <v>0</v>
      </c>
      <c r="E802">
        <v>0</v>
      </c>
      <c r="F802">
        <v>0</v>
      </c>
      <c r="G802" s="2">
        <v>0</v>
      </c>
      <c r="H802" s="3" t="s">
        <v>213</v>
      </c>
      <c r="I802" s="3" t="s">
        <v>213</v>
      </c>
      <c r="J802" s="3">
        <v>0</v>
      </c>
    </row>
    <row r="803" spans="1:10" x14ac:dyDescent="0.3">
      <c r="A803" t="s">
        <v>76</v>
      </c>
      <c r="B803" t="s">
        <v>219</v>
      </c>
      <c r="C803">
        <v>0</v>
      </c>
      <c r="D803" s="1">
        <v>0</v>
      </c>
      <c r="E803">
        <v>0</v>
      </c>
      <c r="F803">
        <v>0</v>
      </c>
      <c r="G803" s="2">
        <v>0</v>
      </c>
      <c r="H803" s="3" t="s">
        <v>213</v>
      </c>
      <c r="I803" s="3" t="s">
        <v>213</v>
      </c>
      <c r="J803" s="3">
        <v>0</v>
      </c>
    </row>
    <row r="804" spans="1:10" x14ac:dyDescent="0.3">
      <c r="A804" t="s">
        <v>76</v>
      </c>
      <c r="B804" t="s">
        <v>239</v>
      </c>
      <c r="C804">
        <v>9</v>
      </c>
      <c r="D804" s="1">
        <v>0</v>
      </c>
      <c r="E804">
        <v>0</v>
      </c>
      <c r="F804">
        <v>0</v>
      </c>
      <c r="G804" s="2">
        <v>0</v>
      </c>
      <c r="H804" s="3" t="s">
        <v>213</v>
      </c>
      <c r="I804" s="3" t="s">
        <v>213</v>
      </c>
      <c r="J804" s="3">
        <v>0</v>
      </c>
    </row>
    <row r="805" spans="1:10" x14ac:dyDescent="0.3">
      <c r="A805" t="s">
        <v>100</v>
      </c>
      <c r="B805" t="s">
        <v>248</v>
      </c>
      <c r="C805">
        <v>221</v>
      </c>
      <c r="D805" s="1">
        <v>8.5999999999999993E-2</v>
      </c>
      <c r="E805">
        <v>19</v>
      </c>
      <c r="F805">
        <v>1</v>
      </c>
      <c r="G805" s="2">
        <v>5.2600000000000001E-2</v>
      </c>
      <c r="H805" s="3">
        <v>0.52</v>
      </c>
      <c r="I805" s="3">
        <v>9.84</v>
      </c>
      <c r="J805" s="3">
        <v>9.84</v>
      </c>
    </row>
    <row r="806" spans="1:10" x14ac:dyDescent="0.3">
      <c r="A806" t="s">
        <v>100</v>
      </c>
      <c r="B806" t="s">
        <v>218</v>
      </c>
      <c r="C806">
        <v>207</v>
      </c>
      <c r="D806" s="1">
        <v>3.8599999999999995E-2</v>
      </c>
      <c r="E806">
        <v>8</v>
      </c>
      <c r="F806">
        <v>0</v>
      </c>
      <c r="G806" s="2">
        <v>0</v>
      </c>
      <c r="H806" s="3">
        <v>0</v>
      </c>
      <c r="I806" s="3" t="s">
        <v>213</v>
      </c>
      <c r="J806" s="3">
        <v>0</v>
      </c>
    </row>
    <row r="807" spans="1:10" x14ac:dyDescent="0.3">
      <c r="A807" t="s">
        <v>23</v>
      </c>
      <c r="B807" t="s">
        <v>221</v>
      </c>
      <c r="C807">
        <v>50</v>
      </c>
      <c r="D807" s="1">
        <v>0.14000000000000001</v>
      </c>
      <c r="E807">
        <v>7</v>
      </c>
      <c r="F807">
        <v>0</v>
      </c>
      <c r="G807" s="2">
        <v>0</v>
      </c>
      <c r="H807" s="3">
        <v>7.11</v>
      </c>
      <c r="I807" s="3">
        <v>8.2899999999999991</v>
      </c>
      <c r="J807" s="3">
        <v>49.76</v>
      </c>
    </row>
    <row r="808" spans="1:10" x14ac:dyDescent="0.3">
      <c r="A808" t="s">
        <v>23</v>
      </c>
      <c r="B808" t="s">
        <v>221</v>
      </c>
      <c r="C808">
        <v>537</v>
      </c>
      <c r="D808" s="1">
        <v>4.0999999999999995E-2</v>
      </c>
      <c r="E808">
        <v>22</v>
      </c>
      <c r="F808">
        <v>4</v>
      </c>
      <c r="G808" s="2">
        <v>0.18179999999999999</v>
      </c>
      <c r="H808" s="3">
        <v>2.58</v>
      </c>
      <c r="I808" s="3">
        <v>14.22</v>
      </c>
      <c r="J808" s="3">
        <v>56.86</v>
      </c>
    </row>
    <row r="809" spans="1:10" x14ac:dyDescent="0.3">
      <c r="A809" t="s">
        <v>23</v>
      </c>
      <c r="B809" t="s">
        <v>221</v>
      </c>
      <c r="C809">
        <v>411</v>
      </c>
      <c r="D809" s="1">
        <v>5.3499999999999999E-2</v>
      </c>
      <c r="E809">
        <v>22</v>
      </c>
      <c r="F809">
        <v>4</v>
      </c>
      <c r="G809" s="2">
        <v>0.18179999999999999</v>
      </c>
      <c r="H809" s="3">
        <v>2.12</v>
      </c>
      <c r="I809" s="3">
        <v>11.67</v>
      </c>
      <c r="J809" s="3">
        <v>46.69</v>
      </c>
    </row>
    <row r="810" spans="1:10" x14ac:dyDescent="0.3">
      <c r="A810" t="s">
        <v>23</v>
      </c>
      <c r="B810" t="s">
        <v>221</v>
      </c>
      <c r="C810">
        <v>604</v>
      </c>
      <c r="D810" s="1">
        <v>4.2999999999999997E-2</v>
      </c>
      <c r="E810">
        <v>26</v>
      </c>
      <c r="F810">
        <v>3</v>
      </c>
      <c r="G810" s="2">
        <v>0.11539999999999999</v>
      </c>
      <c r="H810" s="3">
        <v>3.37</v>
      </c>
      <c r="I810" s="3">
        <v>29.23</v>
      </c>
      <c r="J810" s="3">
        <v>87.68</v>
      </c>
    </row>
    <row r="811" spans="1:10" x14ac:dyDescent="0.3">
      <c r="A811" t="s">
        <v>23</v>
      </c>
      <c r="B811" t="s">
        <v>303</v>
      </c>
      <c r="C811">
        <v>490</v>
      </c>
      <c r="D811" s="1">
        <v>3.4700000000000002E-2</v>
      </c>
      <c r="E811">
        <v>17</v>
      </c>
      <c r="F811">
        <v>1</v>
      </c>
      <c r="G811" s="2">
        <v>5.8799999999999998E-2</v>
      </c>
      <c r="H811" s="3">
        <v>0.44</v>
      </c>
      <c r="I811" s="3">
        <v>7.43</v>
      </c>
      <c r="J811" s="3">
        <v>7.43</v>
      </c>
    </row>
    <row r="812" spans="1:10" x14ac:dyDescent="0.3">
      <c r="A812" t="s">
        <v>23</v>
      </c>
      <c r="B812" t="s">
        <v>221</v>
      </c>
      <c r="C812">
        <v>110</v>
      </c>
      <c r="D812" s="1">
        <v>6.3600000000000004E-2</v>
      </c>
      <c r="E812">
        <v>7</v>
      </c>
      <c r="F812">
        <v>1</v>
      </c>
      <c r="G812" s="2">
        <v>0.1429</v>
      </c>
      <c r="H812" s="3">
        <v>3.01</v>
      </c>
      <c r="I812" s="3">
        <v>21.08</v>
      </c>
      <c r="J812" s="3">
        <v>21.08</v>
      </c>
    </row>
    <row r="813" spans="1:10" x14ac:dyDescent="0.3">
      <c r="A813" t="s">
        <v>23</v>
      </c>
      <c r="B813" t="s">
        <v>221</v>
      </c>
      <c r="C813">
        <v>123</v>
      </c>
      <c r="D813" s="1">
        <v>4.07E-2</v>
      </c>
      <c r="E813">
        <v>5</v>
      </c>
      <c r="F813">
        <v>0</v>
      </c>
      <c r="G813" s="2">
        <v>0</v>
      </c>
      <c r="H813" s="3">
        <v>0</v>
      </c>
      <c r="I813" s="3" t="s">
        <v>213</v>
      </c>
      <c r="J813" s="3">
        <v>0</v>
      </c>
    </row>
    <row r="814" spans="1:10" x14ac:dyDescent="0.3">
      <c r="A814" t="s">
        <v>23</v>
      </c>
      <c r="B814" t="s">
        <v>221</v>
      </c>
      <c r="C814">
        <v>11</v>
      </c>
      <c r="D814" s="1">
        <v>0</v>
      </c>
      <c r="E814">
        <v>0</v>
      </c>
      <c r="F814">
        <v>0</v>
      </c>
      <c r="G814" s="2">
        <v>0</v>
      </c>
      <c r="H814" s="3" t="s">
        <v>213</v>
      </c>
      <c r="I814" s="3" t="s">
        <v>213</v>
      </c>
      <c r="J814" s="3">
        <v>0</v>
      </c>
    </row>
    <row r="815" spans="1:10" x14ac:dyDescent="0.3">
      <c r="A815" t="s">
        <v>23</v>
      </c>
      <c r="B815" t="s">
        <v>221</v>
      </c>
      <c r="C815">
        <v>309</v>
      </c>
      <c r="D815" s="1">
        <v>8.7400000000000005E-2</v>
      </c>
      <c r="E815">
        <v>27</v>
      </c>
      <c r="F815">
        <v>2</v>
      </c>
      <c r="G815" s="2">
        <v>7.4099999999999999E-2</v>
      </c>
      <c r="H815" s="3">
        <v>0.75</v>
      </c>
      <c r="I815" s="3">
        <v>10.18</v>
      </c>
      <c r="J815" s="3">
        <v>20.36</v>
      </c>
    </row>
    <row r="816" spans="1:10" x14ac:dyDescent="0.3">
      <c r="A816" t="s">
        <v>23</v>
      </c>
      <c r="B816" t="s">
        <v>221</v>
      </c>
      <c r="C816">
        <v>33</v>
      </c>
      <c r="D816" s="1">
        <v>0.1515</v>
      </c>
      <c r="E816">
        <v>5</v>
      </c>
      <c r="F816">
        <v>1</v>
      </c>
      <c r="G816" s="2">
        <v>0.2</v>
      </c>
      <c r="H816" s="3">
        <v>1.79</v>
      </c>
      <c r="I816" s="3">
        <v>8.9700000000000006</v>
      </c>
      <c r="J816" s="3">
        <v>8.9700000000000006</v>
      </c>
    </row>
    <row r="817" spans="1:10" x14ac:dyDescent="0.3">
      <c r="A817" t="s">
        <v>23</v>
      </c>
      <c r="B817" t="s">
        <v>221</v>
      </c>
      <c r="C817">
        <v>231</v>
      </c>
      <c r="D817" s="1">
        <v>5.1900000000000002E-2</v>
      </c>
      <c r="E817">
        <v>12</v>
      </c>
      <c r="F817">
        <v>0</v>
      </c>
      <c r="G817" s="2">
        <v>0</v>
      </c>
      <c r="H817" s="3">
        <v>0</v>
      </c>
      <c r="I817" s="3" t="s">
        <v>213</v>
      </c>
      <c r="J817" s="3">
        <v>0</v>
      </c>
    </row>
    <row r="818" spans="1:10" x14ac:dyDescent="0.3">
      <c r="A818" t="s">
        <v>23</v>
      </c>
      <c r="B818" t="s">
        <v>221</v>
      </c>
      <c r="C818">
        <v>206</v>
      </c>
      <c r="D818" s="1">
        <v>4.8499999999999995E-2</v>
      </c>
      <c r="E818">
        <v>10</v>
      </c>
      <c r="F818">
        <v>0</v>
      </c>
      <c r="G818" s="2">
        <v>0</v>
      </c>
      <c r="H818" s="3">
        <v>0</v>
      </c>
      <c r="I818" s="3" t="s">
        <v>213</v>
      </c>
      <c r="J818" s="3">
        <v>0</v>
      </c>
    </row>
    <row r="819" spans="1:10" x14ac:dyDescent="0.3">
      <c r="A819" t="s">
        <v>23</v>
      </c>
      <c r="B819" t="s">
        <v>221</v>
      </c>
      <c r="C819">
        <v>43</v>
      </c>
      <c r="D819" s="1">
        <v>4.6500000000000007E-2</v>
      </c>
      <c r="E819">
        <v>2</v>
      </c>
      <c r="F819">
        <v>0</v>
      </c>
      <c r="G819" s="2">
        <v>0</v>
      </c>
      <c r="H819" s="3">
        <v>0</v>
      </c>
      <c r="I819" s="3" t="s">
        <v>213</v>
      </c>
      <c r="J819" s="3">
        <v>0</v>
      </c>
    </row>
    <row r="820" spans="1:10" x14ac:dyDescent="0.3">
      <c r="A820" t="s">
        <v>23</v>
      </c>
      <c r="B820" t="s">
        <v>221</v>
      </c>
      <c r="C820">
        <v>2</v>
      </c>
      <c r="D820" s="1">
        <v>0</v>
      </c>
      <c r="E820">
        <v>0</v>
      </c>
      <c r="F820">
        <v>0</v>
      </c>
      <c r="G820" s="2">
        <v>0</v>
      </c>
      <c r="H820" s="3" t="s">
        <v>213</v>
      </c>
      <c r="I820" s="3" t="s">
        <v>213</v>
      </c>
      <c r="J820" s="3">
        <v>0</v>
      </c>
    </row>
    <row r="821" spans="1:10" x14ac:dyDescent="0.3">
      <c r="A821" t="s">
        <v>23</v>
      </c>
      <c r="B821" t="s">
        <v>221</v>
      </c>
      <c r="C821">
        <v>91</v>
      </c>
      <c r="D821" s="1">
        <v>5.4900000000000004E-2</v>
      </c>
      <c r="E821">
        <v>5</v>
      </c>
      <c r="F821">
        <v>1</v>
      </c>
      <c r="G821" s="2">
        <v>0.2</v>
      </c>
      <c r="H821" s="3">
        <v>4.75</v>
      </c>
      <c r="I821" s="3">
        <v>23.74</v>
      </c>
      <c r="J821" s="3">
        <v>23.74</v>
      </c>
    </row>
    <row r="822" spans="1:10" x14ac:dyDescent="0.3">
      <c r="A822" t="s">
        <v>23</v>
      </c>
      <c r="B822" t="s">
        <v>221</v>
      </c>
      <c r="C822">
        <v>46</v>
      </c>
      <c r="D822" s="1">
        <v>0</v>
      </c>
      <c r="E822">
        <v>0</v>
      </c>
      <c r="F822">
        <v>0</v>
      </c>
      <c r="G822" s="2">
        <v>0</v>
      </c>
      <c r="H822" s="3" t="s">
        <v>213</v>
      </c>
      <c r="I822" s="3" t="s">
        <v>213</v>
      </c>
      <c r="J822" s="3">
        <v>0</v>
      </c>
    </row>
    <row r="823" spans="1:10" x14ac:dyDescent="0.3">
      <c r="A823" t="s">
        <v>23</v>
      </c>
      <c r="B823" t="s">
        <v>221</v>
      </c>
      <c r="C823">
        <v>36</v>
      </c>
      <c r="D823" s="1">
        <v>0</v>
      </c>
      <c r="E823">
        <v>0</v>
      </c>
      <c r="F823">
        <v>0</v>
      </c>
      <c r="G823" s="2">
        <v>0</v>
      </c>
      <c r="H823" s="3" t="s">
        <v>213</v>
      </c>
      <c r="I823" s="3" t="s">
        <v>213</v>
      </c>
      <c r="J823" s="3">
        <v>0</v>
      </c>
    </row>
    <row r="824" spans="1:10" x14ac:dyDescent="0.3">
      <c r="A824" t="s">
        <v>23</v>
      </c>
      <c r="B824" t="s">
        <v>221</v>
      </c>
      <c r="C824">
        <v>11</v>
      </c>
      <c r="D824" s="1">
        <v>0</v>
      </c>
      <c r="E824">
        <v>0</v>
      </c>
      <c r="F824">
        <v>0</v>
      </c>
      <c r="G824" s="2">
        <v>0</v>
      </c>
      <c r="H824" s="3" t="s">
        <v>213</v>
      </c>
      <c r="I824" s="3" t="s">
        <v>213</v>
      </c>
      <c r="J824" s="3">
        <v>0</v>
      </c>
    </row>
    <row r="825" spans="1:10" x14ac:dyDescent="0.3">
      <c r="A825" t="s">
        <v>23</v>
      </c>
      <c r="B825" t="s">
        <v>221</v>
      </c>
      <c r="C825">
        <v>7</v>
      </c>
      <c r="D825" s="1">
        <v>0</v>
      </c>
      <c r="E825">
        <v>0</v>
      </c>
      <c r="F825">
        <v>0</v>
      </c>
      <c r="G825" s="2">
        <v>0</v>
      </c>
      <c r="H825" s="3" t="s">
        <v>213</v>
      </c>
      <c r="I825" s="3" t="s">
        <v>213</v>
      </c>
      <c r="J825" s="3">
        <v>0</v>
      </c>
    </row>
    <row r="826" spans="1:10" x14ac:dyDescent="0.3">
      <c r="A826" t="s">
        <v>23</v>
      </c>
      <c r="B826" t="s">
        <v>221</v>
      </c>
      <c r="C826">
        <v>129</v>
      </c>
      <c r="D826" s="1">
        <v>2.3300000000000001E-2</v>
      </c>
      <c r="E826">
        <v>3</v>
      </c>
      <c r="F826">
        <v>0</v>
      </c>
      <c r="G826" s="2">
        <v>0</v>
      </c>
      <c r="H826" s="3">
        <v>0</v>
      </c>
      <c r="I826" s="3" t="s">
        <v>213</v>
      </c>
      <c r="J826" s="3">
        <v>0</v>
      </c>
    </row>
    <row r="827" spans="1:10" x14ac:dyDescent="0.3">
      <c r="A827" t="s">
        <v>23</v>
      </c>
      <c r="B827" t="s">
        <v>221</v>
      </c>
      <c r="C827">
        <v>73</v>
      </c>
      <c r="D827" s="1">
        <v>2.7400000000000001E-2</v>
      </c>
      <c r="E827">
        <v>2</v>
      </c>
      <c r="F827">
        <v>0</v>
      </c>
      <c r="G827" s="2">
        <v>0</v>
      </c>
      <c r="H827" s="3">
        <v>0</v>
      </c>
      <c r="I827" s="3" t="s">
        <v>213</v>
      </c>
      <c r="J827" s="3">
        <v>0</v>
      </c>
    </row>
    <row r="828" spans="1:10" x14ac:dyDescent="0.3">
      <c r="A828" t="s">
        <v>23</v>
      </c>
      <c r="B828" t="s">
        <v>221</v>
      </c>
      <c r="C828">
        <v>45</v>
      </c>
      <c r="D828" s="1">
        <v>2.2200000000000001E-2</v>
      </c>
      <c r="E828">
        <v>1</v>
      </c>
      <c r="F828">
        <v>0</v>
      </c>
      <c r="G828" s="2">
        <v>0</v>
      </c>
      <c r="H828" s="3">
        <v>0</v>
      </c>
      <c r="I828" s="3" t="s">
        <v>213</v>
      </c>
      <c r="J828" s="3">
        <v>0</v>
      </c>
    </row>
    <row r="829" spans="1:10" x14ac:dyDescent="0.3">
      <c r="A829" t="s">
        <v>23</v>
      </c>
      <c r="B829" t="s">
        <v>221</v>
      </c>
      <c r="C829">
        <v>79</v>
      </c>
      <c r="D829" s="1">
        <v>0</v>
      </c>
      <c r="E829">
        <v>0</v>
      </c>
      <c r="F829">
        <v>0</v>
      </c>
      <c r="G829" s="2">
        <v>0</v>
      </c>
      <c r="H829" s="3" t="s">
        <v>213</v>
      </c>
      <c r="I829" s="3" t="s">
        <v>213</v>
      </c>
      <c r="J829" s="3">
        <v>0</v>
      </c>
    </row>
    <row r="830" spans="1:10" x14ac:dyDescent="0.3">
      <c r="A830" t="s">
        <v>23</v>
      </c>
      <c r="B830" t="s">
        <v>221</v>
      </c>
      <c r="C830">
        <v>56</v>
      </c>
      <c r="D830" s="1">
        <v>0</v>
      </c>
      <c r="E830">
        <v>0</v>
      </c>
      <c r="F830">
        <v>0</v>
      </c>
      <c r="G830" s="2">
        <v>0</v>
      </c>
      <c r="H830" s="3" t="s">
        <v>213</v>
      </c>
      <c r="I830" s="3" t="s">
        <v>213</v>
      </c>
      <c r="J830" s="3">
        <v>0</v>
      </c>
    </row>
    <row r="831" spans="1:10" x14ac:dyDescent="0.3">
      <c r="A831" t="s">
        <v>23</v>
      </c>
      <c r="B831" t="s">
        <v>221</v>
      </c>
      <c r="C831">
        <v>0</v>
      </c>
      <c r="D831" s="1">
        <v>0</v>
      </c>
      <c r="E831">
        <v>0</v>
      </c>
      <c r="F831">
        <v>0</v>
      </c>
      <c r="G831" s="2">
        <v>0</v>
      </c>
      <c r="H831" s="3" t="s">
        <v>213</v>
      </c>
      <c r="I831" s="3" t="s">
        <v>213</v>
      </c>
      <c r="J831" s="3">
        <v>0</v>
      </c>
    </row>
    <row r="832" spans="1:10" x14ac:dyDescent="0.3">
      <c r="A832" t="s">
        <v>23</v>
      </c>
      <c r="B832" t="s">
        <v>221</v>
      </c>
      <c r="C832">
        <v>58</v>
      </c>
      <c r="D832" s="1">
        <v>5.1699999999999996E-2</v>
      </c>
      <c r="E832">
        <v>3</v>
      </c>
      <c r="F832">
        <v>0</v>
      </c>
      <c r="G832" s="2">
        <v>0</v>
      </c>
      <c r="H832" s="3">
        <v>0</v>
      </c>
      <c r="I832" s="3" t="s">
        <v>213</v>
      </c>
      <c r="J832" s="3">
        <v>0</v>
      </c>
    </row>
    <row r="833" spans="1:10" x14ac:dyDescent="0.3">
      <c r="A833" t="s">
        <v>23</v>
      </c>
      <c r="B833" t="s">
        <v>221</v>
      </c>
      <c r="C833">
        <v>74</v>
      </c>
      <c r="D833" s="1">
        <v>1.3500000000000002E-2</v>
      </c>
      <c r="E833">
        <v>1</v>
      </c>
      <c r="F833">
        <v>0</v>
      </c>
      <c r="G833" s="2">
        <v>0</v>
      </c>
      <c r="H833" s="3">
        <v>0</v>
      </c>
      <c r="I833" s="3" t="s">
        <v>213</v>
      </c>
      <c r="J833" s="3">
        <v>0</v>
      </c>
    </row>
    <row r="834" spans="1:10" x14ac:dyDescent="0.3">
      <c r="A834" t="s">
        <v>23</v>
      </c>
      <c r="B834" t="s">
        <v>221</v>
      </c>
      <c r="C834">
        <v>11</v>
      </c>
      <c r="D834" s="1">
        <v>9.0899999999999995E-2</v>
      </c>
      <c r="E834">
        <v>1</v>
      </c>
      <c r="F834">
        <v>0</v>
      </c>
      <c r="G834" s="2">
        <v>0</v>
      </c>
      <c r="H834" s="3">
        <v>0</v>
      </c>
      <c r="I834" s="3" t="s">
        <v>213</v>
      </c>
      <c r="J834" s="3">
        <v>0</v>
      </c>
    </row>
    <row r="835" spans="1:10" x14ac:dyDescent="0.3">
      <c r="A835" t="s">
        <v>23</v>
      </c>
      <c r="B835" t="s">
        <v>221</v>
      </c>
      <c r="C835">
        <v>45</v>
      </c>
      <c r="D835" s="1">
        <v>0</v>
      </c>
      <c r="E835">
        <v>0</v>
      </c>
      <c r="F835">
        <v>0</v>
      </c>
      <c r="G835" s="2">
        <v>0</v>
      </c>
      <c r="H835" s="3" t="s">
        <v>213</v>
      </c>
      <c r="I835" s="3" t="s">
        <v>213</v>
      </c>
      <c r="J835" s="3">
        <v>0</v>
      </c>
    </row>
    <row r="836" spans="1:10" x14ac:dyDescent="0.3">
      <c r="A836" t="s">
        <v>23</v>
      </c>
      <c r="B836" t="s">
        <v>221</v>
      </c>
      <c r="C836">
        <v>23</v>
      </c>
      <c r="D836" s="1">
        <v>0</v>
      </c>
      <c r="E836">
        <v>0</v>
      </c>
      <c r="F836">
        <v>0</v>
      </c>
      <c r="G836" s="2">
        <v>0</v>
      </c>
      <c r="H836" s="3" t="s">
        <v>213</v>
      </c>
      <c r="I836" s="3">
        <v>0</v>
      </c>
      <c r="J836" s="3">
        <v>0</v>
      </c>
    </row>
    <row r="837" spans="1:10" x14ac:dyDescent="0.3">
      <c r="A837" t="s">
        <v>23</v>
      </c>
      <c r="B837" t="s">
        <v>221</v>
      </c>
      <c r="C837">
        <v>266</v>
      </c>
      <c r="D837" s="1">
        <v>4.1399999999999999E-2</v>
      </c>
      <c r="E837">
        <v>11</v>
      </c>
      <c r="F837">
        <v>2</v>
      </c>
      <c r="G837" s="2">
        <v>0.18179999999999999</v>
      </c>
      <c r="H837" s="3">
        <v>5.04</v>
      </c>
      <c r="I837" s="3">
        <v>27.72</v>
      </c>
      <c r="J837" s="3">
        <v>55.44</v>
      </c>
    </row>
    <row r="838" spans="1:10" x14ac:dyDescent="0.3">
      <c r="A838" t="s">
        <v>23</v>
      </c>
      <c r="B838" t="s">
        <v>221</v>
      </c>
      <c r="C838">
        <v>309</v>
      </c>
      <c r="D838" s="1">
        <v>3.56E-2</v>
      </c>
      <c r="E838">
        <v>11</v>
      </c>
      <c r="F838">
        <v>0</v>
      </c>
      <c r="G838" s="2">
        <v>0</v>
      </c>
      <c r="H838" s="3">
        <v>0</v>
      </c>
      <c r="I838" s="3" t="s">
        <v>213</v>
      </c>
      <c r="J838" s="3">
        <v>0</v>
      </c>
    </row>
    <row r="839" spans="1:10" x14ac:dyDescent="0.3">
      <c r="A839" t="s">
        <v>23</v>
      </c>
      <c r="B839" t="s">
        <v>221</v>
      </c>
      <c r="C839">
        <v>214</v>
      </c>
      <c r="D839" s="1">
        <v>1.3999999999999999E-2</v>
      </c>
      <c r="E839">
        <v>3</v>
      </c>
      <c r="F839">
        <v>0</v>
      </c>
      <c r="G839" s="2">
        <v>0</v>
      </c>
      <c r="H839" s="3">
        <v>0</v>
      </c>
      <c r="I839" s="3" t="s">
        <v>213</v>
      </c>
      <c r="J839" s="3">
        <v>0</v>
      </c>
    </row>
    <row r="840" spans="1:10" x14ac:dyDescent="0.3">
      <c r="A840" t="s">
        <v>23</v>
      </c>
      <c r="B840" t="s">
        <v>221</v>
      </c>
      <c r="C840">
        <v>70</v>
      </c>
      <c r="D840" s="1">
        <v>4.2900000000000001E-2</v>
      </c>
      <c r="E840">
        <v>3</v>
      </c>
      <c r="F840">
        <v>0</v>
      </c>
      <c r="G840" s="2">
        <v>0</v>
      </c>
      <c r="H840" s="3">
        <v>0</v>
      </c>
      <c r="I840" s="3" t="s">
        <v>213</v>
      </c>
      <c r="J840" s="3">
        <v>0</v>
      </c>
    </row>
    <row r="841" spans="1:10" x14ac:dyDescent="0.3">
      <c r="A841" t="s">
        <v>23</v>
      </c>
      <c r="B841" t="s">
        <v>221</v>
      </c>
      <c r="C841">
        <v>50</v>
      </c>
      <c r="D841" s="1">
        <v>0.06</v>
      </c>
      <c r="E841">
        <v>3</v>
      </c>
      <c r="F841">
        <v>0</v>
      </c>
      <c r="G841" s="2">
        <v>0</v>
      </c>
      <c r="H841" s="3">
        <v>0</v>
      </c>
      <c r="I841" s="3" t="s">
        <v>213</v>
      </c>
      <c r="J841" s="3">
        <v>0</v>
      </c>
    </row>
    <row r="842" spans="1:10" x14ac:dyDescent="0.3">
      <c r="A842" t="s">
        <v>23</v>
      </c>
      <c r="B842" t="s">
        <v>221</v>
      </c>
      <c r="C842">
        <v>32</v>
      </c>
      <c r="D842" s="1">
        <v>6.25E-2</v>
      </c>
      <c r="E842">
        <v>2</v>
      </c>
      <c r="F842">
        <v>0</v>
      </c>
      <c r="G842" s="2">
        <v>0</v>
      </c>
      <c r="H842" s="3">
        <v>0</v>
      </c>
      <c r="I842" s="3" t="s">
        <v>213</v>
      </c>
      <c r="J842" s="3">
        <v>0</v>
      </c>
    </row>
    <row r="843" spans="1:10" x14ac:dyDescent="0.3">
      <c r="A843" t="s">
        <v>23</v>
      </c>
      <c r="B843" t="s">
        <v>221</v>
      </c>
      <c r="C843">
        <v>31</v>
      </c>
      <c r="D843" s="1">
        <v>6.4500000000000002E-2</v>
      </c>
      <c r="E843">
        <v>2</v>
      </c>
      <c r="F843">
        <v>0</v>
      </c>
      <c r="G843" s="2">
        <v>0</v>
      </c>
      <c r="H843" s="3">
        <v>0</v>
      </c>
      <c r="I843" s="3" t="s">
        <v>213</v>
      </c>
      <c r="J843" s="3">
        <v>0</v>
      </c>
    </row>
    <row r="844" spans="1:10" x14ac:dyDescent="0.3">
      <c r="A844" t="s">
        <v>23</v>
      </c>
      <c r="B844" t="s">
        <v>248</v>
      </c>
      <c r="C844">
        <v>335</v>
      </c>
      <c r="D844" s="1">
        <v>4.1799999999999997E-2</v>
      </c>
      <c r="E844">
        <v>14</v>
      </c>
      <c r="F844">
        <v>1</v>
      </c>
      <c r="G844" s="2">
        <v>7.1399999999999991E-2</v>
      </c>
      <c r="H844" s="3">
        <v>0.81</v>
      </c>
      <c r="I844" s="3">
        <v>11.29</v>
      </c>
      <c r="J844" s="3">
        <v>11.29</v>
      </c>
    </row>
    <row r="845" spans="1:10" x14ac:dyDescent="0.3">
      <c r="A845" t="s">
        <v>23</v>
      </c>
      <c r="B845" t="s">
        <v>217</v>
      </c>
      <c r="C845">
        <v>149</v>
      </c>
      <c r="D845" s="1">
        <v>4.0300000000000002E-2</v>
      </c>
      <c r="E845">
        <v>6</v>
      </c>
      <c r="F845">
        <v>0</v>
      </c>
      <c r="G845" s="2">
        <v>0</v>
      </c>
      <c r="H845" s="3">
        <v>0</v>
      </c>
      <c r="I845" s="3" t="s">
        <v>213</v>
      </c>
      <c r="J845" s="3">
        <v>0</v>
      </c>
    </row>
    <row r="846" spans="1:10" x14ac:dyDescent="0.3">
      <c r="A846" t="s">
        <v>23</v>
      </c>
      <c r="B846" t="s">
        <v>217</v>
      </c>
      <c r="C846">
        <v>150</v>
      </c>
      <c r="D846" s="1">
        <v>5.33E-2</v>
      </c>
      <c r="E846">
        <v>8</v>
      </c>
      <c r="F846">
        <v>1</v>
      </c>
      <c r="G846" s="2">
        <v>0.125</v>
      </c>
      <c r="H846" s="3">
        <v>0.49</v>
      </c>
      <c r="I846" s="3">
        <v>3.91</v>
      </c>
      <c r="J846" s="3">
        <v>3.91</v>
      </c>
    </row>
    <row r="847" spans="1:10" x14ac:dyDescent="0.3">
      <c r="A847" t="s">
        <v>171</v>
      </c>
      <c r="B847" t="s">
        <v>217</v>
      </c>
      <c r="C847">
        <v>169</v>
      </c>
      <c r="D847" s="1">
        <v>1.78E-2</v>
      </c>
      <c r="E847">
        <v>3</v>
      </c>
      <c r="F847">
        <v>0</v>
      </c>
      <c r="G847" s="2">
        <v>0</v>
      </c>
      <c r="H847" s="3">
        <v>0</v>
      </c>
      <c r="I847" s="3" t="s">
        <v>213</v>
      </c>
      <c r="J847" s="3">
        <v>0</v>
      </c>
    </row>
    <row r="848" spans="1:10" x14ac:dyDescent="0.3">
      <c r="A848" t="s">
        <v>64</v>
      </c>
      <c r="B848" t="s">
        <v>463</v>
      </c>
      <c r="C848">
        <v>241</v>
      </c>
      <c r="D848" s="1">
        <v>9.1300000000000006E-2</v>
      </c>
      <c r="E848">
        <v>22</v>
      </c>
      <c r="F848">
        <v>2</v>
      </c>
      <c r="G848" s="2">
        <v>9.0899999999999995E-2</v>
      </c>
      <c r="H848" s="3">
        <v>0.3</v>
      </c>
      <c r="I848" s="3">
        <v>3.33</v>
      </c>
      <c r="J848" s="3">
        <v>6.65</v>
      </c>
    </row>
    <row r="849" spans="1:10" x14ac:dyDescent="0.3">
      <c r="A849" t="s">
        <v>64</v>
      </c>
      <c r="B849" t="s">
        <v>463</v>
      </c>
      <c r="C849">
        <v>907</v>
      </c>
      <c r="D849" s="1">
        <v>0.11470000000000001</v>
      </c>
      <c r="E849">
        <v>104</v>
      </c>
      <c r="F849">
        <v>5</v>
      </c>
      <c r="G849" s="2">
        <v>4.8099999999999997E-2</v>
      </c>
      <c r="H849" s="3">
        <v>0.09</v>
      </c>
      <c r="I849" s="3">
        <v>1.81</v>
      </c>
      <c r="J849" s="3">
        <v>9.07</v>
      </c>
    </row>
    <row r="850" spans="1:10" x14ac:dyDescent="0.3">
      <c r="A850" t="s">
        <v>71</v>
      </c>
      <c r="B850" t="s">
        <v>248</v>
      </c>
      <c r="C850">
        <v>265</v>
      </c>
      <c r="D850" s="1">
        <v>2.64E-2</v>
      </c>
      <c r="E850">
        <v>7</v>
      </c>
      <c r="F850">
        <v>0</v>
      </c>
      <c r="G850" s="2">
        <v>0</v>
      </c>
      <c r="H850" s="3">
        <v>0</v>
      </c>
      <c r="I850" s="3" t="s">
        <v>213</v>
      </c>
      <c r="J850" s="3">
        <v>0</v>
      </c>
    </row>
    <row r="851" spans="1:10" x14ac:dyDescent="0.3">
      <c r="A851" t="s">
        <v>71</v>
      </c>
      <c r="B851" t="s">
        <v>218</v>
      </c>
      <c r="C851">
        <v>212</v>
      </c>
      <c r="D851" s="1">
        <v>3.3000000000000002E-2</v>
      </c>
      <c r="E851">
        <v>7</v>
      </c>
      <c r="F851">
        <v>0</v>
      </c>
      <c r="G851" s="2">
        <v>0</v>
      </c>
      <c r="H851" s="3">
        <v>0</v>
      </c>
      <c r="I851" s="3" t="s">
        <v>213</v>
      </c>
      <c r="J851" s="3">
        <v>0</v>
      </c>
    </row>
    <row r="852" spans="1:10" x14ac:dyDescent="0.3">
      <c r="A852" t="s">
        <v>71</v>
      </c>
      <c r="B852" t="s">
        <v>212</v>
      </c>
      <c r="C852">
        <v>254</v>
      </c>
      <c r="D852" s="1">
        <v>1.5700000000000002E-2</v>
      </c>
      <c r="E852">
        <v>4</v>
      </c>
      <c r="F852">
        <v>0</v>
      </c>
      <c r="G852" s="2">
        <v>0</v>
      </c>
      <c r="H852" s="3">
        <v>0</v>
      </c>
      <c r="I852" s="3" t="s">
        <v>213</v>
      </c>
      <c r="J852" s="3">
        <v>0</v>
      </c>
    </row>
    <row r="853" spans="1:10" x14ac:dyDescent="0.3">
      <c r="A853" t="s">
        <v>71</v>
      </c>
      <c r="B853" t="s">
        <v>248</v>
      </c>
      <c r="C853">
        <v>140</v>
      </c>
      <c r="D853" s="1">
        <v>0.05</v>
      </c>
      <c r="E853">
        <v>7</v>
      </c>
      <c r="F853">
        <v>1</v>
      </c>
      <c r="G853" s="2">
        <v>0.1429</v>
      </c>
      <c r="H853" s="3">
        <v>1.88</v>
      </c>
      <c r="I853" s="3">
        <v>13.15</v>
      </c>
      <c r="J853" s="3">
        <v>13.15</v>
      </c>
    </row>
    <row r="854" spans="1:10" x14ac:dyDescent="0.3">
      <c r="A854" t="s">
        <v>172</v>
      </c>
      <c r="B854" t="s">
        <v>311</v>
      </c>
      <c r="C854">
        <v>1108</v>
      </c>
      <c r="D854" s="1">
        <v>5.2300000000000006E-2</v>
      </c>
      <c r="E854">
        <v>58</v>
      </c>
      <c r="F854">
        <v>2</v>
      </c>
      <c r="G854" s="2">
        <v>3.4500000000000003E-2</v>
      </c>
      <c r="H854" s="3">
        <v>0.17</v>
      </c>
      <c r="I854" s="3">
        <v>4.82</v>
      </c>
      <c r="J854" s="3">
        <v>9.64</v>
      </c>
    </row>
    <row r="855" spans="1:10" x14ac:dyDescent="0.3">
      <c r="A855" t="s">
        <v>19</v>
      </c>
      <c r="B855" t="s">
        <v>235</v>
      </c>
      <c r="C855">
        <v>41</v>
      </c>
      <c r="D855" s="1">
        <v>7.3200000000000001E-2</v>
      </c>
      <c r="E855">
        <v>3</v>
      </c>
      <c r="F855">
        <v>0</v>
      </c>
      <c r="G855" s="2">
        <v>0</v>
      </c>
      <c r="H855" s="3">
        <v>0</v>
      </c>
      <c r="I855" s="3" t="s">
        <v>213</v>
      </c>
      <c r="J855" s="3">
        <v>0</v>
      </c>
    </row>
    <row r="856" spans="1:10" x14ac:dyDescent="0.3">
      <c r="A856" t="s">
        <v>19</v>
      </c>
      <c r="B856" t="s">
        <v>242</v>
      </c>
      <c r="C856">
        <v>12</v>
      </c>
      <c r="D856" s="1">
        <v>8.3299999999999999E-2</v>
      </c>
      <c r="E856">
        <v>1</v>
      </c>
      <c r="F856">
        <v>0</v>
      </c>
      <c r="G856" s="2">
        <v>0</v>
      </c>
      <c r="H856" s="3">
        <v>0</v>
      </c>
      <c r="I856" s="3" t="s">
        <v>213</v>
      </c>
      <c r="J856" s="3">
        <v>0</v>
      </c>
    </row>
    <row r="857" spans="1:10" x14ac:dyDescent="0.3">
      <c r="A857" t="s">
        <v>19</v>
      </c>
      <c r="B857" t="s">
        <v>239</v>
      </c>
      <c r="C857">
        <v>30</v>
      </c>
      <c r="D857" s="1">
        <v>0</v>
      </c>
      <c r="E857">
        <v>0</v>
      </c>
      <c r="F857">
        <v>0</v>
      </c>
      <c r="G857" s="2">
        <v>0</v>
      </c>
      <c r="H857" s="3" t="s">
        <v>213</v>
      </c>
      <c r="I857" s="3" t="s">
        <v>213</v>
      </c>
      <c r="J857" s="3">
        <v>0</v>
      </c>
    </row>
    <row r="858" spans="1:10" x14ac:dyDescent="0.3">
      <c r="A858" t="s">
        <v>19</v>
      </c>
      <c r="B858" t="s">
        <v>235</v>
      </c>
      <c r="C858">
        <v>41</v>
      </c>
      <c r="D858" s="1">
        <v>9.7599999999999992E-2</v>
      </c>
      <c r="E858">
        <v>4</v>
      </c>
      <c r="F858">
        <v>0</v>
      </c>
      <c r="G858" s="2">
        <v>0</v>
      </c>
      <c r="H858" s="3">
        <v>0</v>
      </c>
      <c r="I858" s="3" t="s">
        <v>213</v>
      </c>
      <c r="J858" s="3">
        <v>0</v>
      </c>
    </row>
    <row r="859" spans="1:10" x14ac:dyDescent="0.3">
      <c r="A859" t="s">
        <v>19</v>
      </c>
      <c r="B859" t="s">
        <v>239</v>
      </c>
      <c r="C859">
        <v>19</v>
      </c>
      <c r="D859" s="1">
        <v>0</v>
      </c>
      <c r="E859">
        <v>0</v>
      </c>
      <c r="F859">
        <v>0</v>
      </c>
      <c r="G859" s="2">
        <v>0</v>
      </c>
      <c r="H859" s="3" t="s">
        <v>213</v>
      </c>
      <c r="I859" s="3" t="s">
        <v>213</v>
      </c>
      <c r="J859" s="3">
        <v>0</v>
      </c>
    </row>
    <row r="860" spans="1:10" x14ac:dyDescent="0.3">
      <c r="A860" t="s">
        <v>19</v>
      </c>
      <c r="B860" t="s">
        <v>242</v>
      </c>
      <c r="C860">
        <v>15</v>
      </c>
      <c r="D860" s="1">
        <v>0</v>
      </c>
      <c r="E860">
        <v>0</v>
      </c>
      <c r="F860">
        <v>0</v>
      </c>
      <c r="G860" s="2">
        <v>0</v>
      </c>
      <c r="H860" s="3" t="s">
        <v>213</v>
      </c>
      <c r="I860" s="3" t="s">
        <v>213</v>
      </c>
      <c r="J860" s="3">
        <v>0</v>
      </c>
    </row>
    <row r="861" spans="1:10" x14ac:dyDescent="0.3">
      <c r="A861" t="s">
        <v>19</v>
      </c>
      <c r="B861" t="s">
        <v>221</v>
      </c>
      <c r="C861">
        <v>6</v>
      </c>
      <c r="D861" s="1">
        <v>0</v>
      </c>
      <c r="E861">
        <v>0</v>
      </c>
      <c r="F861">
        <v>0</v>
      </c>
      <c r="G861" s="2">
        <v>0</v>
      </c>
      <c r="H861" s="3" t="s">
        <v>213</v>
      </c>
      <c r="I861" s="3">
        <v>0</v>
      </c>
      <c r="J861" s="3">
        <v>0</v>
      </c>
    </row>
    <row r="862" spans="1:10" x14ac:dyDescent="0.3">
      <c r="A862" t="s">
        <v>19</v>
      </c>
      <c r="B862" t="s">
        <v>221</v>
      </c>
      <c r="C862">
        <v>526</v>
      </c>
      <c r="D862" s="1">
        <v>4.7500000000000001E-2</v>
      </c>
      <c r="E862">
        <v>25</v>
      </c>
      <c r="F862">
        <v>6</v>
      </c>
      <c r="G862" s="2">
        <v>0.24</v>
      </c>
      <c r="H862" s="3">
        <v>11.74</v>
      </c>
      <c r="I862" s="3">
        <v>48.92</v>
      </c>
      <c r="J862" s="3">
        <v>293.49</v>
      </c>
    </row>
    <row r="863" spans="1:10" x14ac:dyDescent="0.3">
      <c r="A863" t="s">
        <v>19</v>
      </c>
      <c r="B863" t="s">
        <v>223</v>
      </c>
      <c r="C863">
        <v>669</v>
      </c>
      <c r="D863" s="1">
        <v>3.1400000000000004E-2</v>
      </c>
      <c r="E863">
        <v>21</v>
      </c>
      <c r="F863">
        <v>3</v>
      </c>
      <c r="G863" s="2">
        <v>0.1429</v>
      </c>
      <c r="H863" s="3">
        <v>2.46</v>
      </c>
      <c r="I863" s="3">
        <v>17.22</v>
      </c>
      <c r="J863" s="3">
        <v>51.67</v>
      </c>
    </row>
    <row r="864" spans="1:10" x14ac:dyDescent="0.3">
      <c r="A864" t="s">
        <v>19</v>
      </c>
      <c r="B864" t="s">
        <v>221</v>
      </c>
      <c r="C864">
        <v>628</v>
      </c>
      <c r="D864" s="1">
        <v>5.7300000000000004E-2</v>
      </c>
      <c r="E864">
        <v>36</v>
      </c>
      <c r="F864">
        <v>2</v>
      </c>
      <c r="G864" s="2">
        <v>5.5599999999999997E-2</v>
      </c>
      <c r="H864" s="3">
        <v>0.71</v>
      </c>
      <c r="I864" s="3">
        <v>12.7</v>
      </c>
      <c r="J864" s="3">
        <v>25.4</v>
      </c>
    </row>
    <row r="865" spans="1:10" x14ac:dyDescent="0.3">
      <c r="A865" t="s">
        <v>19</v>
      </c>
      <c r="B865" t="s">
        <v>221</v>
      </c>
      <c r="C865">
        <v>230</v>
      </c>
      <c r="D865" s="1">
        <v>3.04E-2</v>
      </c>
      <c r="E865">
        <v>7</v>
      </c>
      <c r="F865">
        <v>2</v>
      </c>
      <c r="G865" s="2">
        <v>0.28570000000000001</v>
      </c>
      <c r="H865" s="3">
        <v>4.4000000000000004</v>
      </c>
      <c r="I865" s="3">
        <v>15.39</v>
      </c>
      <c r="J865" s="3">
        <v>30.78</v>
      </c>
    </row>
    <row r="866" spans="1:10" x14ac:dyDescent="0.3">
      <c r="A866" t="s">
        <v>19</v>
      </c>
      <c r="B866" t="s">
        <v>223</v>
      </c>
      <c r="C866">
        <v>406</v>
      </c>
      <c r="D866" s="1">
        <v>4.6799999999999994E-2</v>
      </c>
      <c r="E866">
        <v>19</v>
      </c>
      <c r="F866">
        <v>1</v>
      </c>
      <c r="G866" s="2">
        <v>5.2600000000000001E-2</v>
      </c>
      <c r="H866" s="3">
        <v>0.95</v>
      </c>
      <c r="I866" s="3">
        <v>18</v>
      </c>
      <c r="J866" s="3">
        <v>18</v>
      </c>
    </row>
    <row r="867" spans="1:10" x14ac:dyDescent="0.3">
      <c r="A867" t="s">
        <v>19</v>
      </c>
      <c r="B867" t="s">
        <v>221</v>
      </c>
      <c r="C867">
        <v>94</v>
      </c>
      <c r="D867" s="1">
        <v>3.1899999999999998E-2</v>
      </c>
      <c r="E867">
        <v>3</v>
      </c>
      <c r="F867">
        <v>1</v>
      </c>
      <c r="G867" s="2">
        <v>0.33329999999999999</v>
      </c>
      <c r="H867" s="3">
        <v>0</v>
      </c>
      <c r="I867" s="3">
        <v>0</v>
      </c>
      <c r="J867" s="3">
        <v>0</v>
      </c>
    </row>
    <row r="868" spans="1:10" x14ac:dyDescent="0.3">
      <c r="A868" t="s">
        <v>19</v>
      </c>
      <c r="B868" t="s">
        <v>221</v>
      </c>
      <c r="C868">
        <v>336</v>
      </c>
      <c r="D868" s="1">
        <v>4.7599999999999996E-2</v>
      </c>
      <c r="E868">
        <v>16</v>
      </c>
      <c r="F868">
        <v>0</v>
      </c>
      <c r="G868" s="2">
        <v>0</v>
      </c>
      <c r="H868" s="3">
        <v>0</v>
      </c>
      <c r="I868" s="3" t="s">
        <v>213</v>
      </c>
      <c r="J868" s="3">
        <v>0</v>
      </c>
    </row>
    <row r="869" spans="1:10" x14ac:dyDescent="0.3">
      <c r="A869" t="s">
        <v>19</v>
      </c>
      <c r="B869" t="s">
        <v>221</v>
      </c>
      <c r="C869">
        <v>73</v>
      </c>
      <c r="D869" s="1">
        <v>4.1100000000000005E-2</v>
      </c>
      <c r="E869">
        <v>3</v>
      </c>
      <c r="F869">
        <v>0</v>
      </c>
      <c r="G869" s="2">
        <v>0</v>
      </c>
      <c r="H869" s="3">
        <v>0</v>
      </c>
      <c r="I869" s="3" t="s">
        <v>213</v>
      </c>
      <c r="J869" s="3">
        <v>0</v>
      </c>
    </row>
    <row r="870" spans="1:10" x14ac:dyDescent="0.3">
      <c r="A870" t="s">
        <v>19</v>
      </c>
      <c r="B870" t="s">
        <v>221</v>
      </c>
      <c r="C870">
        <v>23</v>
      </c>
      <c r="D870" s="1">
        <v>4.3499999999999997E-2</v>
      </c>
      <c r="E870">
        <v>1</v>
      </c>
      <c r="F870">
        <v>0</v>
      </c>
      <c r="G870" s="2">
        <v>0</v>
      </c>
      <c r="H870" s="3">
        <v>0</v>
      </c>
      <c r="I870" s="3" t="s">
        <v>213</v>
      </c>
      <c r="J870" s="3">
        <v>0</v>
      </c>
    </row>
    <row r="871" spans="1:10" x14ac:dyDescent="0.3">
      <c r="A871" t="s">
        <v>19</v>
      </c>
      <c r="B871" t="s">
        <v>223</v>
      </c>
      <c r="C871">
        <v>11</v>
      </c>
      <c r="D871" s="1">
        <v>0</v>
      </c>
      <c r="E871">
        <v>0</v>
      </c>
      <c r="F871">
        <v>0</v>
      </c>
      <c r="G871" s="2">
        <v>0</v>
      </c>
      <c r="H871" s="3" t="s">
        <v>213</v>
      </c>
      <c r="I871" s="3" t="s">
        <v>213</v>
      </c>
      <c r="J871" s="3">
        <v>0</v>
      </c>
    </row>
    <row r="872" spans="1:10" x14ac:dyDescent="0.3">
      <c r="A872" t="s">
        <v>19</v>
      </c>
      <c r="B872" t="s">
        <v>221</v>
      </c>
      <c r="C872">
        <v>261</v>
      </c>
      <c r="D872" s="1">
        <v>7.6600000000000001E-2</v>
      </c>
      <c r="E872">
        <v>20</v>
      </c>
      <c r="F872">
        <v>4</v>
      </c>
      <c r="G872" s="2">
        <v>0.2</v>
      </c>
      <c r="H872" s="3">
        <v>1.41</v>
      </c>
      <c r="I872" s="3">
        <v>7.06</v>
      </c>
      <c r="J872" s="3">
        <v>28.25</v>
      </c>
    </row>
    <row r="873" spans="1:10" x14ac:dyDescent="0.3">
      <c r="A873" t="s">
        <v>19</v>
      </c>
      <c r="B873" t="s">
        <v>223</v>
      </c>
      <c r="C873">
        <v>313</v>
      </c>
      <c r="D873" s="1">
        <v>8.6300000000000002E-2</v>
      </c>
      <c r="E873">
        <v>27</v>
      </c>
      <c r="F873">
        <v>3</v>
      </c>
      <c r="G873" s="2">
        <v>0.11109999999999999</v>
      </c>
      <c r="H873" s="3">
        <v>1.7</v>
      </c>
      <c r="I873" s="3">
        <v>15.32</v>
      </c>
      <c r="J873" s="3">
        <v>45.96</v>
      </c>
    </row>
    <row r="874" spans="1:10" x14ac:dyDescent="0.3">
      <c r="A874" t="s">
        <v>19</v>
      </c>
      <c r="B874" t="s">
        <v>221</v>
      </c>
      <c r="C874">
        <v>255</v>
      </c>
      <c r="D874" s="1">
        <v>6.6699999999999995E-2</v>
      </c>
      <c r="E874">
        <v>17</v>
      </c>
      <c r="F874">
        <v>3</v>
      </c>
      <c r="G874" s="2">
        <v>0.17649999999999999</v>
      </c>
      <c r="H874" s="3">
        <v>2.69</v>
      </c>
      <c r="I874" s="3">
        <v>15.25</v>
      </c>
      <c r="J874" s="3">
        <v>45.75</v>
      </c>
    </row>
    <row r="875" spans="1:10" x14ac:dyDescent="0.3">
      <c r="A875" t="s">
        <v>19</v>
      </c>
      <c r="B875" t="s">
        <v>223</v>
      </c>
      <c r="C875">
        <v>323</v>
      </c>
      <c r="D875" s="1">
        <v>4.6399999999999997E-2</v>
      </c>
      <c r="E875">
        <v>15</v>
      </c>
      <c r="F875">
        <v>3</v>
      </c>
      <c r="G875" s="2">
        <v>0.2</v>
      </c>
      <c r="H875" s="3">
        <v>3.86</v>
      </c>
      <c r="I875" s="3">
        <v>19.3</v>
      </c>
      <c r="J875" s="3">
        <v>57.91</v>
      </c>
    </row>
    <row r="876" spans="1:10" x14ac:dyDescent="0.3">
      <c r="A876" t="s">
        <v>19</v>
      </c>
      <c r="B876" t="s">
        <v>221</v>
      </c>
      <c r="C876">
        <v>297</v>
      </c>
      <c r="D876" s="1">
        <v>4.7100000000000003E-2</v>
      </c>
      <c r="E876">
        <v>14</v>
      </c>
      <c r="F876">
        <v>2</v>
      </c>
      <c r="G876" s="2">
        <v>0.1429</v>
      </c>
      <c r="H876" s="3">
        <v>1.41</v>
      </c>
      <c r="I876" s="3">
        <v>9.86</v>
      </c>
      <c r="J876" s="3">
        <v>19.72</v>
      </c>
    </row>
    <row r="877" spans="1:10" x14ac:dyDescent="0.3">
      <c r="A877" t="s">
        <v>19</v>
      </c>
      <c r="B877" t="s">
        <v>223</v>
      </c>
      <c r="C877">
        <v>48</v>
      </c>
      <c r="D877" s="1">
        <v>6.25E-2</v>
      </c>
      <c r="E877">
        <v>3</v>
      </c>
      <c r="F877">
        <v>1</v>
      </c>
      <c r="G877" s="2">
        <v>0.33329999999999999</v>
      </c>
      <c r="H877" s="3">
        <v>6.37</v>
      </c>
      <c r="I877" s="3">
        <v>19.12</v>
      </c>
      <c r="J877" s="3">
        <v>19.12</v>
      </c>
    </row>
    <row r="878" spans="1:10" x14ac:dyDescent="0.3">
      <c r="A878" t="s">
        <v>19</v>
      </c>
      <c r="B878" t="s">
        <v>221</v>
      </c>
      <c r="C878">
        <v>45</v>
      </c>
      <c r="D878" s="1">
        <v>6.6699999999999995E-2</v>
      </c>
      <c r="E878">
        <v>3</v>
      </c>
      <c r="F878">
        <v>1</v>
      </c>
      <c r="G878" s="2">
        <v>0.33329999999999999</v>
      </c>
      <c r="H878" s="3">
        <v>3.33</v>
      </c>
      <c r="I878" s="3">
        <v>10</v>
      </c>
      <c r="J878" s="3">
        <v>10</v>
      </c>
    </row>
    <row r="879" spans="1:10" x14ac:dyDescent="0.3">
      <c r="A879" t="s">
        <v>19</v>
      </c>
      <c r="B879" t="s">
        <v>223</v>
      </c>
      <c r="C879">
        <v>187</v>
      </c>
      <c r="D879" s="1">
        <v>4.2800000000000005E-2</v>
      </c>
      <c r="E879">
        <v>8</v>
      </c>
      <c r="F879">
        <v>0</v>
      </c>
      <c r="G879" s="2">
        <v>0</v>
      </c>
      <c r="H879" s="3">
        <v>0</v>
      </c>
      <c r="I879" s="3" t="s">
        <v>213</v>
      </c>
      <c r="J879" s="3">
        <v>0</v>
      </c>
    </row>
    <row r="880" spans="1:10" x14ac:dyDescent="0.3">
      <c r="A880" t="s">
        <v>19</v>
      </c>
      <c r="B880" t="s">
        <v>221</v>
      </c>
      <c r="C880">
        <v>10</v>
      </c>
      <c r="D880" s="1">
        <v>0.1</v>
      </c>
      <c r="E880">
        <v>1</v>
      </c>
      <c r="F880">
        <v>0</v>
      </c>
      <c r="G880" s="2">
        <v>0</v>
      </c>
      <c r="H880" s="3">
        <v>0</v>
      </c>
      <c r="I880" s="3" t="s">
        <v>213</v>
      </c>
      <c r="J880" s="3">
        <v>0</v>
      </c>
    </row>
    <row r="881" spans="1:10" x14ac:dyDescent="0.3">
      <c r="A881" t="s">
        <v>19</v>
      </c>
      <c r="B881" t="s">
        <v>215</v>
      </c>
      <c r="C881">
        <v>332</v>
      </c>
      <c r="D881" s="1">
        <v>9.64E-2</v>
      </c>
      <c r="E881">
        <v>32</v>
      </c>
      <c r="F881">
        <v>0</v>
      </c>
      <c r="G881" s="2">
        <v>0</v>
      </c>
      <c r="H881" s="3">
        <v>0</v>
      </c>
      <c r="I881" s="3" t="s">
        <v>213</v>
      </c>
      <c r="J881" s="3">
        <v>0</v>
      </c>
    </row>
    <row r="882" spans="1:10" x14ac:dyDescent="0.3">
      <c r="A882" t="s">
        <v>19</v>
      </c>
      <c r="B882" t="s">
        <v>221</v>
      </c>
      <c r="C882">
        <v>15</v>
      </c>
      <c r="D882" s="1">
        <v>0</v>
      </c>
      <c r="E882">
        <v>0</v>
      </c>
      <c r="F882">
        <v>0</v>
      </c>
      <c r="G882" s="2">
        <v>0</v>
      </c>
      <c r="H882" s="3" t="s">
        <v>213</v>
      </c>
      <c r="I882" s="3" t="s">
        <v>213</v>
      </c>
      <c r="J882" s="3">
        <v>0</v>
      </c>
    </row>
    <row r="883" spans="1:10" x14ac:dyDescent="0.3">
      <c r="A883" t="s">
        <v>19</v>
      </c>
      <c r="B883" t="s">
        <v>221</v>
      </c>
      <c r="C883">
        <v>4</v>
      </c>
      <c r="D883" s="1">
        <v>0</v>
      </c>
      <c r="E883">
        <v>0</v>
      </c>
      <c r="F883">
        <v>0</v>
      </c>
      <c r="G883" s="2">
        <v>0</v>
      </c>
      <c r="H883" s="3" t="s">
        <v>213</v>
      </c>
      <c r="I883" s="3" t="s">
        <v>213</v>
      </c>
      <c r="J883" s="3">
        <v>0</v>
      </c>
    </row>
    <row r="884" spans="1:10" x14ac:dyDescent="0.3">
      <c r="A884" t="s">
        <v>19</v>
      </c>
      <c r="B884" t="s">
        <v>221</v>
      </c>
      <c r="C884">
        <v>160</v>
      </c>
      <c r="D884" s="1">
        <v>3.7499999999999999E-2</v>
      </c>
      <c r="E884">
        <v>6</v>
      </c>
      <c r="F884">
        <v>1</v>
      </c>
      <c r="G884" s="2">
        <v>0.16670000000000001</v>
      </c>
      <c r="H884" s="3">
        <v>2.5</v>
      </c>
      <c r="I884" s="3">
        <v>14.98</v>
      </c>
      <c r="J884" s="3">
        <v>14.98</v>
      </c>
    </row>
    <row r="885" spans="1:10" x14ac:dyDescent="0.3">
      <c r="A885" t="s">
        <v>19</v>
      </c>
      <c r="B885" t="s">
        <v>223</v>
      </c>
      <c r="C885">
        <v>304</v>
      </c>
      <c r="D885" s="1">
        <v>2.3E-2</v>
      </c>
      <c r="E885">
        <v>7</v>
      </c>
      <c r="F885">
        <v>0</v>
      </c>
      <c r="G885" s="2">
        <v>0</v>
      </c>
      <c r="H885" s="3">
        <v>0</v>
      </c>
      <c r="I885" s="3" t="s">
        <v>213</v>
      </c>
      <c r="J885" s="3">
        <v>0</v>
      </c>
    </row>
    <row r="886" spans="1:10" x14ac:dyDescent="0.3">
      <c r="A886" t="s">
        <v>19</v>
      </c>
      <c r="B886" t="s">
        <v>221</v>
      </c>
      <c r="C886">
        <v>277</v>
      </c>
      <c r="D886" s="1">
        <v>2.1700000000000001E-2</v>
      </c>
      <c r="E886">
        <v>6</v>
      </c>
      <c r="F886">
        <v>0</v>
      </c>
      <c r="G886" s="2">
        <v>0</v>
      </c>
      <c r="H886" s="3">
        <v>0</v>
      </c>
      <c r="I886" s="3" t="s">
        <v>213</v>
      </c>
      <c r="J886" s="3">
        <v>0</v>
      </c>
    </row>
    <row r="887" spans="1:10" x14ac:dyDescent="0.3">
      <c r="A887" t="s">
        <v>19</v>
      </c>
      <c r="B887" t="s">
        <v>221</v>
      </c>
      <c r="C887">
        <v>137</v>
      </c>
      <c r="D887" s="1">
        <v>2.92E-2</v>
      </c>
      <c r="E887">
        <v>4</v>
      </c>
      <c r="F887">
        <v>0</v>
      </c>
      <c r="G887" s="2">
        <v>0</v>
      </c>
      <c r="H887" s="3">
        <v>0</v>
      </c>
      <c r="I887" s="3" t="s">
        <v>213</v>
      </c>
      <c r="J887" s="3">
        <v>0</v>
      </c>
    </row>
    <row r="888" spans="1:10" x14ac:dyDescent="0.3">
      <c r="A888" t="s">
        <v>19</v>
      </c>
      <c r="B888" t="s">
        <v>221</v>
      </c>
      <c r="C888">
        <v>172</v>
      </c>
      <c r="D888" s="1">
        <v>1.7399999999999999E-2</v>
      </c>
      <c r="E888">
        <v>3</v>
      </c>
      <c r="F888">
        <v>0</v>
      </c>
      <c r="G888" s="2">
        <v>0</v>
      </c>
      <c r="H888" s="3">
        <v>0</v>
      </c>
      <c r="I888" s="3" t="s">
        <v>213</v>
      </c>
      <c r="J888" s="3">
        <v>0</v>
      </c>
    </row>
    <row r="889" spans="1:10" x14ac:dyDescent="0.3">
      <c r="A889" t="s">
        <v>19</v>
      </c>
      <c r="B889" t="s">
        <v>223</v>
      </c>
      <c r="C889">
        <v>182</v>
      </c>
      <c r="D889" s="1">
        <v>1.6500000000000001E-2</v>
      </c>
      <c r="E889">
        <v>3</v>
      </c>
      <c r="F889">
        <v>0</v>
      </c>
      <c r="G889" s="2">
        <v>0</v>
      </c>
      <c r="H889" s="3">
        <v>0</v>
      </c>
      <c r="I889" s="3" t="s">
        <v>213</v>
      </c>
      <c r="J889" s="3">
        <v>0</v>
      </c>
    </row>
    <row r="890" spans="1:10" x14ac:dyDescent="0.3">
      <c r="A890" t="s">
        <v>19</v>
      </c>
      <c r="B890" t="s">
        <v>221</v>
      </c>
      <c r="C890">
        <v>82</v>
      </c>
      <c r="D890" s="1">
        <v>1.2199999999999999E-2</v>
      </c>
      <c r="E890">
        <v>1</v>
      </c>
      <c r="F890">
        <v>0</v>
      </c>
      <c r="G890" s="2">
        <v>0</v>
      </c>
      <c r="H890" s="3">
        <v>0</v>
      </c>
      <c r="I890" s="3" t="s">
        <v>213</v>
      </c>
      <c r="J890" s="3">
        <v>0</v>
      </c>
    </row>
    <row r="891" spans="1:10" x14ac:dyDescent="0.3">
      <c r="A891" t="s">
        <v>19</v>
      </c>
      <c r="B891" t="s">
        <v>221</v>
      </c>
      <c r="C891">
        <v>40</v>
      </c>
      <c r="D891" s="1">
        <v>2.5000000000000001E-2</v>
      </c>
      <c r="E891">
        <v>1</v>
      </c>
      <c r="F891">
        <v>0</v>
      </c>
      <c r="G891" s="2">
        <v>0</v>
      </c>
      <c r="H891" s="3">
        <v>0</v>
      </c>
      <c r="I891" s="3" t="s">
        <v>213</v>
      </c>
      <c r="J891" s="3">
        <v>0</v>
      </c>
    </row>
    <row r="892" spans="1:10" x14ac:dyDescent="0.3">
      <c r="A892" t="s">
        <v>19</v>
      </c>
      <c r="B892" t="s">
        <v>223</v>
      </c>
      <c r="C892">
        <v>2</v>
      </c>
      <c r="D892" s="1">
        <v>0</v>
      </c>
      <c r="E892">
        <v>0</v>
      </c>
      <c r="F892">
        <v>0</v>
      </c>
      <c r="G892" s="2">
        <v>0</v>
      </c>
      <c r="H892" s="3" t="s">
        <v>213</v>
      </c>
      <c r="I892" s="3" t="s">
        <v>213</v>
      </c>
      <c r="J892" s="3">
        <v>0</v>
      </c>
    </row>
    <row r="893" spans="1:10" x14ac:dyDescent="0.3">
      <c r="A893" t="s">
        <v>19</v>
      </c>
      <c r="B893" t="s">
        <v>221</v>
      </c>
      <c r="C893">
        <v>1</v>
      </c>
      <c r="D893" s="1">
        <v>0</v>
      </c>
      <c r="E893">
        <v>0</v>
      </c>
      <c r="F893">
        <v>0</v>
      </c>
      <c r="G893" s="2">
        <v>0</v>
      </c>
      <c r="H893" s="3" t="s">
        <v>213</v>
      </c>
      <c r="I893" s="3" t="s">
        <v>213</v>
      </c>
      <c r="J893" s="3">
        <v>0</v>
      </c>
    </row>
    <row r="894" spans="1:10" x14ac:dyDescent="0.3">
      <c r="A894" t="s">
        <v>19</v>
      </c>
      <c r="B894" t="s">
        <v>221</v>
      </c>
      <c r="C894">
        <v>70</v>
      </c>
      <c r="D894" s="1">
        <v>2.86E-2</v>
      </c>
      <c r="E894">
        <v>2</v>
      </c>
      <c r="F894">
        <v>0</v>
      </c>
      <c r="G894" s="2">
        <v>0</v>
      </c>
      <c r="H894" s="3">
        <v>0</v>
      </c>
      <c r="I894" s="3" t="s">
        <v>213</v>
      </c>
      <c r="J894" s="3">
        <v>0</v>
      </c>
    </row>
    <row r="895" spans="1:10" x14ac:dyDescent="0.3">
      <c r="A895" t="s">
        <v>19</v>
      </c>
      <c r="B895" t="s">
        <v>223</v>
      </c>
      <c r="C895">
        <v>31</v>
      </c>
      <c r="D895" s="1">
        <v>6.4500000000000002E-2</v>
      </c>
      <c r="E895">
        <v>2</v>
      </c>
      <c r="F895">
        <v>0</v>
      </c>
      <c r="G895" s="2">
        <v>0</v>
      </c>
      <c r="H895" s="3">
        <v>0</v>
      </c>
      <c r="I895" s="3" t="s">
        <v>213</v>
      </c>
      <c r="J895" s="3">
        <v>0</v>
      </c>
    </row>
    <row r="896" spans="1:10" x14ac:dyDescent="0.3">
      <c r="A896" t="s">
        <v>19</v>
      </c>
      <c r="B896" t="s">
        <v>223</v>
      </c>
      <c r="C896">
        <v>24</v>
      </c>
      <c r="D896" s="1">
        <v>4.1700000000000001E-2</v>
      </c>
      <c r="E896">
        <v>1</v>
      </c>
      <c r="F896">
        <v>0</v>
      </c>
      <c r="G896" s="2">
        <v>0</v>
      </c>
      <c r="H896" s="3">
        <v>0</v>
      </c>
      <c r="I896" s="3" t="s">
        <v>213</v>
      </c>
      <c r="J896" s="3">
        <v>0</v>
      </c>
    </row>
    <row r="897" spans="1:10" x14ac:dyDescent="0.3">
      <c r="A897" t="s">
        <v>19</v>
      </c>
      <c r="B897" t="s">
        <v>221</v>
      </c>
      <c r="C897">
        <v>55</v>
      </c>
      <c r="D897" s="1">
        <v>1.8200000000000001E-2</v>
      </c>
      <c r="E897">
        <v>1</v>
      </c>
      <c r="F897">
        <v>0</v>
      </c>
      <c r="G897" s="2">
        <v>0</v>
      </c>
      <c r="H897" s="3">
        <v>0</v>
      </c>
      <c r="I897" s="3" t="s">
        <v>213</v>
      </c>
      <c r="J897" s="3">
        <v>0</v>
      </c>
    </row>
    <row r="898" spans="1:10" x14ac:dyDescent="0.3">
      <c r="A898" t="s">
        <v>19</v>
      </c>
      <c r="B898" t="s">
        <v>221</v>
      </c>
      <c r="C898">
        <v>44</v>
      </c>
      <c r="D898" s="1">
        <v>2.2700000000000001E-2</v>
      </c>
      <c r="E898">
        <v>1</v>
      </c>
      <c r="F898">
        <v>0</v>
      </c>
      <c r="G898" s="2">
        <v>0</v>
      </c>
      <c r="H898" s="3">
        <v>0</v>
      </c>
      <c r="I898" s="3" t="s">
        <v>213</v>
      </c>
      <c r="J898" s="3">
        <v>0</v>
      </c>
    </row>
    <row r="899" spans="1:10" x14ac:dyDescent="0.3">
      <c r="A899" t="s">
        <v>19</v>
      </c>
      <c r="B899" t="s">
        <v>223</v>
      </c>
      <c r="C899">
        <v>44</v>
      </c>
      <c r="D899" s="1">
        <v>0</v>
      </c>
      <c r="E899">
        <v>0</v>
      </c>
      <c r="F899">
        <v>0</v>
      </c>
      <c r="G899" s="2">
        <v>0</v>
      </c>
      <c r="H899" s="3" t="s">
        <v>213</v>
      </c>
      <c r="I899" s="3" t="s">
        <v>213</v>
      </c>
      <c r="J899" s="3">
        <v>0</v>
      </c>
    </row>
    <row r="900" spans="1:10" x14ac:dyDescent="0.3">
      <c r="A900" t="s">
        <v>19</v>
      </c>
      <c r="B900" t="s">
        <v>223</v>
      </c>
      <c r="C900">
        <v>70</v>
      </c>
      <c r="D900" s="1">
        <v>0</v>
      </c>
      <c r="E900">
        <v>0</v>
      </c>
      <c r="F900">
        <v>0</v>
      </c>
      <c r="G900" s="2">
        <v>0</v>
      </c>
      <c r="H900" s="3" t="s">
        <v>213</v>
      </c>
      <c r="I900" s="3" t="s">
        <v>213</v>
      </c>
      <c r="J900" s="3">
        <v>0</v>
      </c>
    </row>
    <row r="901" spans="1:10" x14ac:dyDescent="0.3">
      <c r="A901" t="s">
        <v>19</v>
      </c>
      <c r="B901" t="s">
        <v>221</v>
      </c>
      <c r="C901">
        <v>68</v>
      </c>
      <c r="D901" s="1">
        <v>0</v>
      </c>
      <c r="E901">
        <v>0</v>
      </c>
      <c r="F901">
        <v>0</v>
      </c>
      <c r="G901" s="2">
        <v>0</v>
      </c>
      <c r="H901" s="3" t="s">
        <v>213</v>
      </c>
      <c r="I901" s="3" t="s">
        <v>213</v>
      </c>
      <c r="J901" s="3">
        <v>0</v>
      </c>
    </row>
    <row r="902" spans="1:10" x14ac:dyDescent="0.3">
      <c r="A902" t="s">
        <v>19</v>
      </c>
      <c r="B902" t="s">
        <v>215</v>
      </c>
      <c r="C902">
        <v>71</v>
      </c>
      <c r="D902" s="1">
        <v>5.6299999999999996E-2</v>
      </c>
      <c r="E902">
        <v>4</v>
      </c>
      <c r="F902">
        <v>0</v>
      </c>
      <c r="G902" s="2">
        <v>0</v>
      </c>
      <c r="H902" s="3">
        <v>0</v>
      </c>
      <c r="I902" s="3" t="s">
        <v>213</v>
      </c>
      <c r="J902" s="3">
        <v>0</v>
      </c>
    </row>
    <row r="903" spans="1:10" x14ac:dyDescent="0.3">
      <c r="A903" t="s">
        <v>19</v>
      </c>
      <c r="B903" t="s">
        <v>235</v>
      </c>
      <c r="C903">
        <v>104</v>
      </c>
      <c r="D903" s="1">
        <v>1.9199999999999998E-2</v>
      </c>
      <c r="E903">
        <v>2</v>
      </c>
      <c r="F903">
        <v>0</v>
      </c>
      <c r="G903" s="2">
        <v>0</v>
      </c>
      <c r="H903" s="3">
        <v>0</v>
      </c>
      <c r="I903" s="3" t="s">
        <v>213</v>
      </c>
      <c r="J903" s="3">
        <v>0</v>
      </c>
    </row>
    <row r="904" spans="1:10" x14ac:dyDescent="0.3">
      <c r="A904" t="s">
        <v>19</v>
      </c>
      <c r="B904" t="s">
        <v>221</v>
      </c>
      <c r="C904">
        <v>6</v>
      </c>
      <c r="D904" s="1">
        <v>0</v>
      </c>
      <c r="E904">
        <v>0</v>
      </c>
      <c r="F904">
        <v>0</v>
      </c>
      <c r="G904" s="2">
        <v>0</v>
      </c>
      <c r="H904" s="3" t="s">
        <v>213</v>
      </c>
      <c r="I904" s="3" t="s">
        <v>213</v>
      </c>
      <c r="J904" s="3">
        <v>0</v>
      </c>
    </row>
    <row r="905" spans="1:10" x14ac:dyDescent="0.3">
      <c r="A905" t="s">
        <v>19</v>
      </c>
      <c r="B905" t="s">
        <v>252</v>
      </c>
      <c r="C905">
        <v>24</v>
      </c>
      <c r="D905" s="1">
        <v>4.1700000000000001E-2</v>
      </c>
      <c r="E905">
        <v>1</v>
      </c>
      <c r="F905">
        <v>0</v>
      </c>
      <c r="G905" s="2">
        <v>0</v>
      </c>
      <c r="H905" s="3">
        <v>0</v>
      </c>
      <c r="I905" s="3" t="s">
        <v>213</v>
      </c>
      <c r="J905" s="3">
        <v>0</v>
      </c>
    </row>
    <row r="906" spans="1:10" x14ac:dyDescent="0.3">
      <c r="A906" t="s">
        <v>19</v>
      </c>
      <c r="B906" t="s">
        <v>300</v>
      </c>
      <c r="C906">
        <v>1142</v>
      </c>
      <c r="D906" s="1">
        <v>2.7099999999999999E-2</v>
      </c>
      <c r="E906">
        <v>31</v>
      </c>
      <c r="F906">
        <v>1</v>
      </c>
      <c r="G906" s="2">
        <v>3.2300000000000002E-2</v>
      </c>
      <c r="H906" s="3">
        <v>0.52</v>
      </c>
      <c r="I906" s="3">
        <v>16.079999999999998</v>
      </c>
      <c r="J906" s="3">
        <v>16.079999999999998</v>
      </c>
    </row>
    <row r="907" spans="1:10" x14ac:dyDescent="0.3">
      <c r="A907" t="s">
        <v>19</v>
      </c>
      <c r="B907" t="s">
        <v>215</v>
      </c>
      <c r="C907">
        <v>103</v>
      </c>
      <c r="D907" s="1">
        <v>6.8000000000000005E-2</v>
      </c>
      <c r="E907">
        <v>7</v>
      </c>
      <c r="F907">
        <v>3</v>
      </c>
      <c r="G907" s="2">
        <v>0.42859999999999998</v>
      </c>
      <c r="H907" s="3">
        <v>2.59</v>
      </c>
      <c r="I907" s="3">
        <v>6.03</v>
      </c>
      <c r="J907" s="3">
        <v>18.100000000000001</v>
      </c>
    </row>
    <row r="908" spans="1:10" x14ac:dyDescent="0.3">
      <c r="A908" t="s">
        <v>19</v>
      </c>
      <c r="B908" t="s">
        <v>217</v>
      </c>
      <c r="C908">
        <v>149</v>
      </c>
      <c r="D908" s="1">
        <v>8.72E-2</v>
      </c>
      <c r="E908">
        <v>13</v>
      </c>
      <c r="F908">
        <v>2</v>
      </c>
      <c r="G908" s="2">
        <v>0.15380000000000002</v>
      </c>
      <c r="H908" s="3">
        <v>1.25</v>
      </c>
      <c r="I908" s="3">
        <v>8.14</v>
      </c>
      <c r="J908" s="3">
        <v>16.28</v>
      </c>
    </row>
    <row r="909" spans="1:10" x14ac:dyDescent="0.3">
      <c r="A909" t="s">
        <v>19</v>
      </c>
      <c r="B909" t="s">
        <v>322</v>
      </c>
      <c r="C909">
        <v>110</v>
      </c>
      <c r="D909" s="1">
        <v>0.20910000000000001</v>
      </c>
      <c r="E909">
        <v>23</v>
      </c>
      <c r="F909">
        <v>1</v>
      </c>
      <c r="G909" s="2">
        <v>4.3499999999999997E-2</v>
      </c>
      <c r="H909" s="3">
        <v>7.0000000000000007E-2</v>
      </c>
      <c r="I909" s="3">
        <v>1.7</v>
      </c>
      <c r="J909" s="3">
        <v>1.7</v>
      </c>
    </row>
    <row r="910" spans="1:10" x14ac:dyDescent="0.3">
      <c r="A910" t="s">
        <v>19</v>
      </c>
      <c r="B910" t="s">
        <v>221</v>
      </c>
      <c r="C910">
        <v>94</v>
      </c>
      <c r="D910" s="1">
        <v>9.5700000000000007E-2</v>
      </c>
      <c r="E910">
        <v>9</v>
      </c>
      <c r="F910">
        <v>1</v>
      </c>
      <c r="G910" s="2">
        <v>0.11109999999999999</v>
      </c>
      <c r="H910" s="3">
        <v>0</v>
      </c>
      <c r="I910" s="3">
        <v>0</v>
      </c>
      <c r="J910" s="3">
        <v>0</v>
      </c>
    </row>
    <row r="911" spans="1:10" x14ac:dyDescent="0.3">
      <c r="A911" t="s">
        <v>19</v>
      </c>
      <c r="B911" t="s">
        <v>223</v>
      </c>
      <c r="C911">
        <v>87</v>
      </c>
      <c r="D911" s="1">
        <v>4.5999999999999999E-2</v>
      </c>
      <c r="E911">
        <v>4</v>
      </c>
      <c r="F911">
        <v>1</v>
      </c>
      <c r="G911" s="2">
        <v>0.25</v>
      </c>
      <c r="H911" s="3">
        <v>0.43</v>
      </c>
      <c r="I911" s="3">
        <v>1.7</v>
      </c>
      <c r="J911" s="3">
        <v>1.7</v>
      </c>
    </row>
    <row r="912" spans="1:10" x14ac:dyDescent="0.3">
      <c r="A912" t="s">
        <v>19</v>
      </c>
      <c r="B912" t="s">
        <v>235</v>
      </c>
      <c r="C912">
        <v>460</v>
      </c>
      <c r="D912" s="1">
        <v>0.1217</v>
      </c>
      <c r="E912">
        <v>56</v>
      </c>
      <c r="F912">
        <v>0</v>
      </c>
      <c r="G912" s="2">
        <v>0</v>
      </c>
      <c r="H912" s="3">
        <v>0</v>
      </c>
      <c r="I912" s="3" t="s">
        <v>213</v>
      </c>
      <c r="J912" s="3">
        <v>0</v>
      </c>
    </row>
    <row r="913" spans="1:10" x14ac:dyDescent="0.3">
      <c r="A913" t="s">
        <v>19</v>
      </c>
      <c r="B913" t="s">
        <v>466</v>
      </c>
      <c r="C913">
        <v>147</v>
      </c>
      <c r="D913" s="1">
        <v>3.4000000000000002E-2</v>
      </c>
      <c r="E913">
        <v>5</v>
      </c>
      <c r="F913">
        <v>0</v>
      </c>
      <c r="G913" s="2">
        <v>0</v>
      </c>
      <c r="H913" s="3">
        <v>0</v>
      </c>
      <c r="I913" s="3" t="s">
        <v>213</v>
      </c>
      <c r="J913" s="3">
        <v>0</v>
      </c>
    </row>
    <row r="914" spans="1:10" x14ac:dyDescent="0.3">
      <c r="A914" t="s">
        <v>19</v>
      </c>
      <c r="B914" t="s">
        <v>467</v>
      </c>
      <c r="C914">
        <v>24</v>
      </c>
      <c r="D914" s="1">
        <v>0.125</v>
      </c>
      <c r="E914">
        <v>3</v>
      </c>
      <c r="F914">
        <v>0</v>
      </c>
      <c r="G914" s="2">
        <v>0</v>
      </c>
      <c r="H914" s="3">
        <v>0</v>
      </c>
      <c r="I914" s="3" t="s">
        <v>213</v>
      </c>
      <c r="J914" s="3">
        <v>0</v>
      </c>
    </row>
    <row r="915" spans="1:10" x14ac:dyDescent="0.3">
      <c r="A915" t="s">
        <v>19</v>
      </c>
      <c r="B915" t="s">
        <v>468</v>
      </c>
      <c r="C915">
        <v>67</v>
      </c>
      <c r="D915" s="1">
        <v>2.9900000000000003E-2</v>
      </c>
      <c r="E915">
        <v>2</v>
      </c>
      <c r="F915">
        <v>0</v>
      </c>
      <c r="G915" s="2">
        <v>0</v>
      </c>
      <c r="H915" s="3">
        <v>0</v>
      </c>
      <c r="I915" s="3" t="s">
        <v>213</v>
      </c>
      <c r="J915" s="3">
        <v>0</v>
      </c>
    </row>
    <row r="916" spans="1:10" x14ac:dyDescent="0.3">
      <c r="A916" t="s">
        <v>19</v>
      </c>
      <c r="B916" t="s">
        <v>466</v>
      </c>
      <c r="C916">
        <v>0</v>
      </c>
      <c r="D916" s="1">
        <v>0</v>
      </c>
      <c r="E916">
        <v>0</v>
      </c>
      <c r="F916">
        <v>0</v>
      </c>
      <c r="G916" s="2">
        <v>0</v>
      </c>
      <c r="H916" s="3" t="s">
        <v>213</v>
      </c>
      <c r="I916" s="3" t="s">
        <v>213</v>
      </c>
      <c r="J916" s="3">
        <v>0</v>
      </c>
    </row>
    <row r="917" spans="1:10" x14ac:dyDescent="0.3">
      <c r="A917" t="s">
        <v>19</v>
      </c>
      <c r="B917" t="s">
        <v>223</v>
      </c>
      <c r="C917">
        <v>104</v>
      </c>
      <c r="D917" s="1">
        <v>9.6199999999999994E-2</v>
      </c>
      <c r="E917">
        <v>10</v>
      </c>
      <c r="F917">
        <v>1</v>
      </c>
      <c r="G917" s="2">
        <v>0.1</v>
      </c>
      <c r="H917" s="3">
        <v>0.39</v>
      </c>
      <c r="I917" s="3">
        <v>3.93</v>
      </c>
      <c r="J917" s="3">
        <v>3.93</v>
      </c>
    </row>
    <row r="918" spans="1:10" x14ac:dyDescent="0.3">
      <c r="A918" t="s">
        <v>19</v>
      </c>
      <c r="B918" t="s">
        <v>217</v>
      </c>
      <c r="C918">
        <v>106</v>
      </c>
      <c r="D918" s="1">
        <v>6.6000000000000003E-2</v>
      </c>
      <c r="E918">
        <v>7</v>
      </c>
      <c r="F918">
        <v>1</v>
      </c>
      <c r="G918" s="2">
        <v>0.1429</v>
      </c>
      <c r="H918" s="3">
        <v>1.43</v>
      </c>
      <c r="I918" s="3">
        <v>10.02</v>
      </c>
      <c r="J918" s="3">
        <v>10.02</v>
      </c>
    </row>
    <row r="919" spans="1:10" x14ac:dyDescent="0.3">
      <c r="A919" t="s">
        <v>19</v>
      </c>
      <c r="B919" t="s">
        <v>217</v>
      </c>
      <c r="C919">
        <v>96</v>
      </c>
      <c r="D919" s="1">
        <v>7.2900000000000006E-2</v>
      </c>
      <c r="E919">
        <v>7</v>
      </c>
      <c r="F919">
        <v>0</v>
      </c>
      <c r="G919" s="2">
        <v>0</v>
      </c>
      <c r="H919" s="3">
        <v>0</v>
      </c>
      <c r="I919" s="3" t="s">
        <v>213</v>
      </c>
      <c r="J919" s="3">
        <v>0</v>
      </c>
    </row>
    <row r="920" spans="1:10" x14ac:dyDescent="0.3">
      <c r="A920" t="s">
        <v>19</v>
      </c>
      <c r="B920" t="s">
        <v>235</v>
      </c>
      <c r="C920">
        <v>151</v>
      </c>
      <c r="D920" s="1">
        <v>3.9699999999999999E-2</v>
      </c>
      <c r="E920">
        <v>6</v>
      </c>
      <c r="F920">
        <v>1</v>
      </c>
      <c r="G920" s="2">
        <v>0.16670000000000001</v>
      </c>
      <c r="H920" s="3">
        <v>1.67</v>
      </c>
      <c r="I920" s="3">
        <v>10.039999999999999</v>
      </c>
      <c r="J920" s="3">
        <v>10.039999999999999</v>
      </c>
    </row>
    <row r="921" spans="1:10" x14ac:dyDescent="0.3">
      <c r="A921" t="s">
        <v>19</v>
      </c>
      <c r="B921" t="s">
        <v>313</v>
      </c>
      <c r="C921">
        <v>101</v>
      </c>
      <c r="D921" s="1">
        <v>5.9400000000000001E-2</v>
      </c>
      <c r="E921">
        <v>6</v>
      </c>
      <c r="F921">
        <v>1</v>
      </c>
      <c r="G921" s="2">
        <v>0.16670000000000001</v>
      </c>
      <c r="H921" s="3">
        <v>1.64</v>
      </c>
      <c r="I921" s="3">
        <v>9.83</v>
      </c>
      <c r="J921" s="3">
        <v>9.83</v>
      </c>
    </row>
    <row r="922" spans="1:10" x14ac:dyDescent="0.3">
      <c r="A922" t="s">
        <v>19</v>
      </c>
      <c r="B922" t="s">
        <v>315</v>
      </c>
      <c r="C922">
        <v>120</v>
      </c>
      <c r="D922" s="1">
        <v>6.6699999999999995E-2</v>
      </c>
      <c r="E922">
        <v>8</v>
      </c>
      <c r="F922">
        <v>0</v>
      </c>
      <c r="G922" s="2">
        <v>0</v>
      </c>
      <c r="H922" s="3">
        <v>0</v>
      </c>
      <c r="I922" s="3" t="s">
        <v>213</v>
      </c>
      <c r="J922" s="3">
        <v>0</v>
      </c>
    </row>
    <row r="923" spans="1:10" x14ac:dyDescent="0.3">
      <c r="A923" t="s">
        <v>19</v>
      </c>
      <c r="B923" t="s">
        <v>239</v>
      </c>
      <c r="C923">
        <v>200</v>
      </c>
      <c r="D923" s="1">
        <v>3.5000000000000003E-2</v>
      </c>
      <c r="E923">
        <v>7</v>
      </c>
      <c r="F923">
        <v>0</v>
      </c>
      <c r="G923" s="2">
        <v>0</v>
      </c>
      <c r="H923" s="3">
        <v>0</v>
      </c>
      <c r="I923" s="3" t="s">
        <v>213</v>
      </c>
      <c r="J923" s="3">
        <v>0</v>
      </c>
    </row>
    <row r="924" spans="1:10" x14ac:dyDescent="0.3">
      <c r="A924" t="s">
        <v>19</v>
      </c>
      <c r="B924" t="s">
        <v>316</v>
      </c>
      <c r="C924">
        <v>105</v>
      </c>
      <c r="D924" s="1">
        <v>6.6699999999999995E-2</v>
      </c>
      <c r="E924">
        <v>7</v>
      </c>
      <c r="F924">
        <v>0</v>
      </c>
      <c r="G924" s="2">
        <v>0</v>
      </c>
      <c r="H924" s="3">
        <v>0</v>
      </c>
      <c r="I924" s="3" t="s">
        <v>213</v>
      </c>
      <c r="J924" s="3">
        <v>0</v>
      </c>
    </row>
    <row r="925" spans="1:10" x14ac:dyDescent="0.3">
      <c r="A925" t="s">
        <v>19</v>
      </c>
      <c r="B925" t="s">
        <v>232</v>
      </c>
      <c r="C925">
        <v>87</v>
      </c>
      <c r="D925" s="1">
        <v>6.9000000000000006E-2</v>
      </c>
      <c r="E925">
        <v>6</v>
      </c>
      <c r="F925">
        <v>0</v>
      </c>
      <c r="G925" s="2">
        <v>0</v>
      </c>
      <c r="H925" s="3">
        <v>0</v>
      </c>
      <c r="I925" s="3" t="s">
        <v>213</v>
      </c>
      <c r="J925" s="3">
        <v>0</v>
      </c>
    </row>
    <row r="926" spans="1:10" x14ac:dyDescent="0.3">
      <c r="A926" t="s">
        <v>19</v>
      </c>
      <c r="B926" t="s">
        <v>390</v>
      </c>
      <c r="C926">
        <v>89</v>
      </c>
      <c r="D926" s="1">
        <v>5.62E-2</v>
      </c>
      <c r="E926">
        <v>5</v>
      </c>
      <c r="F926">
        <v>0</v>
      </c>
      <c r="G926" s="2">
        <v>0</v>
      </c>
      <c r="H926" s="3">
        <v>0</v>
      </c>
      <c r="I926" s="3" t="s">
        <v>213</v>
      </c>
      <c r="J926" s="3">
        <v>0</v>
      </c>
    </row>
    <row r="927" spans="1:10" x14ac:dyDescent="0.3">
      <c r="A927" t="s">
        <v>19</v>
      </c>
      <c r="B927" t="s">
        <v>239</v>
      </c>
      <c r="C927">
        <v>111</v>
      </c>
      <c r="D927" s="1">
        <v>3.6000000000000004E-2</v>
      </c>
      <c r="E927">
        <v>4</v>
      </c>
      <c r="F927">
        <v>0</v>
      </c>
      <c r="G927" s="2">
        <v>0</v>
      </c>
      <c r="H927" s="3">
        <v>0</v>
      </c>
      <c r="I927" s="3" t="s">
        <v>213</v>
      </c>
      <c r="J927" s="3">
        <v>0</v>
      </c>
    </row>
    <row r="928" spans="1:10" x14ac:dyDescent="0.3">
      <c r="A928" t="s">
        <v>19</v>
      </c>
      <c r="B928" t="s">
        <v>319</v>
      </c>
      <c r="C928">
        <v>23</v>
      </c>
      <c r="D928" s="1">
        <v>8.6999999999999994E-2</v>
      </c>
      <c r="E928">
        <v>2</v>
      </c>
      <c r="F928">
        <v>0</v>
      </c>
      <c r="G928" s="2">
        <v>0</v>
      </c>
      <c r="H928" s="3">
        <v>0</v>
      </c>
      <c r="I928" s="3" t="s">
        <v>213</v>
      </c>
      <c r="J928" s="3">
        <v>0</v>
      </c>
    </row>
    <row r="929" spans="1:10" x14ac:dyDescent="0.3">
      <c r="A929" t="s">
        <v>19</v>
      </c>
      <c r="B929" t="s">
        <v>390</v>
      </c>
      <c r="C929">
        <v>89</v>
      </c>
      <c r="D929" s="1">
        <v>1.1200000000000002E-2</v>
      </c>
      <c r="E929">
        <v>1</v>
      </c>
      <c r="F929">
        <v>0</v>
      </c>
      <c r="G929" s="2">
        <v>0</v>
      </c>
      <c r="H929" s="3">
        <v>0</v>
      </c>
      <c r="I929" s="3" t="s">
        <v>213</v>
      </c>
      <c r="J929" s="3">
        <v>0</v>
      </c>
    </row>
    <row r="930" spans="1:10" x14ac:dyDescent="0.3">
      <c r="A930" t="s">
        <v>19</v>
      </c>
      <c r="B930" t="s">
        <v>390</v>
      </c>
      <c r="C930">
        <v>26</v>
      </c>
      <c r="D930" s="1">
        <v>3.85E-2</v>
      </c>
      <c r="E930">
        <v>1</v>
      </c>
      <c r="F930">
        <v>0</v>
      </c>
      <c r="G930" s="2">
        <v>0</v>
      </c>
      <c r="H930" s="3">
        <v>0</v>
      </c>
      <c r="I930" s="3" t="s">
        <v>213</v>
      </c>
      <c r="J930" s="3">
        <v>0</v>
      </c>
    </row>
    <row r="931" spans="1:10" x14ac:dyDescent="0.3">
      <c r="A931" t="s">
        <v>19</v>
      </c>
      <c r="B931" t="s">
        <v>372</v>
      </c>
      <c r="C931">
        <v>9</v>
      </c>
      <c r="D931" s="1">
        <v>0</v>
      </c>
      <c r="E931">
        <v>0</v>
      </c>
      <c r="F931">
        <v>0</v>
      </c>
      <c r="G931" s="2">
        <v>0</v>
      </c>
      <c r="H931" s="3" t="s">
        <v>213</v>
      </c>
      <c r="I931" s="3" t="s">
        <v>213</v>
      </c>
      <c r="J931" s="3">
        <v>0</v>
      </c>
    </row>
    <row r="932" spans="1:10" x14ac:dyDescent="0.3">
      <c r="A932" t="s">
        <v>19</v>
      </c>
      <c r="B932" t="s">
        <v>319</v>
      </c>
      <c r="C932">
        <v>11</v>
      </c>
      <c r="D932" s="1">
        <v>0</v>
      </c>
      <c r="E932">
        <v>0</v>
      </c>
      <c r="F932">
        <v>0</v>
      </c>
      <c r="G932" s="2">
        <v>0</v>
      </c>
      <c r="H932" s="3" t="s">
        <v>213</v>
      </c>
      <c r="I932" s="3" t="s">
        <v>213</v>
      </c>
      <c r="J932" s="3">
        <v>0</v>
      </c>
    </row>
    <row r="933" spans="1:10" x14ac:dyDescent="0.3">
      <c r="A933" t="s">
        <v>19</v>
      </c>
      <c r="B933" t="s">
        <v>316</v>
      </c>
      <c r="C933">
        <v>87</v>
      </c>
      <c r="D933" s="1">
        <v>6.9000000000000006E-2</v>
      </c>
      <c r="E933">
        <v>6</v>
      </c>
      <c r="F933">
        <v>0</v>
      </c>
      <c r="G933" s="2">
        <v>0</v>
      </c>
      <c r="H933" s="3">
        <v>0</v>
      </c>
      <c r="I933" s="3" t="s">
        <v>213</v>
      </c>
      <c r="J933" s="3">
        <v>0</v>
      </c>
    </row>
    <row r="934" spans="1:10" x14ac:dyDescent="0.3">
      <c r="A934" t="s">
        <v>19</v>
      </c>
      <c r="B934" t="s">
        <v>313</v>
      </c>
      <c r="C934">
        <v>70</v>
      </c>
      <c r="D934" s="1">
        <v>7.1399999999999991E-2</v>
      </c>
      <c r="E934">
        <v>5</v>
      </c>
      <c r="F934">
        <v>0</v>
      </c>
      <c r="G934" s="2">
        <v>0</v>
      </c>
      <c r="H934" s="3">
        <v>0</v>
      </c>
      <c r="I934" s="3" t="s">
        <v>213</v>
      </c>
      <c r="J934" s="3">
        <v>0</v>
      </c>
    </row>
    <row r="935" spans="1:10" x14ac:dyDescent="0.3">
      <c r="A935" t="s">
        <v>19</v>
      </c>
      <c r="B935" t="s">
        <v>315</v>
      </c>
      <c r="C935">
        <v>69</v>
      </c>
      <c r="D935" s="1">
        <v>2.8999999999999998E-2</v>
      </c>
      <c r="E935">
        <v>2</v>
      </c>
      <c r="F935">
        <v>0</v>
      </c>
      <c r="G935" s="2">
        <v>0</v>
      </c>
      <c r="H935" s="3">
        <v>0</v>
      </c>
      <c r="I935" s="3" t="s">
        <v>213</v>
      </c>
      <c r="J935" s="3">
        <v>0</v>
      </c>
    </row>
    <row r="936" spans="1:10" x14ac:dyDescent="0.3">
      <c r="A936" t="s">
        <v>19</v>
      </c>
      <c r="B936" t="s">
        <v>390</v>
      </c>
      <c r="C936">
        <v>28</v>
      </c>
      <c r="D936" s="1">
        <v>7.1399999999999991E-2</v>
      </c>
      <c r="E936">
        <v>2</v>
      </c>
      <c r="F936">
        <v>0</v>
      </c>
      <c r="G936" s="2">
        <v>0</v>
      </c>
      <c r="H936" s="3">
        <v>0</v>
      </c>
      <c r="I936" s="3" t="s">
        <v>213</v>
      </c>
      <c r="J936" s="3">
        <v>0</v>
      </c>
    </row>
    <row r="937" spans="1:10" x14ac:dyDescent="0.3">
      <c r="A937" t="s">
        <v>19</v>
      </c>
      <c r="B937" t="s">
        <v>235</v>
      </c>
      <c r="C937">
        <v>53</v>
      </c>
      <c r="D937" s="1">
        <v>1.89E-2</v>
      </c>
      <c r="E937">
        <v>1</v>
      </c>
      <c r="F937">
        <v>0</v>
      </c>
      <c r="G937" s="2">
        <v>0</v>
      </c>
      <c r="H937" s="3">
        <v>0</v>
      </c>
      <c r="I937" s="3" t="s">
        <v>213</v>
      </c>
      <c r="J937" s="3">
        <v>0</v>
      </c>
    </row>
    <row r="938" spans="1:10" x14ac:dyDescent="0.3">
      <c r="A938" t="s">
        <v>19</v>
      </c>
      <c r="B938" t="s">
        <v>239</v>
      </c>
      <c r="C938">
        <v>26</v>
      </c>
      <c r="D938" s="1">
        <v>0</v>
      </c>
      <c r="E938">
        <v>0</v>
      </c>
      <c r="F938">
        <v>0</v>
      </c>
      <c r="G938" s="2">
        <v>0</v>
      </c>
      <c r="H938" s="3" t="s">
        <v>213</v>
      </c>
      <c r="I938" s="3" t="s">
        <v>213</v>
      </c>
      <c r="J938" s="3">
        <v>0</v>
      </c>
    </row>
    <row r="939" spans="1:10" x14ac:dyDescent="0.3">
      <c r="A939" t="s">
        <v>19</v>
      </c>
      <c r="B939" t="s">
        <v>242</v>
      </c>
      <c r="C939">
        <v>46</v>
      </c>
      <c r="D939" s="1">
        <v>4.3499999999999997E-2</v>
      </c>
      <c r="E939">
        <v>2</v>
      </c>
      <c r="F939">
        <v>0</v>
      </c>
      <c r="G939" s="2">
        <v>0</v>
      </c>
      <c r="H939" s="3">
        <v>0</v>
      </c>
      <c r="I939" s="3" t="s">
        <v>213</v>
      </c>
      <c r="J939" s="3">
        <v>0</v>
      </c>
    </row>
    <row r="940" spans="1:10" x14ac:dyDescent="0.3">
      <c r="A940" t="s">
        <v>19</v>
      </c>
      <c r="B940" t="s">
        <v>272</v>
      </c>
      <c r="C940">
        <v>52</v>
      </c>
      <c r="D940" s="1">
        <v>3.85E-2</v>
      </c>
      <c r="E940">
        <v>2</v>
      </c>
      <c r="F940">
        <v>0</v>
      </c>
      <c r="G940" s="2">
        <v>0</v>
      </c>
      <c r="H940" s="3">
        <v>0</v>
      </c>
      <c r="I940" s="3" t="s">
        <v>213</v>
      </c>
      <c r="J940" s="3">
        <v>0</v>
      </c>
    </row>
    <row r="941" spans="1:10" x14ac:dyDescent="0.3">
      <c r="A941" t="s">
        <v>19</v>
      </c>
      <c r="B941" t="s">
        <v>477</v>
      </c>
      <c r="C941">
        <v>245</v>
      </c>
      <c r="D941" s="1">
        <v>4.0800000000000003E-2</v>
      </c>
      <c r="E941">
        <v>10</v>
      </c>
      <c r="F941">
        <v>1</v>
      </c>
      <c r="G941" s="2">
        <v>0.1</v>
      </c>
      <c r="H941" s="3">
        <v>0.45</v>
      </c>
      <c r="I941" s="3">
        <v>4.47</v>
      </c>
      <c r="J941" s="3">
        <v>4.47</v>
      </c>
    </row>
    <row r="942" spans="1:10" x14ac:dyDescent="0.3">
      <c r="A942" t="s">
        <v>19</v>
      </c>
      <c r="B942" t="s">
        <v>251</v>
      </c>
      <c r="C942">
        <v>68</v>
      </c>
      <c r="D942" s="1">
        <v>8.8200000000000001E-2</v>
      </c>
      <c r="E942">
        <v>6</v>
      </c>
      <c r="F942">
        <v>0</v>
      </c>
      <c r="G942" s="2">
        <v>0</v>
      </c>
      <c r="H942" s="3">
        <v>0</v>
      </c>
      <c r="I942" s="3" t="s">
        <v>213</v>
      </c>
      <c r="J942" s="3">
        <v>0</v>
      </c>
    </row>
    <row r="943" spans="1:10" x14ac:dyDescent="0.3">
      <c r="A943" t="s">
        <v>19</v>
      </c>
      <c r="B943" t="s">
        <v>221</v>
      </c>
      <c r="C943">
        <v>147</v>
      </c>
      <c r="D943" s="1">
        <v>6.1200000000000004E-2</v>
      </c>
      <c r="E943">
        <v>9</v>
      </c>
      <c r="F943">
        <v>1</v>
      </c>
      <c r="G943" s="2">
        <v>0.11109999999999999</v>
      </c>
      <c r="H943" s="3">
        <v>0.31</v>
      </c>
      <c r="I943" s="3">
        <v>2.83</v>
      </c>
      <c r="J943" s="3">
        <v>2.83</v>
      </c>
    </row>
    <row r="944" spans="1:10" x14ac:dyDescent="0.3">
      <c r="A944" t="s">
        <v>19</v>
      </c>
      <c r="B944" t="s">
        <v>223</v>
      </c>
      <c r="C944">
        <v>41</v>
      </c>
      <c r="D944" s="1">
        <v>4.8799999999999996E-2</v>
      </c>
      <c r="E944">
        <v>2</v>
      </c>
      <c r="F944">
        <v>1</v>
      </c>
      <c r="G944" s="2">
        <v>0.5</v>
      </c>
      <c r="H944" s="3">
        <v>2.72</v>
      </c>
      <c r="I944" s="3">
        <v>5.44</v>
      </c>
      <c r="J944" s="3">
        <v>5.44</v>
      </c>
    </row>
    <row r="945" spans="1:10" x14ac:dyDescent="0.3">
      <c r="A945" t="s">
        <v>19</v>
      </c>
      <c r="B945" t="s">
        <v>223</v>
      </c>
      <c r="C945">
        <v>13</v>
      </c>
      <c r="D945" s="1">
        <v>0</v>
      </c>
      <c r="E945">
        <v>0</v>
      </c>
      <c r="F945">
        <v>0</v>
      </c>
      <c r="G945" s="2">
        <v>0</v>
      </c>
      <c r="H945" s="3" t="s">
        <v>213</v>
      </c>
      <c r="I945" s="3" t="s">
        <v>213</v>
      </c>
      <c r="J945" s="3">
        <v>0</v>
      </c>
    </row>
    <row r="946" spans="1:10" x14ac:dyDescent="0.3">
      <c r="A946" t="s">
        <v>19</v>
      </c>
      <c r="B946" t="s">
        <v>215</v>
      </c>
      <c r="C946">
        <v>3</v>
      </c>
      <c r="D946" s="1">
        <v>0</v>
      </c>
      <c r="E946">
        <v>0</v>
      </c>
      <c r="F946">
        <v>0</v>
      </c>
      <c r="G946" s="2">
        <v>0</v>
      </c>
      <c r="H946" s="3" t="s">
        <v>213</v>
      </c>
      <c r="I946" s="3" t="s">
        <v>213</v>
      </c>
      <c r="J946" s="3">
        <v>0</v>
      </c>
    </row>
    <row r="947" spans="1:10" x14ac:dyDescent="0.3">
      <c r="A947" t="s">
        <v>19</v>
      </c>
      <c r="B947" t="s">
        <v>223</v>
      </c>
      <c r="C947">
        <v>12</v>
      </c>
      <c r="D947" s="1">
        <v>0</v>
      </c>
      <c r="E947">
        <v>0</v>
      </c>
      <c r="F947">
        <v>0</v>
      </c>
      <c r="G947" s="2">
        <v>0</v>
      </c>
      <c r="H947" s="3" t="s">
        <v>213</v>
      </c>
      <c r="I947" s="3" t="s">
        <v>213</v>
      </c>
      <c r="J947" s="3">
        <v>0</v>
      </c>
    </row>
    <row r="948" spans="1:10" x14ac:dyDescent="0.3">
      <c r="A948" t="s">
        <v>19</v>
      </c>
      <c r="B948" t="s">
        <v>481</v>
      </c>
      <c r="C948">
        <v>87</v>
      </c>
      <c r="D948" s="1">
        <v>0.10339999999999999</v>
      </c>
      <c r="E948">
        <v>9</v>
      </c>
      <c r="F948">
        <v>1</v>
      </c>
      <c r="G948" s="2">
        <v>0.11109999999999999</v>
      </c>
      <c r="H948" s="3">
        <v>3.07</v>
      </c>
      <c r="I948" s="3">
        <v>27.66</v>
      </c>
      <c r="J948" s="3">
        <v>27.66</v>
      </c>
    </row>
    <row r="949" spans="1:10" x14ac:dyDescent="0.3">
      <c r="A949" t="s">
        <v>19</v>
      </c>
      <c r="B949" t="s">
        <v>212</v>
      </c>
      <c r="C949">
        <v>36</v>
      </c>
      <c r="D949" s="1">
        <v>0.16670000000000001</v>
      </c>
      <c r="E949">
        <v>6</v>
      </c>
      <c r="F949">
        <v>1</v>
      </c>
      <c r="G949" s="2">
        <v>0.16670000000000001</v>
      </c>
      <c r="H949" s="3">
        <v>1.59</v>
      </c>
      <c r="I949" s="3">
        <v>9.51</v>
      </c>
      <c r="J949" s="3">
        <v>9.51</v>
      </c>
    </row>
    <row r="950" spans="1:10" x14ac:dyDescent="0.3">
      <c r="A950" t="s">
        <v>19</v>
      </c>
      <c r="B950" t="s">
        <v>282</v>
      </c>
      <c r="C950">
        <v>123</v>
      </c>
      <c r="D950" s="1">
        <v>4.07E-2</v>
      </c>
      <c r="E950">
        <v>5</v>
      </c>
      <c r="F950">
        <v>1</v>
      </c>
      <c r="G950" s="2">
        <v>0.2</v>
      </c>
      <c r="H950" s="3">
        <v>2.16</v>
      </c>
      <c r="I950" s="3">
        <v>10.78</v>
      </c>
      <c r="J950" s="3">
        <v>10.78</v>
      </c>
    </row>
    <row r="951" spans="1:10" x14ac:dyDescent="0.3">
      <c r="A951" t="s">
        <v>19</v>
      </c>
      <c r="B951" t="s">
        <v>286</v>
      </c>
      <c r="C951">
        <v>100</v>
      </c>
      <c r="D951" s="1">
        <v>0.14000000000000001</v>
      </c>
      <c r="E951">
        <v>14</v>
      </c>
      <c r="F951">
        <v>0</v>
      </c>
      <c r="G951" s="2">
        <v>0</v>
      </c>
      <c r="H951" s="3">
        <v>0</v>
      </c>
      <c r="I951" s="3" t="s">
        <v>213</v>
      </c>
      <c r="J951" s="3">
        <v>0</v>
      </c>
    </row>
    <row r="952" spans="1:10" x14ac:dyDescent="0.3">
      <c r="A952" t="s">
        <v>19</v>
      </c>
      <c r="B952" t="s">
        <v>231</v>
      </c>
      <c r="C952">
        <v>111</v>
      </c>
      <c r="D952" s="1">
        <v>0.11710000000000001</v>
      </c>
      <c r="E952">
        <v>13</v>
      </c>
      <c r="F952">
        <v>0</v>
      </c>
      <c r="G952" s="2">
        <v>0</v>
      </c>
      <c r="H952" s="3">
        <v>0</v>
      </c>
      <c r="I952" s="3" t="s">
        <v>213</v>
      </c>
      <c r="J952" s="3">
        <v>0</v>
      </c>
    </row>
    <row r="953" spans="1:10" x14ac:dyDescent="0.3">
      <c r="A953" t="s">
        <v>19</v>
      </c>
      <c r="B953" t="s">
        <v>315</v>
      </c>
      <c r="C953">
        <v>148</v>
      </c>
      <c r="D953" s="1">
        <v>6.08E-2</v>
      </c>
      <c r="E953">
        <v>9</v>
      </c>
      <c r="F953">
        <v>0</v>
      </c>
      <c r="G953" s="2">
        <v>0</v>
      </c>
      <c r="H953" s="3">
        <v>0</v>
      </c>
      <c r="I953" s="3" t="s">
        <v>213</v>
      </c>
      <c r="J953" s="3">
        <v>0</v>
      </c>
    </row>
    <row r="954" spans="1:10" x14ac:dyDescent="0.3">
      <c r="A954" t="s">
        <v>19</v>
      </c>
      <c r="B954" t="s">
        <v>313</v>
      </c>
      <c r="C954">
        <v>142</v>
      </c>
      <c r="D954" s="1">
        <v>2.8199999999999999E-2</v>
      </c>
      <c r="E954">
        <v>4</v>
      </c>
      <c r="F954">
        <v>0</v>
      </c>
      <c r="G954" s="2">
        <v>0</v>
      </c>
      <c r="H954" s="3">
        <v>0</v>
      </c>
      <c r="I954" s="3" t="s">
        <v>213</v>
      </c>
      <c r="J954" s="3">
        <v>0</v>
      </c>
    </row>
    <row r="955" spans="1:10" x14ac:dyDescent="0.3">
      <c r="A955" t="s">
        <v>19</v>
      </c>
      <c r="B955" t="s">
        <v>288</v>
      </c>
      <c r="C955">
        <v>22</v>
      </c>
      <c r="D955" s="1">
        <v>4.5499999999999999E-2</v>
      </c>
      <c r="E955">
        <v>1</v>
      </c>
      <c r="F955">
        <v>0</v>
      </c>
      <c r="G955" s="2">
        <v>0</v>
      </c>
      <c r="H955" s="3">
        <v>0</v>
      </c>
      <c r="I955" s="3" t="s">
        <v>213</v>
      </c>
      <c r="J955" s="3">
        <v>0</v>
      </c>
    </row>
    <row r="956" spans="1:10" x14ac:dyDescent="0.3">
      <c r="A956" t="s">
        <v>19</v>
      </c>
      <c r="B956" t="s">
        <v>282</v>
      </c>
      <c r="C956">
        <v>0</v>
      </c>
      <c r="D956" s="1">
        <v>0</v>
      </c>
      <c r="E956">
        <v>0</v>
      </c>
      <c r="F956">
        <v>0</v>
      </c>
      <c r="G956" s="2">
        <v>0</v>
      </c>
      <c r="H956" s="3" t="s">
        <v>213</v>
      </c>
      <c r="I956" s="3" t="s">
        <v>213</v>
      </c>
      <c r="J956" s="3">
        <v>0</v>
      </c>
    </row>
    <row r="957" spans="1:10" x14ac:dyDescent="0.3">
      <c r="A957" t="s">
        <v>19</v>
      </c>
      <c r="B957" t="s">
        <v>481</v>
      </c>
      <c r="C957">
        <v>0</v>
      </c>
      <c r="D957" s="1">
        <v>0</v>
      </c>
      <c r="E957">
        <v>0</v>
      </c>
      <c r="F957">
        <v>0</v>
      </c>
      <c r="G957" s="2">
        <v>0</v>
      </c>
      <c r="H957" s="3" t="s">
        <v>213</v>
      </c>
      <c r="I957" s="3" t="s">
        <v>213</v>
      </c>
      <c r="J957" s="3">
        <v>0</v>
      </c>
    </row>
    <row r="958" spans="1:10" x14ac:dyDescent="0.3">
      <c r="A958" t="s">
        <v>19</v>
      </c>
      <c r="B958" t="s">
        <v>272</v>
      </c>
      <c r="C958">
        <v>550</v>
      </c>
      <c r="D958" s="1">
        <v>0.06</v>
      </c>
      <c r="E958">
        <v>33</v>
      </c>
      <c r="F958">
        <v>0</v>
      </c>
      <c r="G958" s="2">
        <v>0</v>
      </c>
      <c r="H958" s="3">
        <v>0</v>
      </c>
      <c r="I958" s="3" t="s">
        <v>213</v>
      </c>
      <c r="J958" s="3">
        <v>0</v>
      </c>
    </row>
    <row r="959" spans="1:10" x14ac:dyDescent="0.3">
      <c r="A959" t="s">
        <v>19</v>
      </c>
      <c r="B959" t="s">
        <v>467</v>
      </c>
      <c r="C959">
        <v>28</v>
      </c>
      <c r="D959" s="1">
        <v>7.1399999999999991E-2</v>
      </c>
      <c r="E959">
        <v>2</v>
      </c>
      <c r="F959">
        <v>1</v>
      </c>
      <c r="G959" s="2">
        <v>0.5</v>
      </c>
      <c r="H959" s="3">
        <v>8.32</v>
      </c>
      <c r="I959" s="3">
        <v>16.649999999999999</v>
      </c>
      <c r="J959" s="3">
        <v>16.649999999999999</v>
      </c>
    </row>
    <row r="960" spans="1:10" x14ac:dyDescent="0.3">
      <c r="A960" t="s">
        <v>19</v>
      </c>
      <c r="B960" t="s">
        <v>485</v>
      </c>
      <c r="C960">
        <v>10</v>
      </c>
      <c r="D960" s="1">
        <v>0</v>
      </c>
      <c r="E960">
        <v>0</v>
      </c>
      <c r="F960">
        <v>0</v>
      </c>
      <c r="G960" s="2">
        <v>0</v>
      </c>
      <c r="H960" s="3" t="s">
        <v>213</v>
      </c>
      <c r="I960" s="3" t="s">
        <v>213</v>
      </c>
      <c r="J960" s="3">
        <v>0</v>
      </c>
    </row>
    <row r="961" spans="1:10" x14ac:dyDescent="0.3">
      <c r="A961" t="s">
        <v>19</v>
      </c>
      <c r="B961" t="s">
        <v>223</v>
      </c>
      <c r="C961">
        <v>46</v>
      </c>
      <c r="D961" s="1">
        <v>6.5199999999999994E-2</v>
      </c>
      <c r="E961">
        <v>3</v>
      </c>
      <c r="F961">
        <v>1</v>
      </c>
      <c r="G961" s="2">
        <v>0.33329999999999999</v>
      </c>
      <c r="H961" s="3">
        <v>5.41</v>
      </c>
      <c r="I961" s="3">
        <v>16.239999999999998</v>
      </c>
      <c r="J961" s="3">
        <v>16.239999999999998</v>
      </c>
    </row>
    <row r="962" spans="1:10" x14ac:dyDescent="0.3">
      <c r="A962" t="s">
        <v>19</v>
      </c>
      <c r="B962" t="s">
        <v>215</v>
      </c>
      <c r="C962">
        <v>63</v>
      </c>
      <c r="D962" s="1">
        <v>9.5199999999999993E-2</v>
      </c>
      <c r="E962">
        <v>6</v>
      </c>
      <c r="F962">
        <v>0</v>
      </c>
      <c r="G962" s="2">
        <v>0</v>
      </c>
      <c r="H962" s="3">
        <v>0</v>
      </c>
      <c r="I962" s="3" t="s">
        <v>213</v>
      </c>
      <c r="J962" s="3">
        <v>0</v>
      </c>
    </row>
    <row r="963" spans="1:10" x14ac:dyDescent="0.3">
      <c r="A963" t="s">
        <v>19</v>
      </c>
      <c r="B963" t="s">
        <v>215</v>
      </c>
      <c r="C963">
        <v>24</v>
      </c>
      <c r="D963" s="1">
        <v>0.125</v>
      </c>
      <c r="E963">
        <v>3</v>
      </c>
      <c r="F963">
        <v>0</v>
      </c>
      <c r="G963" s="2">
        <v>0</v>
      </c>
      <c r="H963" s="3">
        <v>0</v>
      </c>
      <c r="I963" s="3" t="s">
        <v>213</v>
      </c>
      <c r="J963" s="3">
        <v>0</v>
      </c>
    </row>
    <row r="964" spans="1:10" x14ac:dyDescent="0.3">
      <c r="A964" t="s">
        <v>19</v>
      </c>
      <c r="B964" t="s">
        <v>215</v>
      </c>
      <c r="C964">
        <v>30</v>
      </c>
      <c r="D964" s="1">
        <v>0.1</v>
      </c>
      <c r="E964">
        <v>3</v>
      </c>
      <c r="F964">
        <v>0</v>
      </c>
      <c r="G964" s="2">
        <v>0</v>
      </c>
      <c r="H964" s="3">
        <v>16.95</v>
      </c>
      <c r="I964" s="3">
        <v>25.43</v>
      </c>
      <c r="J964" s="3">
        <v>50.86</v>
      </c>
    </row>
    <row r="965" spans="1:10" x14ac:dyDescent="0.3">
      <c r="A965" t="s">
        <v>19</v>
      </c>
      <c r="B965" t="s">
        <v>215</v>
      </c>
      <c r="C965">
        <v>1340</v>
      </c>
      <c r="D965" s="1">
        <v>5.9699999999999996E-2</v>
      </c>
      <c r="E965">
        <v>80</v>
      </c>
      <c r="F965">
        <v>1</v>
      </c>
      <c r="G965" s="2">
        <v>1.2500000000000001E-2</v>
      </c>
      <c r="H965" s="3">
        <v>0.14000000000000001</v>
      </c>
      <c r="I965" s="3">
        <v>11.24</v>
      </c>
      <c r="J965" s="3">
        <v>11.24</v>
      </c>
    </row>
    <row r="966" spans="1:10" x14ac:dyDescent="0.3">
      <c r="A966" t="s">
        <v>19</v>
      </c>
      <c r="B966" t="s">
        <v>215</v>
      </c>
      <c r="C966">
        <v>83</v>
      </c>
      <c r="D966" s="1">
        <v>6.0199999999999997E-2</v>
      </c>
      <c r="E966">
        <v>5</v>
      </c>
      <c r="F966">
        <v>0</v>
      </c>
      <c r="G966" s="2">
        <v>0</v>
      </c>
      <c r="H966" s="3">
        <v>0</v>
      </c>
      <c r="I966" s="3" t="s">
        <v>213</v>
      </c>
      <c r="J966" s="3">
        <v>0</v>
      </c>
    </row>
    <row r="967" spans="1:10" x14ac:dyDescent="0.3">
      <c r="A967" t="s">
        <v>19</v>
      </c>
      <c r="B967" t="s">
        <v>215</v>
      </c>
      <c r="C967">
        <v>0</v>
      </c>
      <c r="D967" s="1">
        <v>0</v>
      </c>
      <c r="E967">
        <v>0</v>
      </c>
      <c r="F967">
        <v>0</v>
      </c>
      <c r="G967" s="2">
        <v>0</v>
      </c>
      <c r="H967" s="3" t="s">
        <v>213</v>
      </c>
      <c r="I967" s="3" t="s">
        <v>213</v>
      </c>
      <c r="J967" s="3">
        <v>0</v>
      </c>
    </row>
    <row r="968" spans="1:10" x14ac:dyDescent="0.3">
      <c r="A968" t="s">
        <v>19</v>
      </c>
      <c r="B968" t="s">
        <v>215</v>
      </c>
      <c r="C968">
        <v>74</v>
      </c>
      <c r="D968" s="1">
        <v>2.7000000000000003E-2</v>
      </c>
      <c r="E968">
        <v>2</v>
      </c>
      <c r="F968">
        <v>0</v>
      </c>
      <c r="G968" s="2">
        <v>0</v>
      </c>
      <c r="H968" s="3">
        <v>0</v>
      </c>
      <c r="I968" s="3" t="s">
        <v>213</v>
      </c>
      <c r="J968" s="3">
        <v>0</v>
      </c>
    </row>
    <row r="969" spans="1:10" x14ac:dyDescent="0.3">
      <c r="A969" t="s">
        <v>19</v>
      </c>
      <c r="B969" t="s">
        <v>215</v>
      </c>
      <c r="C969">
        <v>18</v>
      </c>
      <c r="D969" s="1">
        <v>5.5599999999999997E-2</v>
      </c>
      <c r="E969">
        <v>1</v>
      </c>
      <c r="F969">
        <v>0</v>
      </c>
      <c r="G969" s="2">
        <v>0</v>
      </c>
      <c r="H969" s="3">
        <v>0</v>
      </c>
      <c r="I969" s="3" t="s">
        <v>213</v>
      </c>
      <c r="J969" s="3">
        <v>0</v>
      </c>
    </row>
    <row r="970" spans="1:10" x14ac:dyDescent="0.3">
      <c r="A970" t="s">
        <v>19</v>
      </c>
      <c r="B970" t="s">
        <v>221</v>
      </c>
      <c r="C970">
        <v>615</v>
      </c>
      <c r="D970" s="1">
        <v>5.2000000000000005E-2</v>
      </c>
      <c r="E970">
        <v>32</v>
      </c>
      <c r="F970">
        <v>3</v>
      </c>
      <c r="G970" s="2">
        <v>9.3800000000000008E-2</v>
      </c>
      <c r="H970" s="3">
        <v>1.1000000000000001</v>
      </c>
      <c r="I970" s="3">
        <v>11.72</v>
      </c>
      <c r="J970" s="3">
        <v>35.159999999999997</v>
      </c>
    </row>
    <row r="971" spans="1:10" x14ac:dyDescent="0.3">
      <c r="A971" t="s">
        <v>19</v>
      </c>
      <c r="B971" t="s">
        <v>221</v>
      </c>
      <c r="C971">
        <v>34</v>
      </c>
      <c r="D971" s="1">
        <v>0.1176</v>
      </c>
      <c r="E971">
        <v>4</v>
      </c>
      <c r="F971">
        <v>0</v>
      </c>
      <c r="G971" s="2">
        <v>0</v>
      </c>
      <c r="H971" s="3">
        <v>0</v>
      </c>
      <c r="I971" s="3" t="s">
        <v>213</v>
      </c>
      <c r="J971" s="3">
        <v>0</v>
      </c>
    </row>
  </sheetData>
  <autoFilter ref="A1:L971" xr:uid="{E33AB968-00BA-44F5-8D66-E37A2F39F15C}">
    <sortState xmlns:xlrd2="http://schemas.microsoft.com/office/spreadsheetml/2017/richdata2" ref="A2:J971">
      <sortCondition ref="A1:A97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3873-953C-47F3-9A32-F79E84D942AD}">
  <dimension ref="B2:N181"/>
  <sheetViews>
    <sheetView topLeftCell="A143" zoomScale="85" workbookViewId="0">
      <selection activeCell="B11" sqref="B11:C179"/>
    </sheetView>
  </sheetViews>
  <sheetFormatPr defaultRowHeight="15.6" x14ac:dyDescent="0.3"/>
  <cols>
    <col min="1" max="1" width="8" customWidth="1"/>
    <col min="2" max="2" width="47.3984375" bestFit="1" customWidth="1"/>
    <col min="3" max="3" width="18.19921875" bestFit="1" customWidth="1"/>
    <col min="4" max="4" width="24.8984375" bestFit="1" customWidth="1"/>
    <col min="5" max="5" width="48.3984375" bestFit="1" customWidth="1"/>
    <col min="6" max="6" width="36.19921875" bestFit="1" customWidth="1"/>
    <col min="7" max="7" width="26.5" bestFit="1" customWidth="1"/>
    <col min="8" max="8" width="21.59765625" bestFit="1" customWidth="1"/>
    <col min="9" max="9" width="38.19921875" bestFit="1" customWidth="1"/>
    <col min="10" max="14" width="15.8984375" bestFit="1" customWidth="1"/>
  </cols>
  <sheetData>
    <row r="2" spans="2:14" s="4" customFormat="1" x14ac:dyDescent="0.3">
      <c r="C2" s="6" t="s">
        <v>11</v>
      </c>
      <c r="D2" s="6" t="s">
        <v>498</v>
      </c>
      <c r="E2" s="6" t="s">
        <v>499</v>
      </c>
      <c r="F2" s="6"/>
      <c r="G2" s="6"/>
      <c r="H2" s="6"/>
      <c r="I2" s="6"/>
      <c r="J2" s="6"/>
      <c r="K2" s="6"/>
      <c r="L2" s="6"/>
      <c r="M2" s="6"/>
      <c r="N2" s="6"/>
    </row>
    <row r="3" spans="2:14" x14ac:dyDescent="0.3">
      <c r="B3" s="6" t="s">
        <v>500</v>
      </c>
      <c r="C3" s="7">
        <v>810</v>
      </c>
      <c r="D3" s="7">
        <v>271</v>
      </c>
      <c r="E3" s="7">
        <v>162</v>
      </c>
      <c r="F3" s="7"/>
      <c r="G3" s="7"/>
      <c r="H3" s="7"/>
      <c r="I3" s="7"/>
      <c r="J3" s="7"/>
      <c r="K3" s="7"/>
      <c r="L3" s="7"/>
      <c r="M3" s="7"/>
      <c r="N3" s="7"/>
    </row>
    <row r="4" spans="2:14" x14ac:dyDescent="0.3">
      <c r="B4" s="6" t="s">
        <v>501</v>
      </c>
      <c r="C4" s="7">
        <v>75</v>
      </c>
      <c r="D4" s="7">
        <v>21</v>
      </c>
      <c r="E4" s="7">
        <v>19</v>
      </c>
      <c r="F4" s="7"/>
      <c r="G4" s="7"/>
      <c r="H4" s="7"/>
      <c r="I4" s="7"/>
      <c r="J4" s="7"/>
      <c r="K4" s="7"/>
      <c r="L4" s="7"/>
      <c r="M4" s="7"/>
      <c r="N4" s="7"/>
    </row>
    <row r="5" spans="2:14" x14ac:dyDescent="0.3">
      <c r="B5" s="6" t="s">
        <v>502</v>
      </c>
      <c r="C5" s="7">
        <v>7</v>
      </c>
      <c r="D5" s="7">
        <v>7</v>
      </c>
      <c r="E5" s="7">
        <v>4</v>
      </c>
      <c r="F5" s="7"/>
      <c r="G5" s="7"/>
      <c r="H5" s="7"/>
      <c r="I5" s="7"/>
      <c r="J5" s="7"/>
      <c r="K5" s="7"/>
      <c r="L5" s="7"/>
      <c r="M5" s="7"/>
      <c r="N5" s="7"/>
    </row>
    <row r="6" spans="2:14" x14ac:dyDescent="0.3">
      <c r="B6" s="6" t="s">
        <v>503</v>
      </c>
      <c r="C6" s="8">
        <v>600</v>
      </c>
      <c r="D6" s="8">
        <v>646</v>
      </c>
      <c r="E6" s="8">
        <v>322</v>
      </c>
      <c r="F6" s="8"/>
      <c r="G6" s="8"/>
      <c r="H6" s="8"/>
      <c r="I6" s="8"/>
      <c r="J6" s="8"/>
      <c r="K6" s="8"/>
      <c r="L6" s="8"/>
      <c r="M6" s="8"/>
      <c r="N6" s="8"/>
    </row>
    <row r="7" spans="2:14" x14ac:dyDescent="0.3">
      <c r="B7" s="6" t="s">
        <v>6</v>
      </c>
      <c r="C7" s="8">
        <f>C6/C5</f>
        <v>85.714285714285708</v>
      </c>
      <c r="D7" s="8">
        <f t="shared" ref="D7:N7" si="0">D6/D5</f>
        <v>92.285714285714292</v>
      </c>
      <c r="E7" s="8">
        <f t="shared" si="0"/>
        <v>80.5</v>
      </c>
      <c r="F7" s="8" t="e">
        <f t="shared" si="0"/>
        <v>#DIV/0!</v>
      </c>
      <c r="G7" s="8" t="e">
        <f t="shared" si="0"/>
        <v>#DIV/0!</v>
      </c>
      <c r="H7" s="8" t="e">
        <f t="shared" si="0"/>
        <v>#DIV/0!</v>
      </c>
      <c r="I7" s="8" t="e">
        <f t="shared" si="0"/>
        <v>#DIV/0!</v>
      </c>
      <c r="J7" s="8" t="e">
        <f t="shared" si="0"/>
        <v>#DIV/0!</v>
      </c>
      <c r="K7" s="8" t="e">
        <f t="shared" si="0"/>
        <v>#DIV/0!</v>
      </c>
      <c r="L7" s="8" t="e">
        <f t="shared" si="0"/>
        <v>#DIV/0!</v>
      </c>
      <c r="M7" s="8" t="e">
        <f t="shared" si="0"/>
        <v>#DIV/0!</v>
      </c>
      <c r="N7" s="8" t="e">
        <f t="shared" si="0"/>
        <v>#DIV/0!</v>
      </c>
    </row>
    <row r="8" spans="2:14" x14ac:dyDescent="0.3">
      <c r="B8" s="6" t="s">
        <v>504</v>
      </c>
      <c r="C8" s="9">
        <f>C5/C3</f>
        <v>8.6419753086419745E-3</v>
      </c>
      <c r="D8" s="9">
        <f t="shared" ref="D8:N8" si="1">D5/D3</f>
        <v>2.5830258302583026E-2</v>
      </c>
      <c r="E8" s="9">
        <f t="shared" si="1"/>
        <v>2.4691358024691357E-2</v>
      </c>
      <c r="F8" s="9" t="e">
        <f t="shared" si="1"/>
        <v>#DIV/0!</v>
      </c>
      <c r="G8" s="9" t="e">
        <f t="shared" si="1"/>
        <v>#DIV/0!</v>
      </c>
      <c r="H8" s="9" t="e">
        <f t="shared" si="1"/>
        <v>#DIV/0!</v>
      </c>
      <c r="I8" s="9" t="e">
        <f t="shared" si="1"/>
        <v>#DIV/0!</v>
      </c>
      <c r="J8" s="9" t="e">
        <f t="shared" si="1"/>
        <v>#DIV/0!</v>
      </c>
      <c r="K8" s="9" t="e">
        <f t="shared" si="1"/>
        <v>#DIV/0!</v>
      </c>
      <c r="L8" s="9" t="e">
        <f t="shared" si="1"/>
        <v>#DIV/0!</v>
      </c>
      <c r="M8" s="9" t="e">
        <f t="shared" si="1"/>
        <v>#DIV/0!</v>
      </c>
      <c r="N8" s="9" t="e">
        <f t="shared" si="1"/>
        <v>#DIV/0!</v>
      </c>
    </row>
    <row r="10" spans="2:14" x14ac:dyDescent="0.3">
      <c r="B10" s="10" t="s">
        <v>491</v>
      </c>
      <c r="C10" t="s">
        <v>505</v>
      </c>
    </row>
    <row r="11" spans="2:14" x14ac:dyDescent="0.3">
      <c r="B11" s="11" t="s">
        <v>101</v>
      </c>
      <c r="C11">
        <v>1</v>
      </c>
    </row>
    <row r="12" spans="2:14" x14ac:dyDescent="0.3">
      <c r="B12" s="11" t="s">
        <v>102</v>
      </c>
      <c r="C12">
        <v>1</v>
      </c>
    </row>
    <row r="13" spans="2:14" x14ac:dyDescent="0.3">
      <c r="B13" s="11" t="s">
        <v>103</v>
      </c>
      <c r="C13">
        <v>1</v>
      </c>
    </row>
    <row r="14" spans="2:14" x14ac:dyDescent="0.3">
      <c r="B14" s="11" t="s">
        <v>73</v>
      </c>
      <c r="C14">
        <v>7</v>
      </c>
    </row>
    <row r="15" spans="2:14" x14ac:dyDescent="0.3">
      <c r="B15" s="11" t="s">
        <v>104</v>
      </c>
      <c r="C15">
        <v>1</v>
      </c>
    </row>
    <row r="16" spans="2:14" x14ac:dyDescent="0.3">
      <c r="B16" s="11" t="s">
        <v>105</v>
      </c>
      <c r="C16">
        <v>1</v>
      </c>
    </row>
    <row r="17" spans="2:3" x14ac:dyDescent="0.3">
      <c r="B17" s="11" t="s">
        <v>28</v>
      </c>
      <c r="C17">
        <v>20</v>
      </c>
    </row>
    <row r="18" spans="2:3" x14ac:dyDescent="0.3">
      <c r="B18" s="11" t="s">
        <v>34</v>
      </c>
      <c r="C18">
        <v>1</v>
      </c>
    </row>
    <row r="19" spans="2:3" x14ac:dyDescent="0.3">
      <c r="B19" s="11" t="s">
        <v>106</v>
      </c>
      <c r="C19">
        <v>1</v>
      </c>
    </row>
    <row r="20" spans="2:3" x14ac:dyDescent="0.3">
      <c r="B20" s="11" t="s">
        <v>86</v>
      </c>
      <c r="C20">
        <v>2</v>
      </c>
    </row>
    <row r="21" spans="2:3" x14ac:dyDescent="0.3">
      <c r="B21" s="11" t="s">
        <v>40</v>
      </c>
      <c r="C21">
        <v>5</v>
      </c>
    </row>
    <row r="22" spans="2:3" x14ac:dyDescent="0.3">
      <c r="B22" s="11" t="s">
        <v>107</v>
      </c>
      <c r="C22">
        <v>1</v>
      </c>
    </row>
    <row r="23" spans="2:3" x14ac:dyDescent="0.3">
      <c r="B23" s="11" t="s">
        <v>243</v>
      </c>
      <c r="C23">
        <v>1</v>
      </c>
    </row>
    <row r="24" spans="2:3" x14ac:dyDescent="0.3">
      <c r="B24" s="11" t="s">
        <v>83</v>
      </c>
      <c r="C24">
        <v>3</v>
      </c>
    </row>
    <row r="25" spans="2:3" x14ac:dyDescent="0.3">
      <c r="B25" s="11" t="s">
        <v>65</v>
      </c>
      <c r="C25">
        <v>3</v>
      </c>
    </row>
    <row r="26" spans="2:3" x14ac:dyDescent="0.3">
      <c r="B26" s="11" t="s">
        <v>108</v>
      </c>
      <c r="C26">
        <v>1</v>
      </c>
    </row>
    <row r="27" spans="2:3" x14ac:dyDescent="0.3">
      <c r="B27" s="11" t="s">
        <v>109</v>
      </c>
      <c r="C27">
        <v>1</v>
      </c>
    </row>
    <row r="28" spans="2:3" x14ac:dyDescent="0.3">
      <c r="B28" s="11" t="s">
        <v>72</v>
      </c>
      <c r="C28">
        <v>5</v>
      </c>
    </row>
    <row r="29" spans="2:3" x14ac:dyDescent="0.3">
      <c r="B29" s="11" t="s">
        <v>87</v>
      </c>
      <c r="C29">
        <v>2</v>
      </c>
    </row>
    <row r="30" spans="2:3" x14ac:dyDescent="0.3">
      <c r="B30" s="11" t="s">
        <v>88</v>
      </c>
      <c r="C30">
        <v>2</v>
      </c>
    </row>
    <row r="31" spans="2:3" x14ac:dyDescent="0.3">
      <c r="B31" s="11" t="s">
        <v>110</v>
      </c>
      <c r="C31">
        <v>1</v>
      </c>
    </row>
    <row r="32" spans="2:3" x14ac:dyDescent="0.3">
      <c r="B32" s="11" t="s">
        <v>111</v>
      </c>
      <c r="C32">
        <v>1</v>
      </c>
    </row>
    <row r="33" spans="2:3" x14ac:dyDescent="0.3">
      <c r="B33" s="11" t="s">
        <v>33</v>
      </c>
      <c r="C33">
        <v>3</v>
      </c>
    </row>
    <row r="34" spans="2:3" x14ac:dyDescent="0.3">
      <c r="B34" s="11" t="s">
        <v>112</v>
      </c>
      <c r="C34">
        <v>1</v>
      </c>
    </row>
    <row r="35" spans="2:3" x14ac:dyDescent="0.3">
      <c r="B35" s="11" t="s">
        <v>43</v>
      </c>
      <c r="C35">
        <v>1</v>
      </c>
    </row>
    <row r="36" spans="2:3" x14ac:dyDescent="0.3">
      <c r="B36" s="11" t="s">
        <v>113</v>
      </c>
      <c r="C36">
        <v>1</v>
      </c>
    </row>
    <row r="37" spans="2:3" x14ac:dyDescent="0.3">
      <c r="B37" s="11" t="s">
        <v>260</v>
      </c>
      <c r="C37">
        <v>1</v>
      </c>
    </row>
    <row r="38" spans="2:3" x14ac:dyDescent="0.3">
      <c r="B38" s="11" t="s">
        <v>13</v>
      </c>
      <c r="C38">
        <v>4</v>
      </c>
    </row>
    <row r="39" spans="2:3" x14ac:dyDescent="0.3">
      <c r="B39" s="11" t="s">
        <v>69</v>
      </c>
      <c r="C39">
        <v>4</v>
      </c>
    </row>
    <row r="40" spans="2:3" x14ac:dyDescent="0.3">
      <c r="B40" s="11" t="s">
        <v>114</v>
      </c>
      <c r="C40">
        <v>1</v>
      </c>
    </row>
    <row r="41" spans="2:3" x14ac:dyDescent="0.3">
      <c r="B41" s="11" t="s">
        <v>18</v>
      </c>
      <c r="C41">
        <v>3</v>
      </c>
    </row>
    <row r="42" spans="2:3" x14ac:dyDescent="0.3">
      <c r="B42" s="11" t="s">
        <v>115</v>
      </c>
      <c r="C42">
        <v>1</v>
      </c>
    </row>
    <row r="43" spans="2:3" x14ac:dyDescent="0.3">
      <c r="B43" s="11" t="s">
        <v>59</v>
      </c>
      <c r="C43">
        <v>2</v>
      </c>
    </row>
    <row r="44" spans="2:3" x14ac:dyDescent="0.3">
      <c r="B44" s="11" t="s">
        <v>116</v>
      </c>
      <c r="C44">
        <v>1</v>
      </c>
    </row>
    <row r="45" spans="2:3" x14ac:dyDescent="0.3">
      <c r="B45" s="11" t="s">
        <v>117</v>
      </c>
      <c r="C45">
        <v>1</v>
      </c>
    </row>
    <row r="46" spans="2:3" x14ac:dyDescent="0.3">
      <c r="B46" s="11" t="s">
        <v>118</v>
      </c>
      <c r="C46">
        <v>1</v>
      </c>
    </row>
    <row r="47" spans="2:3" x14ac:dyDescent="0.3">
      <c r="B47" s="11" t="s">
        <v>31</v>
      </c>
      <c r="C47">
        <v>2</v>
      </c>
    </row>
    <row r="48" spans="2:3" x14ac:dyDescent="0.3">
      <c r="B48" s="11" t="s">
        <v>16</v>
      </c>
      <c r="C48">
        <v>18</v>
      </c>
    </row>
    <row r="49" spans="2:3" x14ac:dyDescent="0.3">
      <c r="B49" s="11" t="s">
        <v>44</v>
      </c>
      <c r="C49">
        <v>1</v>
      </c>
    </row>
    <row r="50" spans="2:3" x14ac:dyDescent="0.3">
      <c r="B50" s="11" t="s">
        <v>119</v>
      </c>
      <c r="C50">
        <v>1</v>
      </c>
    </row>
    <row r="51" spans="2:3" x14ac:dyDescent="0.3">
      <c r="B51" s="11" t="s">
        <v>74</v>
      </c>
      <c r="C51">
        <v>7</v>
      </c>
    </row>
    <row r="52" spans="2:3" x14ac:dyDescent="0.3">
      <c r="B52" s="11" t="s">
        <v>45</v>
      </c>
      <c r="C52">
        <v>1</v>
      </c>
    </row>
    <row r="53" spans="2:3" x14ac:dyDescent="0.3">
      <c r="B53" s="11" t="s">
        <v>120</v>
      </c>
      <c r="C53">
        <v>1</v>
      </c>
    </row>
    <row r="54" spans="2:3" x14ac:dyDescent="0.3">
      <c r="B54" s="11" t="s">
        <v>46</v>
      </c>
      <c r="C54">
        <v>1</v>
      </c>
    </row>
    <row r="55" spans="2:3" x14ac:dyDescent="0.3">
      <c r="B55" s="11" t="s">
        <v>79</v>
      </c>
      <c r="C55">
        <v>6</v>
      </c>
    </row>
    <row r="56" spans="2:3" x14ac:dyDescent="0.3">
      <c r="B56" s="11" t="s">
        <v>121</v>
      </c>
      <c r="C56">
        <v>1</v>
      </c>
    </row>
    <row r="57" spans="2:3" x14ac:dyDescent="0.3">
      <c r="B57" s="11" t="s">
        <v>47</v>
      </c>
      <c r="C57">
        <v>1</v>
      </c>
    </row>
    <row r="58" spans="2:3" x14ac:dyDescent="0.3">
      <c r="B58" s="11" t="s">
        <v>24</v>
      </c>
      <c r="C58">
        <v>1</v>
      </c>
    </row>
    <row r="59" spans="2:3" x14ac:dyDescent="0.3">
      <c r="B59" s="11" t="s">
        <v>122</v>
      </c>
      <c r="C59">
        <v>1</v>
      </c>
    </row>
    <row r="60" spans="2:3" x14ac:dyDescent="0.3">
      <c r="B60" s="11" t="s">
        <v>123</v>
      </c>
      <c r="C60">
        <v>1</v>
      </c>
    </row>
    <row r="61" spans="2:3" x14ac:dyDescent="0.3">
      <c r="B61" s="11" t="s">
        <v>124</v>
      </c>
      <c r="C61">
        <v>1</v>
      </c>
    </row>
    <row r="62" spans="2:3" x14ac:dyDescent="0.3">
      <c r="B62" s="11" t="s">
        <v>35</v>
      </c>
      <c r="C62">
        <v>1</v>
      </c>
    </row>
    <row r="63" spans="2:3" x14ac:dyDescent="0.3">
      <c r="B63" s="11" t="s">
        <v>125</v>
      </c>
      <c r="C63">
        <v>1</v>
      </c>
    </row>
    <row r="64" spans="2:3" x14ac:dyDescent="0.3">
      <c r="B64" s="11" t="s">
        <v>81</v>
      </c>
      <c r="C64">
        <v>4</v>
      </c>
    </row>
    <row r="65" spans="2:3" x14ac:dyDescent="0.3">
      <c r="B65" s="11" t="s">
        <v>126</v>
      </c>
      <c r="C65">
        <v>1</v>
      </c>
    </row>
    <row r="66" spans="2:3" x14ac:dyDescent="0.3">
      <c r="B66" s="11" t="s">
        <v>127</v>
      </c>
      <c r="C66">
        <v>1</v>
      </c>
    </row>
    <row r="67" spans="2:3" x14ac:dyDescent="0.3">
      <c r="B67" s="11" t="s">
        <v>89</v>
      </c>
      <c r="C67">
        <v>2</v>
      </c>
    </row>
    <row r="68" spans="2:3" x14ac:dyDescent="0.3">
      <c r="B68" s="11" t="s">
        <v>128</v>
      </c>
      <c r="C68">
        <v>1</v>
      </c>
    </row>
    <row r="69" spans="2:3" x14ac:dyDescent="0.3">
      <c r="B69" s="11" t="s">
        <v>129</v>
      </c>
      <c r="C69">
        <v>1</v>
      </c>
    </row>
    <row r="70" spans="2:3" x14ac:dyDescent="0.3">
      <c r="B70" s="11" t="s">
        <v>90</v>
      </c>
      <c r="C70">
        <v>2</v>
      </c>
    </row>
    <row r="71" spans="2:3" x14ac:dyDescent="0.3">
      <c r="B71" s="11" t="s">
        <v>130</v>
      </c>
      <c r="C71">
        <v>1</v>
      </c>
    </row>
    <row r="72" spans="2:3" x14ac:dyDescent="0.3">
      <c r="B72" s="11" t="s">
        <v>131</v>
      </c>
      <c r="C72">
        <v>1</v>
      </c>
    </row>
    <row r="73" spans="2:3" x14ac:dyDescent="0.3">
      <c r="B73" s="11" t="s">
        <v>84</v>
      </c>
      <c r="C73">
        <v>3</v>
      </c>
    </row>
    <row r="74" spans="2:3" x14ac:dyDescent="0.3">
      <c r="B74" s="11" t="s">
        <v>36</v>
      </c>
      <c r="C74">
        <v>1</v>
      </c>
    </row>
    <row r="75" spans="2:3" x14ac:dyDescent="0.3">
      <c r="B75" s="11" t="s">
        <v>48</v>
      </c>
      <c r="C75">
        <v>1</v>
      </c>
    </row>
    <row r="76" spans="2:3" x14ac:dyDescent="0.3">
      <c r="B76" s="11" t="s">
        <v>17</v>
      </c>
      <c r="C76">
        <v>2</v>
      </c>
    </row>
    <row r="77" spans="2:3" x14ac:dyDescent="0.3">
      <c r="B77" s="11" t="s">
        <v>132</v>
      </c>
      <c r="C77">
        <v>1</v>
      </c>
    </row>
    <row r="78" spans="2:3" x14ac:dyDescent="0.3">
      <c r="B78" s="11" t="s">
        <v>49</v>
      </c>
      <c r="C78">
        <v>1</v>
      </c>
    </row>
    <row r="79" spans="2:3" x14ac:dyDescent="0.3">
      <c r="B79" s="11" t="s">
        <v>133</v>
      </c>
      <c r="C79">
        <v>1</v>
      </c>
    </row>
    <row r="80" spans="2:3" x14ac:dyDescent="0.3">
      <c r="B80" s="11" t="s">
        <v>134</v>
      </c>
      <c r="C80">
        <v>1</v>
      </c>
    </row>
    <row r="81" spans="2:3" x14ac:dyDescent="0.3">
      <c r="B81" s="11" t="s">
        <v>135</v>
      </c>
      <c r="C81">
        <v>1</v>
      </c>
    </row>
    <row r="82" spans="2:3" x14ac:dyDescent="0.3">
      <c r="B82" s="11" t="s">
        <v>136</v>
      </c>
      <c r="C82">
        <v>1</v>
      </c>
    </row>
    <row r="83" spans="2:3" x14ac:dyDescent="0.3">
      <c r="B83" s="11" t="s">
        <v>37</v>
      </c>
      <c r="C83">
        <v>1</v>
      </c>
    </row>
    <row r="84" spans="2:3" x14ac:dyDescent="0.3">
      <c r="B84" s="11" t="s">
        <v>137</v>
      </c>
      <c r="C84">
        <v>1</v>
      </c>
    </row>
    <row r="85" spans="2:3" x14ac:dyDescent="0.3">
      <c r="B85" s="11" t="s">
        <v>11</v>
      </c>
      <c r="C85">
        <v>128</v>
      </c>
    </row>
    <row r="86" spans="2:3" x14ac:dyDescent="0.3">
      <c r="B86" s="11" t="s">
        <v>75</v>
      </c>
      <c r="C86">
        <v>7</v>
      </c>
    </row>
    <row r="87" spans="2:3" x14ac:dyDescent="0.3">
      <c r="B87" s="11" t="s">
        <v>29</v>
      </c>
      <c r="C87">
        <v>1</v>
      </c>
    </row>
    <row r="88" spans="2:3" x14ac:dyDescent="0.3">
      <c r="B88" s="11" t="s">
        <v>138</v>
      </c>
      <c r="C88">
        <v>1</v>
      </c>
    </row>
    <row r="89" spans="2:3" x14ac:dyDescent="0.3">
      <c r="B89" s="11" t="s">
        <v>91</v>
      </c>
      <c r="C89">
        <v>2</v>
      </c>
    </row>
    <row r="90" spans="2:3" x14ac:dyDescent="0.3">
      <c r="B90" s="11" t="s">
        <v>92</v>
      </c>
      <c r="C90">
        <v>2</v>
      </c>
    </row>
    <row r="91" spans="2:3" x14ac:dyDescent="0.3">
      <c r="B91" s="11" t="s">
        <v>50</v>
      </c>
      <c r="C91">
        <v>1</v>
      </c>
    </row>
    <row r="92" spans="2:3" x14ac:dyDescent="0.3">
      <c r="B92" s="11" t="s">
        <v>139</v>
      </c>
      <c r="C92">
        <v>1</v>
      </c>
    </row>
    <row r="93" spans="2:3" x14ac:dyDescent="0.3">
      <c r="B93" s="11" t="s">
        <v>51</v>
      </c>
      <c r="C93">
        <v>1</v>
      </c>
    </row>
    <row r="94" spans="2:3" x14ac:dyDescent="0.3">
      <c r="B94" s="11" t="s">
        <v>15</v>
      </c>
      <c r="C94">
        <v>5</v>
      </c>
    </row>
    <row r="95" spans="2:3" x14ac:dyDescent="0.3">
      <c r="B95" s="11" t="s">
        <v>140</v>
      </c>
      <c r="C95">
        <v>1</v>
      </c>
    </row>
    <row r="96" spans="2:3" x14ac:dyDescent="0.3">
      <c r="B96" s="11" t="s">
        <v>52</v>
      </c>
      <c r="C96">
        <v>1</v>
      </c>
    </row>
    <row r="97" spans="2:3" x14ac:dyDescent="0.3">
      <c r="B97" s="11" t="s">
        <v>141</v>
      </c>
      <c r="C97">
        <v>1</v>
      </c>
    </row>
    <row r="98" spans="2:3" x14ac:dyDescent="0.3">
      <c r="B98" s="11" t="s">
        <v>142</v>
      </c>
      <c r="C98">
        <v>1</v>
      </c>
    </row>
    <row r="99" spans="2:3" x14ac:dyDescent="0.3">
      <c r="B99" s="11" t="s">
        <v>60</v>
      </c>
      <c r="C99">
        <v>2</v>
      </c>
    </row>
    <row r="100" spans="2:3" x14ac:dyDescent="0.3">
      <c r="B100" s="11" t="s">
        <v>143</v>
      </c>
      <c r="C100">
        <v>1</v>
      </c>
    </row>
    <row r="101" spans="2:3" x14ac:dyDescent="0.3">
      <c r="B101" s="11" t="s">
        <v>85</v>
      </c>
      <c r="C101">
        <v>3</v>
      </c>
    </row>
    <row r="102" spans="2:3" x14ac:dyDescent="0.3">
      <c r="B102" s="11" t="s">
        <v>144</v>
      </c>
      <c r="C102">
        <v>1</v>
      </c>
    </row>
    <row r="103" spans="2:3" x14ac:dyDescent="0.3">
      <c r="B103" s="11" t="s">
        <v>61</v>
      </c>
      <c r="C103">
        <v>2</v>
      </c>
    </row>
    <row r="104" spans="2:3" x14ac:dyDescent="0.3">
      <c r="B104" s="11" t="s">
        <v>70</v>
      </c>
      <c r="C104">
        <v>4</v>
      </c>
    </row>
    <row r="105" spans="2:3" x14ac:dyDescent="0.3">
      <c r="B105" s="11" t="s">
        <v>145</v>
      </c>
      <c r="C105">
        <v>1</v>
      </c>
    </row>
    <row r="106" spans="2:3" x14ac:dyDescent="0.3">
      <c r="B106" s="11" t="s">
        <v>146</v>
      </c>
      <c r="C106">
        <v>1</v>
      </c>
    </row>
    <row r="107" spans="2:3" x14ac:dyDescent="0.3">
      <c r="B107" s="11" t="s">
        <v>147</v>
      </c>
      <c r="C107">
        <v>1</v>
      </c>
    </row>
    <row r="108" spans="2:3" x14ac:dyDescent="0.3">
      <c r="B108" s="11" t="s">
        <v>93</v>
      </c>
      <c r="C108">
        <v>2</v>
      </c>
    </row>
    <row r="109" spans="2:3" x14ac:dyDescent="0.3">
      <c r="B109" s="11" t="s">
        <v>82</v>
      </c>
      <c r="C109">
        <v>4</v>
      </c>
    </row>
    <row r="110" spans="2:3" x14ac:dyDescent="0.3">
      <c r="B110" s="11" t="s">
        <v>148</v>
      </c>
      <c r="C110">
        <v>1</v>
      </c>
    </row>
    <row r="111" spans="2:3" x14ac:dyDescent="0.3">
      <c r="B111" s="11" t="s">
        <v>149</v>
      </c>
      <c r="C111">
        <v>1</v>
      </c>
    </row>
    <row r="112" spans="2:3" x14ac:dyDescent="0.3">
      <c r="B112" s="11" t="s">
        <v>94</v>
      </c>
      <c r="C112">
        <v>2</v>
      </c>
    </row>
    <row r="113" spans="2:3" x14ac:dyDescent="0.3">
      <c r="B113" s="11" t="s">
        <v>21</v>
      </c>
      <c r="C113">
        <v>6</v>
      </c>
    </row>
    <row r="114" spans="2:3" x14ac:dyDescent="0.3">
      <c r="B114" s="11" t="s">
        <v>150</v>
      </c>
      <c r="C114">
        <v>1</v>
      </c>
    </row>
    <row r="115" spans="2:3" x14ac:dyDescent="0.3">
      <c r="B115" s="11" t="s">
        <v>53</v>
      </c>
      <c r="C115">
        <v>1</v>
      </c>
    </row>
    <row r="116" spans="2:3" x14ac:dyDescent="0.3">
      <c r="B116" s="11" t="s">
        <v>95</v>
      </c>
      <c r="C116">
        <v>2</v>
      </c>
    </row>
    <row r="117" spans="2:3" x14ac:dyDescent="0.3">
      <c r="B117" s="11" t="s">
        <v>151</v>
      </c>
      <c r="C117">
        <v>1</v>
      </c>
    </row>
    <row r="118" spans="2:3" x14ac:dyDescent="0.3">
      <c r="B118" s="11" t="s">
        <v>10</v>
      </c>
      <c r="C118">
        <v>1</v>
      </c>
    </row>
    <row r="119" spans="2:3" x14ac:dyDescent="0.3">
      <c r="B119" s="11" t="s">
        <v>22</v>
      </c>
      <c r="C119">
        <v>19</v>
      </c>
    </row>
    <row r="120" spans="2:3" x14ac:dyDescent="0.3">
      <c r="B120" s="11" t="s">
        <v>9</v>
      </c>
      <c r="C120">
        <v>172</v>
      </c>
    </row>
    <row r="121" spans="2:3" x14ac:dyDescent="0.3">
      <c r="B121" s="11" t="s">
        <v>38</v>
      </c>
      <c r="C121">
        <v>1</v>
      </c>
    </row>
    <row r="122" spans="2:3" x14ac:dyDescent="0.3">
      <c r="B122" s="11" t="s">
        <v>8</v>
      </c>
      <c r="C122">
        <v>26</v>
      </c>
    </row>
    <row r="123" spans="2:3" x14ac:dyDescent="0.3">
      <c r="B123" s="11" t="s">
        <v>96</v>
      </c>
      <c r="C123">
        <v>2</v>
      </c>
    </row>
    <row r="124" spans="2:3" x14ac:dyDescent="0.3">
      <c r="B124" s="11" t="s">
        <v>42</v>
      </c>
      <c r="C124">
        <v>49</v>
      </c>
    </row>
    <row r="125" spans="2:3" x14ac:dyDescent="0.3">
      <c r="B125" s="11" t="s">
        <v>27</v>
      </c>
      <c r="C125">
        <v>6</v>
      </c>
    </row>
    <row r="126" spans="2:3" x14ac:dyDescent="0.3">
      <c r="B126" s="11" t="s">
        <v>77</v>
      </c>
      <c r="C126">
        <v>28</v>
      </c>
    </row>
    <row r="127" spans="2:3" x14ac:dyDescent="0.3">
      <c r="B127" s="11" t="s">
        <v>20</v>
      </c>
      <c r="C127">
        <v>3</v>
      </c>
    </row>
    <row r="128" spans="2:3" x14ac:dyDescent="0.3">
      <c r="B128" s="11" t="s">
        <v>152</v>
      </c>
      <c r="C128">
        <v>1</v>
      </c>
    </row>
    <row r="129" spans="2:3" x14ac:dyDescent="0.3">
      <c r="B129" s="11" t="s">
        <v>153</v>
      </c>
      <c r="C129">
        <v>1</v>
      </c>
    </row>
    <row r="130" spans="2:3" x14ac:dyDescent="0.3">
      <c r="B130" s="11" t="s">
        <v>154</v>
      </c>
      <c r="C130">
        <v>1</v>
      </c>
    </row>
    <row r="131" spans="2:3" x14ac:dyDescent="0.3">
      <c r="B131" s="11" t="s">
        <v>97</v>
      </c>
      <c r="C131">
        <v>2</v>
      </c>
    </row>
    <row r="132" spans="2:3" x14ac:dyDescent="0.3">
      <c r="B132" s="11" t="s">
        <v>155</v>
      </c>
      <c r="C132">
        <v>1</v>
      </c>
    </row>
    <row r="133" spans="2:3" x14ac:dyDescent="0.3">
      <c r="B133" s="11" t="s">
        <v>62</v>
      </c>
      <c r="C133">
        <v>2</v>
      </c>
    </row>
    <row r="134" spans="2:3" x14ac:dyDescent="0.3">
      <c r="B134" s="11" t="s">
        <v>54</v>
      </c>
      <c r="C134">
        <v>1</v>
      </c>
    </row>
    <row r="135" spans="2:3" x14ac:dyDescent="0.3">
      <c r="B135" s="11" t="s">
        <v>156</v>
      </c>
      <c r="C135">
        <v>1</v>
      </c>
    </row>
    <row r="136" spans="2:3" x14ac:dyDescent="0.3">
      <c r="B136" s="11" t="s">
        <v>157</v>
      </c>
      <c r="C136">
        <v>1</v>
      </c>
    </row>
    <row r="137" spans="2:3" x14ac:dyDescent="0.3">
      <c r="B137" s="11" t="s">
        <v>55</v>
      </c>
      <c r="C137">
        <v>1</v>
      </c>
    </row>
    <row r="138" spans="2:3" x14ac:dyDescent="0.3">
      <c r="B138" s="11" t="s">
        <v>158</v>
      </c>
      <c r="C138">
        <v>1</v>
      </c>
    </row>
    <row r="139" spans="2:3" x14ac:dyDescent="0.3">
      <c r="B139" s="11" t="s">
        <v>41</v>
      </c>
      <c r="C139">
        <v>12</v>
      </c>
    </row>
    <row r="140" spans="2:3" x14ac:dyDescent="0.3">
      <c r="B140" s="11" t="s">
        <v>56</v>
      </c>
      <c r="C140">
        <v>1</v>
      </c>
    </row>
    <row r="141" spans="2:3" x14ac:dyDescent="0.3">
      <c r="B141" s="11" t="s">
        <v>63</v>
      </c>
      <c r="C141">
        <v>2</v>
      </c>
    </row>
    <row r="142" spans="2:3" x14ac:dyDescent="0.3">
      <c r="B142" s="11" t="s">
        <v>7</v>
      </c>
      <c r="C142">
        <v>6</v>
      </c>
    </row>
    <row r="143" spans="2:3" x14ac:dyDescent="0.3">
      <c r="B143" s="11" t="s">
        <v>159</v>
      </c>
      <c r="C143">
        <v>1</v>
      </c>
    </row>
    <row r="144" spans="2:3" x14ac:dyDescent="0.3">
      <c r="B144" s="11" t="s">
        <v>160</v>
      </c>
      <c r="C144">
        <v>1</v>
      </c>
    </row>
    <row r="145" spans="2:3" x14ac:dyDescent="0.3">
      <c r="B145" s="11" t="s">
        <v>30</v>
      </c>
      <c r="C145">
        <v>1</v>
      </c>
    </row>
    <row r="146" spans="2:3" x14ac:dyDescent="0.3">
      <c r="B146" s="11" t="s">
        <v>14</v>
      </c>
      <c r="C146">
        <v>2</v>
      </c>
    </row>
    <row r="147" spans="2:3" x14ac:dyDescent="0.3">
      <c r="B147" s="11" t="s">
        <v>12</v>
      </c>
      <c r="C147">
        <v>3</v>
      </c>
    </row>
    <row r="148" spans="2:3" x14ac:dyDescent="0.3">
      <c r="B148" s="11" t="s">
        <v>32</v>
      </c>
      <c r="C148">
        <v>2</v>
      </c>
    </row>
    <row r="149" spans="2:3" x14ac:dyDescent="0.3">
      <c r="B149" s="11" t="s">
        <v>66</v>
      </c>
      <c r="C149">
        <v>3</v>
      </c>
    </row>
    <row r="150" spans="2:3" x14ac:dyDescent="0.3">
      <c r="B150" s="11" t="s">
        <v>78</v>
      </c>
      <c r="C150">
        <v>8</v>
      </c>
    </row>
    <row r="151" spans="2:3" x14ac:dyDescent="0.3">
      <c r="B151" s="11" t="s">
        <v>161</v>
      </c>
      <c r="C151">
        <v>1</v>
      </c>
    </row>
    <row r="152" spans="2:3" x14ac:dyDescent="0.3">
      <c r="B152" s="11" t="s">
        <v>26</v>
      </c>
      <c r="C152">
        <v>2</v>
      </c>
    </row>
    <row r="153" spans="2:3" x14ac:dyDescent="0.3">
      <c r="B153" s="11" t="s">
        <v>25</v>
      </c>
      <c r="C153">
        <v>1</v>
      </c>
    </row>
    <row r="154" spans="2:3" x14ac:dyDescent="0.3">
      <c r="B154" s="11" t="s">
        <v>162</v>
      </c>
      <c r="C154">
        <v>1</v>
      </c>
    </row>
    <row r="155" spans="2:3" x14ac:dyDescent="0.3">
      <c r="B155" s="11" t="s">
        <v>98</v>
      </c>
      <c r="C155">
        <v>2</v>
      </c>
    </row>
    <row r="156" spans="2:3" x14ac:dyDescent="0.3">
      <c r="B156" s="11" t="s">
        <v>99</v>
      </c>
      <c r="C156">
        <v>2</v>
      </c>
    </row>
    <row r="157" spans="2:3" x14ac:dyDescent="0.3">
      <c r="B157" s="11" t="s">
        <v>163</v>
      </c>
      <c r="C157">
        <v>1</v>
      </c>
    </row>
    <row r="158" spans="2:3" x14ac:dyDescent="0.3">
      <c r="B158" s="11" t="s">
        <v>454</v>
      </c>
      <c r="C158">
        <v>1</v>
      </c>
    </row>
    <row r="159" spans="2:3" x14ac:dyDescent="0.3">
      <c r="B159" s="11" t="s">
        <v>164</v>
      </c>
      <c r="C159">
        <v>1</v>
      </c>
    </row>
    <row r="160" spans="2:3" x14ac:dyDescent="0.3">
      <c r="B160" s="11" t="s">
        <v>165</v>
      </c>
      <c r="C160">
        <v>1</v>
      </c>
    </row>
    <row r="161" spans="2:3" x14ac:dyDescent="0.3">
      <c r="B161" s="11" t="s">
        <v>166</v>
      </c>
      <c r="C161">
        <v>1</v>
      </c>
    </row>
    <row r="162" spans="2:3" x14ac:dyDescent="0.3">
      <c r="B162" s="11" t="s">
        <v>167</v>
      </c>
      <c r="C162">
        <v>1</v>
      </c>
    </row>
    <row r="163" spans="2:3" x14ac:dyDescent="0.3">
      <c r="B163" s="11" t="s">
        <v>57</v>
      </c>
      <c r="C163">
        <v>1</v>
      </c>
    </row>
    <row r="164" spans="2:3" x14ac:dyDescent="0.3">
      <c r="B164" s="11" t="s">
        <v>39</v>
      </c>
      <c r="C164">
        <v>1</v>
      </c>
    </row>
    <row r="165" spans="2:3" x14ac:dyDescent="0.3">
      <c r="B165" s="11" t="s">
        <v>168</v>
      </c>
      <c r="C165">
        <v>1</v>
      </c>
    </row>
    <row r="166" spans="2:3" x14ac:dyDescent="0.3">
      <c r="B166" s="11" t="s">
        <v>169</v>
      </c>
      <c r="C166">
        <v>1</v>
      </c>
    </row>
    <row r="167" spans="2:3" x14ac:dyDescent="0.3">
      <c r="B167" s="11" t="s">
        <v>170</v>
      </c>
      <c r="C167">
        <v>1</v>
      </c>
    </row>
    <row r="168" spans="2:3" x14ac:dyDescent="0.3">
      <c r="B168" s="11" t="s">
        <v>80</v>
      </c>
      <c r="C168">
        <v>5</v>
      </c>
    </row>
    <row r="169" spans="2:3" x14ac:dyDescent="0.3">
      <c r="B169" s="11" t="s">
        <v>67</v>
      </c>
      <c r="C169">
        <v>3</v>
      </c>
    </row>
    <row r="170" spans="2:3" x14ac:dyDescent="0.3">
      <c r="B170" s="11" t="s">
        <v>68</v>
      </c>
      <c r="C170">
        <v>3</v>
      </c>
    </row>
    <row r="171" spans="2:3" x14ac:dyDescent="0.3">
      <c r="B171" s="11" t="s">
        <v>76</v>
      </c>
      <c r="C171">
        <v>57</v>
      </c>
    </row>
    <row r="172" spans="2:3" x14ac:dyDescent="0.3">
      <c r="B172" s="11" t="s">
        <v>100</v>
      </c>
      <c r="C172">
        <v>2</v>
      </c>
    </row>
    <row r="173" spans="2:3" x14ac:dyDescent="0.3">
      <c r="B173" s="11" t="s">
        <v>23</v>
      </c>
      <c r="C173">
        <v>40</v>
      </c>
    </row>
    <row r="174" spans="2:3" x14ac:dyDescent="0.3">
      <c r="B174" s="11" t="s">
        <v>171</v>
      </c>
      <c r="C174">
        <v>1</v>
      </c>
    </row>
    <row r="175" spans="2:3" x14ac:dyDescent="0.3">
      <c r="B175" s="11" t="s">
        <v>64</v>
      </c>
      <c r="C175">
        <v>2</v>
      </c>
    </row>
    <row r="176" spans="2:3" x14ac:dyDescent="0.3">
      <c r="B176" s="11" t="s">
        <v>58</v>
      </c>
      <c r="C176">
        <v>1</v>
      </c>
    </row>
    <row r="177" spans="2:3" x14ac:dyDescent="0.3">
      <c r="B177" s="11" t="s">
        <v>71</v>
      </c>
      <c r="C177">
        <v>4</v>
      </c>
    </row>
    <row r="178" spans="2:3" x14ac:dyDescent="0.3">
      <c r="B178" s="11" t="s">
        <v>172</v>
      </c>
      <c r="C178">
        <v>1</v>
      </c>
    </row>
    <row r="179" spans="2:3" x14ac:dyDescent="0.3">
      <c r="B179" s="11" t="s">
        <v>19</v>
      </c>
      <c r="C179">
        <v>117</v>
      </c>
    </row>
    <row r="180" spans="2:3" x14ac:dyDescent="0.3">
      <c r="B180" s="11" t="s">
        <v>506</v>
      </c>
    </row>
    <row r="181" spans="2:3" x14ac:dyDescent="0.3">
      <c r="B181" s="11" t="s">
        <v>495</v>
      </c>
      <c r="C181">
        <v>970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CE26DC7BC4344A002BFF47F59DBAB" ma:contentTypeVersion="3" ma:contentTypeDescription="Create a new document." ma:contentTypeScope="" ma:versionID="81947eca07a1b5fc1dbf12c637f3ceac">
  <xsd:schema xmlns:xsd="http://www.w3.org/2001/XMLSchema" xmlns:xs="http://www.w3.org/2001/XMLSchema" xmlns:p="http://schemas.microsoft.com/office/2006/metadata/properties" xmlns:ns2="1641e670-eca6-4845-99d6-5764a833f6e5" targetNamespace="http://schemas.microsoft.com/office/2006/metadata/properties" ma:root="true" ma:fieldsID="ca164ab9d757c6283e07ad4749b66263" ns2:_="">
    <xsd:import namespace="1641e670-eca6-4845-99d6-5764a833f6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1e670-eca6-4845-99d6-5764a833f6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5D98CF-5930-485C-B9CC-BCA123098D18}"/>
</file>

<file path=customXml/itemProps2.xml><?xml version="1.0" encoding="utf-8"?>
<ds:datastoreItem xmlns:ds="http://schemas.openxmlformats.org/officeDocument/2006/customXml" ds:itemID="{21EBB554-9267-4D50-89E5-AF6C2261FC00}"/>
</file>

<file path=customXml/itemProps3.xml><?xml version="1.0" encoding="utf-8"?>
<ds:datastoreItem xmlns:ds="http://schemas.openxmlformats.org/officeDocument/2006/customXml" ds:itemID="{3F80AD40-9639-4CB7-BCC6-94B1E2EE2A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Overzicht vacatures</vt:lpstr>
      <vt:lpstr>Budget</vt:lpstr>
      <vt:lpstr>Exported Data</vt:lpstr>
      <vt:lpstr>Draaitabel bron</vt:lpstr>
      <vt:lpstr>Blad2</vt:lpstr>
      <vt:lpstr>Blad3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Export</dc:title>
  <dc:subject>Report</dc:subject>
  <dc:creator>Indeed</dc:creator>
  <cp:keywords/>
  <dc:description/>
  <cp:lastModifiedBy>Gocheva,Preslava P.K.</cp:lastModifiedBy>
  <cp:revision/>
  <dcterms:created xsi:type="dcterms:W3CDTF">2025-07-18T10:03:08Z</dcterms:created>
  <dcterms:modified xsi:type="dcterms:W3CDTF">2025-10-04T14:44:02Z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ed012e-e63d-4578-8bfa-6a2654bbf459_Enabled">
    <vt:lpwstr>true</vt:lpwstr>
  </property>
  <property fmtid="{D5CDD505-2E9C-101B-9397-08002B2CF9AE}" pid="3" name="MSIP_Label_b0ed012e-e63d-4578-8bfa-6a2654bbf459_SetDate">
    <vt:lpwstr>2025-07-18T10:09:41Z</vt:lpwstr>
  </property>
  <property fmtid="{D5CDD505-2E9C-101B-9397-08002B2CF9AE}" pid="4" name="MSIP_Label_b0ed012e-e63d-4578-8bfa-6a2654bbf459_Method">
    <vt:lpwstr>Standard</vt:lpwstr>
  </property>
  <property fmtid="{D5CDD505-2E9C-101B-9397-08002B2CF9AE}" pid="5" name="MSIP_Label_b0ed012e-e63d-4578-8bfa-6a2654bbf459_Name">
    <vt:lpwstr>General</vt:lpwstr>
  </property>
  <property fmtid="{D5CDD505-2E9C-101B-9397-08002B2CF9AE}" pid="6" name="MSIP_Label_b0ed012e-e63d-4578-8bfa-6a2654bbf459_SiteId">
    <vt:lpwstr>3681f279-453b-44f0-8026-720f4cb38bda</vt:lpwstr>
  </property>
  <property fmtid="{D5CDD505-2E9C-101B-9397-08002B2CF9AE}" pid="7" name="MSIP_Label_b0ed012e-e63d-4578-8bfa-6a2654bbf459_ActionId">
    <vt:lpwstr>29769165-8a31-431f-9c2c-fec10b74397f</vt:lpwstr>
  </property>
  <property fmtid="{D5CDD505-2E9C-101B-9397-08002B2CF9AE}" pid="8" name="MSIP_Label_b0ed012e-e63d-4578-8bfa-6a2654bbf459_ContentBits">
    <vt:lpwstr>0</vt:lpwstr>
  </property>
  <property fmtid="{D5CDD505-2E9C-101B-9397-08002B2CF9AE}" pid="9" name="MSIP_Label_b0ed012e-e63d-4578-8bfa-6a2654bbf459_Tag">
    <vt:lpwstr>10, 3, 0, 1</vt:lpwstr>
  </property>
  <property fmtid="{D5CDD505-2E9C-101B-9397-08002B2CF9AE}" pid="10" name="ContentTypeId">
    <vt:lpwstr>0x0101000EACE26DC7BC4344A002BFF47F59DBAB</vt:lpwstr>
  </property>
</Properties>
</file>